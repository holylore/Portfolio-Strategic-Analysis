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unipiit-my.sharepoint.com/personal/l_pardini31_studenti_unipi_it/Documents/Excel/"/>
    </mc:Choice>
  </mc:AlternateContent>
  <xr:revisionPtr revIDLastSave="4799" documentId="8_{1295D2FD-49E5-4C77-A14B-E7C9F57EC31C}" xr6:coauthVersionLast="47" xr6:coauthVersionMax="47" xr10:uidLastSave="{8C82F2DE-4275-4B42-A905-25A313BC030A}"/>
  <bookViews>
    <workbookView xWindow="-108" yWindow="-108" windowWidth="23256" windowHeight="13896" activeTab="2" xr2:uid="{78C33348-B10E-4A2A-8832-9DC20AE6D624}"/>
  </bookViews>
  <sheets>
    <sheet name="DataBase." sheetId="2" r:id="rId1"/>
    <sheet name="Movements." sheetId="1" state="hidden" r:id="rId2"/>
    <sheet name="Insights." sheetId="3" r:id="rId3"/>
    <sheet name="DashBoard." sheetId="4" r:id="rId4"/>
  </sheets>
  <definedNames>
    <definedName name="_xlnm._FilterDatabase" localSheetId="2" hidden="1">Insights.!$B$3:$O$16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 l="1" a="1"/>
  <c r="D27" i="1" s="1"/>
  <c r="D28" i="1" a="1"/>
  <c r="D28" i="1" s="1"/>
  <c r="I27" i="1"/>
  <c r="I28" i="1"/>
  <c r="D26" i="1" a="1"/>
  <c r="D26" i="1" s="1"/>
  <c r="I26" i="1"/>
  <c r="D25" i="1" a="1"/>
  <c r="D25" i="1" s="1"/>
  <c r="I25" i="1"/>
  <c r="D24" i="1" a="1"/>
  <c r="D24" i="1" s="1"/>
  <c r="I24" i="1"/>
  <c r="D23" i="1" a="1"/>
  <c r="D23" i="1" s="1"/>
  <c r="I23" i="1"/>
  <c r="D22" i="1" a="1"/>
  <c r="D22" i="1" s="1"/>
  <c r="I22" i="1"/>
  <c r="D20" i="1" a="1"/>
  <c r="D20" i="1" s="1"/>
  <c r="D21" i="1" a="1"/>
  <c r="D21" i="1" s="1"/>
  <c r="I20" i="1"/>
  <c r="I21" i="1"/>
  <c r="B4" i="3" a="1"/>
  <c r="C10" i="3" s="1" a="1"/>
  <c r="C10" i="3" s="1"/>
  <c r="D4" i="1" a="1"/>
  <c r="D4" i="1" s="1"/>
  <c r="D16" i="1" a="1"/>
  <c r="D16" i="1" s="1"/>
  <c r="D15" i="1" a="1"/>
  <c r="D15" i="1" s="1"/>
  <c r="D7" i="1" a="1"/>
  <c r="D7" i="1" s="1"/>
  <c r="D17" i="1" a="1"/>
  <c r="D17" i="1" s="1"/>
  <c r="D8" i="1" a="1"/>
  <c r="D8" i="1" s="1"/>
  <c r="D12" i="1" a="1"/>
  <c r="D12" i="1" s="1"/>
  <c r="D13" i="1" a="1"/>
  <c r="D13" i="1" s="1"/>
  <c r="D18" i="1" a="1"/>
  <c r="D18" i="1" s="1"/>
  <c r="D5" i="1" a="1"/>
  <c r="D5" i="1" s="1"/>
  <c r="D6" i="1" a="1"/>
  <c r="D6" i="1" s="1"/>
  <c r="D14" i="1" a="1"/>
  <c r="D14" i="1" s="1"/>
  <c r="D9" i="1" a="1"/>
  <c r="D9" i="1" s="1"/>
  <c r="D3" i="1" a="1"/>
  <c r="D3" i="1" s="1"/>
  <c r="D19" i="1" a="1"/>
  <c r="D19" i="1" s="1"/>
  <c r="D10" i="1" a="1"/>
  <c r="D10" i="1" s="1"/>
  <c r="D11" i="1" a="1"/>
  <c r="D11" i="1" s="1"/>
  <c r="I10" i="1"/>
  <c r="I19" i="1"/>
  <c r="I3" i="1"/>
  <c r="I9" i="1"/>
  <c r="I14" i="1"/>
  <c r="I6" i="1"/>
  <c r="I5" i="1"/>
  <c r="I18" i="1"/>
  <c r="I13" i="1"/>
  <c r="I12" i="1"/>
  <c r="I17" i="1"/>
  <c r="I7" i="1"/>
  <c r="I15" i="1"/>
  <c r="I16" i="1"/>
  <c r="I4" i="1"/>
  <c r="I11" i="1"/>
  <c r="G8" i="1"/>
  <c r="I8" i="1"/>
  <c r="N2" i="2" a="1"/>
  <c r="C2" i="2" a="1"/>
  <c r="D2" i="2" a="1"/>
  <c r="G2" i="2" a="1"/>
  <c r="K2" i="2" a="1"/>
  <c r="L2" i="2" a="1"/>
  <c r="AJ2" i="2" a="1"/>
  <c r="A2" i="2" a="1"/>
  <c r="I2" i="2" a="1"/>
  <c r="J2" i="2" a="1"/>
  <c r="AL2" i="2" a="1"/>
  <c r="E2" i="2" a="1"/>
  <c r="M2" i="2" a="1"/>
  <c r="O2" i="2" a="1"/>
  <c r="F2" i="2" a="1"/>
  <c r="AG2" i="2" a="1"/>
  <c r="H2" i="2" a="1"/>
  <c r="I2" i="2" l="1"/>
  <c r="H2" i="2"/>
  <c r="O2" i="2"/>
  <c r="G2" i="2"/>
  <c r="N2" i="2"/>
  <c r="F2" i="2"/>
  <c r="M2" i="2"/>
  <c r="E2" i="2"/>
  <c r="L2" i="2"/>
  <c r="D2" i="2"/>
  <c r="K2" i="2"/>
  <c r="C2" i="2"/>
  <c r="J2" i="2"/>
  <c r="A2" i="2"/>
  <c r="AM301" i="2"/>
  <c r="AM303" i="2"/>
  <c r="AM304" i="2"/>
  <c r="AM305" i="2"/>
  <c r="AM306" i="2"/>
  <c r="AM307" i="2"/>
  <c r="AM308" i="2"/>
  <c r="AM309" i="2"/>
  <c r="AM310" i="2"/>
  <c r="AM311" i="2"/>
  <c r="AM302" i="2"/>
  <c r="AK303" i="2"/>
  <c r="AK304" i="2"/>
  <c r="AK309" i="2"/>
  <c r="AK310" i="2"/>
  <c r="AK311" i="2"/>
  <c r="AK312" i="2"/>
  <c r="AK313" i="2"/>
  <c r="AK305" i="2"/>
  <c r="AK306" i="2"/>
  <c r="AK307" i="2"/>
  <c r="AK308" i="2"/>
  <c r="AI301" i="2"/>
  <c r="AI303" i="2"/>
  <c r="AI304" i="2"/>
  <c r="AI305" i="2"/>
  <c r="AI306" i="2"/>
  <c r="AI307" i="2"/>
  <c r="AI308" i="2"/>
  <c r="AI309" i="2"/>
  <c r="AI310" i="2"/>
  <c r="AI311" i="2"/>
  <c r="AI302" i="2"/>
  <c r="AC311" i="2"/>
  <c r="AC301" i="2"/>
  <c r="AC302" i="2"/>
  <c r="AC304" i="2"/>
  <c r="AC305" i="2"/>
  <c r="AC307" i="2"/>
  <c r="AC308" i="2"/>
  <c r="AC309" i="2"/>
  <c r="AC310" i="2"/>
  <c r="AC303" i="2"/>
  <c r="AC306" i="2"/>
  <c r="AB301" i="2"/>
  <c r="AB304" i="2"/>
  <c r="AB306" i="2"/>
  <c r="AB308" i="2"/>
  <c r="AB310" i="2"/>
  <c r="AB311" i="2"/>
  <c r="AB302" i="2"/>
  <c r="AB303" i="2"/>
  <c r="AB305" i="2"/>
  <c r="AB307" i="2"/>
  <c r="AB309" i="2"/>
  <c r="AA301" i="2"/>
  <c r="AA306" i="2"/>
  <c r="AA308" i="2"/>
  <c r="AA310" i="2"/>
  <c r="AA302" i="2"/>
  <c r="AA304" i="2"/>
  <c r="AA305" i="2"/>
  <c r="AA307" i="2"/>
  <c r="AA309" i="2"/>
  <c r="AA311" i="2"/>
  <c r="AA303" i="2"/>
  <c r="Z301" i="2"/>
  <c r="Z304" i="2"/>
  <c r="Z306" i="2"/>
  <c r="Z308" i="2"/>
  <c r="Z310" i="2"/>
  <c r="Z302" i="2"/>
  <c r="Z303" i="2"/>
  <c r="Z305" i="2"/>
  <c r="Z307" i="2"/>
  <c r="Z309" i="2"/>
  <c r="Z311" i="2"/>
  <c r="Y301" i="2"/>
  <c r="Y303" i="2"/>
  <c r="Y305" i="2"/>
  <c r="Y307" i="2"/>
  <c r="Y308" i="2"/>
  <c r="Y311" i="2"/>
  <c r="Y302" i="2"/>
  <c r="Y304" i="2"/>
  <c r="Y306" i="2"/>
  <c r="Y309" i="2"/>
  <c r="Y310" i="2"/>
  <c r="X301" i="2"/>
  <c r="X308" i="2"/>
  <c r="X310" i="2"/>
  <c r="X302" i="2"/>
  <c r="X303" i="2"/>
  <c r="X304" i="2"/>
  <c r="X305" i="2"/>
  <c r="X309" i="2"/>
  <c r="X306" i="2"/>
  <c r="X307" i="2"/>
  <c r="X311" i="2"/>
  <c r="W301" i="2"/>
  <c r="W302" i="2"/>
  <c r="W303" i="2"/>
  <c r="W304" i="2"/>
  <c r="W305" i="2"/>
  <c r="W306" i="2"/>
  <c r="W307" i="2"/>
  <c r="W308" i="2"/>
  <c r="W309" i="2"/>
  <c r="W310" i="2"/>
  <c r="W311" i="2"/>
  <c r="V301" i="2"/>
  <c r="V305" i="2"/>
  <c r="V309" i="2"/>
  <c r="V302" i="2"/>
  <c r="V303" i="2"/>
  <c r="V304" i="2"/>
  <c r="V310" i="2"/>
  <c r="V311" i="2"/>
  <c r="V306" i="2"/>
  <c r="V307" i="2"/>
  <c r="V308" i="2"/>
  <c r="U301" i="2"/>
  <c r="U302" i="2"/>
  <c r="U307" i="2"/>
  <c r="U308" i="2"/>
  <c r="U309" i="2"/>
  <c r="U310" i="2"/>
  <c r="U311" i="2"/>
  <c r="U303" i="2"/>
  <c r="U304" i="2"/>
  <c r="U305" i="2"/>
  <c r="U306" i="2"/>
  <c r="T301" i="2"/>
  <c r="T304" i="2"/>
  <c r="T306" i="2"/>
  <c r="T308" i="2"/>
  <c r="T310" i="2"/>
  <c r="T302" i="2"/>
  <c r="T303" i="2"/>
  <c r="T305" i="2"/>
  <c r="T307" i="2"/>
  <c r="T309" i="2"/>
  <c r="T311" i="2"/>
  <c r="S301" i="2"/>
  <c r="S304" i="2"/>
  <c r="S306" i="2"/>
  <c r="S308" i="2"/>
  <c r="S310" i="2"/>
  <c r="S302" i="2"/>
  <c r="S307" i="2"/>
  <c r="S311" i="2"/>
  <c r="S303" i="2"/>
  <c r="S309" i="2"/>
  <c r="S305" i="2"/>
  <c r="R301" i="2"/>
  <c r="R302" i="2"/>
  <c r="R307" i="2"/>
  <c r="R308" i="2"/>
  <c r="R309" i="2"/>
  <c r="R310" i="2"/>
  <c r="R311" i="2"/>
  <c r="R303" i="2"/>
  <c r="R304" i="2"/>
  <c r="R305" i="2"/>
  <c r="R306" i="2"/>
  <c r="Q301" i="2"/>
  <c r="Q302" i="2"/>
  <c r="Q307" i="2"/>
  <c r="Q308" i="2"/>
  <c r="Q309" i="2"/>
  <c r="Q310" i="2"/>
  <c r="Q311" i="2"/>
  <c r="Q303" i="2"/>
  <c r="Q304" i="2"/>
  <c r="Q305" i="2"/>
  <c r="Q306" i="2"/>
  <c r="AC4" i="2"/>
  <c r="AC20" i="2"/>
  <c r="AC36" i="2"/>
  <c r="AC52" i="2"/>
  <c r="AC68" i="2"/>
  <c r="AC84" i="2"/>
  <c r="AC100" i="2"/>
  <c r="AC116" i="2"/>
  <c r="AC132" i="2"/>
  <c r="AC148" i="2"/>
  <c r="AC164" i="2"/>
  <c r="AC180" i="2"/>
  <c r="AC196" i="2"/>
  <c r="AC212" i="2"/>
  <c r="AC228" i="2"/>
  <c r="AC244" i="2"/>
  <c r="AC260" i="2"/>
  <c r="AC276" i="2"/>
  <c r="AC292" i="2"/>
  <c r="AC21" i="2"/>
  <c r="AC53" i="2"/>
  <c r="AC69" i="2"/>
  <c r="AC85" i="2"/>
  <c r="AC101" i="2"/>
  <c r="AC117" i="2"/>
  <c r="AC133" i="2"/>
  <c r="AC149" i="2"/>
  <c r="AC165" i="2"/>
  <c r="AC181" i="2"/>
  <c r="AC197" i="2"/>
  <c r="AC213" i="2"/>
  <c r="AC229" i="2"/>
  <c r="AC245" i="2"/>
  <c r="AC261" i="2"/>
  <c r="AC277" i="2"/>
  <c r="AC293" i="2"/>
  <c r="AC26" i="2"/>
  <c r="AC90" i="2"/>
  <c r="AC106" i="2"/>
  <c r="AC138" i="2"/>
  <c r="AC170" i="2"/>
  <c r="AC234" i="2"/>
  <c r="AC266" i="2"/>
  <c r="AC298" i="2"/>
  <c r="AC27" i="2"/>
  <c r="AC107" i="2"/>
  <c r="AC187" i="2"/>
  <c r="AC219" i="2"/>
  <c r="AC283" i="2"/>
  <c r="AC28" i="2"/>
  <c r="AC108" i="2"/>
  <c r="AC188" i="2"/>
  <c r="AC220" i="2"/>
  <c r="AC284" i="2"/>
  <c r="AC300" i="2"/>
  <c r="AC13" i="2"/>
  <c r="AC157" i="2"/>
  <c r="AC253" i="2"/>
  <c r="AC30" i="2"/>
  <c r="AC142" i="2"/>
  <c r="AC238" i="2"/>
  <c r="AC47" i="2"/>
  <c r="AC79" i="2"/>
  <c r="AC143" i="2"/>
  <c r="AC207" i="2"/>
  <c r="AC271" i="2"/>
  <c r="AC32" i="2"/>
  <c r="AC96" i="2"/>
  <c r="AC128" i="2"/>
  <c r="AC192" i="2"/>
  <c r="AC240" i="2"/>
  <c r="AC17" i="2"/>
  <c r="AC97" i="2"/>
  <c r="AC161" i="2"/>
  <c r="AC193" i="2"/>
  <c r="AC241" i="2"/>
  <c r="AC18" i="2"/>
  <c r="AC82" i="2"/>
  <c r="AC130" i="2"/>
  <c r="AC194" i="2"/>
  <c r="AC242" i="2"/>
  <c r="AC19" i="2"/>
  <c r="AC67" i="2"/>
  <c r="AC147" i="2"/>
  <c r="AC211" i="2"/>
  <c r="AC5" i="2"/>
  <c r="AC37" i="2"/>
  <c r="AC75" i="2"/>
  <c r="AC171" i="2"/>
  <c r="AC251" i="2"/>
  <c r="AC44" i="2"/>
  <c r="AC140" i="2"/>
  <c r="AC236" i="2"/>
  <c r="AC45" i="2"/>
  <c r="AC109" i="2"/>
  <c r="AC189" i="2"/>
  <c r="AC285" i="2"/>
  <c r="AC46" i="2"/>
  <c r="AC110" i="2"/>
  <c r="AC190" i="2"/>
  <c r="AC286" i="2"/>
  <c r="AC31" i="2"/>
  <c r="AC111" i="2"/>
  <c r="AC175" i="2"/>
  <c r="AC223" i="2"/>
  <c r="AC255" i="2"/>
  <c r="AC48" i="2"/>
  <c r="AC112" i="2"/>
  <c r="AC176" i="2"/>
  <c r="AC224" i="2"/>
  <c r="AC272" i="2"/>
  <c r="AC49" i="2"/>
  <c r="AC145" i="2"/>
  <c r="AC209" i="2"/>
  <c r="AC257" i="2"/>
  <c r="AC50" i="2"/>
  <c r="AC98" i="2"/>
  <c r="AC162" i="2"/>
  <c r="AC210" i="2"/>
  <c r="AC274" i="2"/>
  <c r="AC51" i="2"/>
  <c r="AC99" i="2"/>
  <c r="AC131" i="2"/>
  <c r="AC179" i="2"/>
  <c r="AC227" i="2"/>
  <c r="AC275" i="2"/>
  <c r="AC6" i="2"/>
  <c r="AC22" i="2"/>
  <c r="AC38" i="2"/>
  <c r="AC54" i="2"/>
  <c r="AC70" i="2"/>
  <c r="AC86" i="2"/>
  <c r="AC102" i="2"/>
  <c r="AC118" i="2"/>
  <c r="AC134" i="2"/>
  <c r="AC150" i="2"/>
  <c r="AC166" i="2"/>
  <c r="AC182" i="2"/>
  <c r="AC198" i="2"/>
  <c r="AC214" i="2"/>
  <c r="AC230" i="2"/>
  <c r="AC246" i="2"/>
  <c r="AC262" i="2"/>
  <c r="AC278" i="2"/>
  <c r="AC294" i="2"/>
  <c r="AC41" i="2"/>
  <c r="AC137" i="2"/>
  <c r="AC249" i="2"/>
  <c r="AC42" i="2"/>
  <c r="AC186" i="2"/>
  <c r="AC59" i="2"/>
  <c r="AC123" i="2"/>
  <c r="AC235" i="2"/>
  <c r="AC60" i="2"/>
  <c r="AC156" i="2"/>
  <c r="AC268" i="2"/>
  <c r="AC61" i="2"/>
  <c r="AC141" i="2"/>
  <c r="AC237" i="2"/>
  <c r="AC62" i="2"/>
  <c r="AC158" i="2"/>
  <c r="AC270" i="2"/>
  <c r="AC63" i="2"/>
  <c r="AC127" i="2"/>
  <c r="AC191" i="2"/>
  <c r="AC287" i="2"/>
  <c r="AC64" i="2"/>
  <c r="AC160" i="2"/>
  <c r="AC256" i="2"/>
  <c r="AC65" i="2"/>
  <c r="AC113" i="2"/>
  <c r="AC177" i="2"/>
  <c r="AC273" i="2"/>
  <c r="AC66" i="2"/>
  <c r="AC114" i="2"/>
  <c r="AC178" i="2"/>
  <c r="AC290" i="2"/>
  <c r="AC7" i="2"/>
  <c r="AC23" i="2"/>
  <c r="AC39" i="2"/>
  <c r="AC55" i="2"/>
  <c r="AC71" i="2"/>
  <c r="AC87" i="2"/>
  <c r="AC103" i="2"/>
  <c r="AC119" i="2"/>
  <c r="AC135" i="2"/>
  <c r="AC151" i="2"/>
  <c r="AC167" i="2"/>
  <c r="AC183" i="2"/>
  <c r="AC199" i="2"/>
  <c r="AC215" i="2"/>
  <c r="AC231" i="2"/>
  <c r="AC247" i="2"/>
  <c r="AC263" i="2"/>
  <c r="AC279" i="2"/>
  <c r="AC295" i="2"/>
  <c r="AC25" i="2"/>
  <c r="AC105" i="2"/>
  <c r="AC217" i="2"/>
  <c r="AC58" i="2"/>
  <c r="AC218" i="2"/>
  <c r="AC43" i="2"/>
  <c r="AC139" i="2"/>
  <c r="AC267" i="2"/>
  <c r="AC76" i="2"/>
  <c r="AC124" i="2"/>
  <c r="AC204" i="2"/>
  <c r="AC77" i="2"/>
  <c r="AC125" i="2"/>
  <c r="AC221" i="2"/>
  <c r="AC78" i="2"/>
  <c r="AC126" i="2"/>
  <c r="AC222" i="2"/>
  <c r="AC8" i="2"/>
  <c r="AC24" i="2"/>
  <c r="AC40" i="2"/>
  <c r="AC56" i="2"/>
  <c r="AC72" i="2"/>
  <c r="AC88" i="2"/>
  <c r="AC104" i="2"/>
  <c r="AC120" i="2"/>
  <c r="AC136" i="2"/>
  <c r="AC152" i="2"/>
  <c r="AC168" i="2"/>
  <c r="AC184" i="2"/>
  <c r="AC200" i="2"/>
  <c r="AC216" i="2"/>
  <c r="AC232" i="2"/>
  <c r="AC248" i="2"/>
  <c r="AC264" i="2"/>
  <c r="AC280" i="2"/>
  <c r="AC296" i="2"/>
  <c r="AC9" i="2"/>
  <c r="AC57" i="2"/>
  <c r="AC73" i="2"/>
  <c r="AC89" i="2"/>
  <c r="AC121" i="2"/>
  <c r="AC153" i="2"/>
  <c r="AC169" i="2"/>
  <c r="AC185" i="2"/>
  <c r="AC201" i="2"/>
  <c r="AC233" i="2"/>
  <c r="AC265" i="2"/>
  <c r="AC281" i="2"/>
  <c r="AC297" i="2"/>
  <c r="AC10" i="2"/>
  <c r="AC74" i="2"/>
  <c r="AC122" i="2"/>
  <c r="AC154" i="2"/>
  <c r="AC202" i="2"/>
  <c r="AC250" i="2"/>
  <c r="AC282" i="2"/>
  <c r="AC11" i="2"/>
  <c r="AC91" i="2"/>
  <c r="AC155" i="2"/>
  <c r="AC203" i="2"/>
  <c r="AC299" i="2"/>
  <c r="AC12" i="2"/>
  <c r="AC92" i="2"/>
  <c r="AC172" i="2"/>
  <c r="AC252" i="2"/>
  <c r="AC29" i="2"/>
  <c r="AC93" i="2"/>
  <c r="AC173" i="2"/>
  <c r="AC205" i="2"/>
  <c r="AC269" i="2"/>
  <c r="AC14" i="2"/>
  <c r="AC94" i="2"/>
  <c r="AC174" i="2"/>
  <c r="AC206" i="2"/>
  <c r="AC254" i="2"/>
  <c r="AC15" i="2"/>
  <c r="AC95" i="2"/>
  <c r="AC159" i="2"/>
  <c r="AC239" i="2"/>
  <c r="AC16" i="2"/>
  <c r="AC80" i="2"/>
  <c r="AC144" i="2"/>
  <c r="AC208" i="2"/>
  <c r="AC288" i="2"/>
  <c r="AC33" i="2"/>
  <c r="AC81" i="2"/>
  <c r="AC129" i="2"/>
  <c r="AC225" i="2"/>
  <c r="AC289" i="2"/>
  <c r="AC34" i="2"/>
  <c r="AC146" i="2"/>
  <c r="AC226" i="2"/>
  <c r="AC258" i="2"/>
  <c r="AC35" i="2"/>
  <c r="AC83" i="2"/>
  <c r="AC115" i="2"/>
  <c r="AC163" i="2"/>
  <c r="AC195" i="2"/>
  <c r="AC243" i="2"/>
  <c r="AC291" i="2"/>
  <c r="AC259" i="2"/>
  <c r="AC3" i="2"/>
  <c r="AB4" i="2"/>
  <c r="AB20" i="2"/>
  <c r="AB36" i="2"/>
  <c r="AB52" i="2"/>
  <c r="AB68" i="2"/>
  <c r="AB84" i="2"/>
  <c r="AB100" i="2"/>
  <c r="AB116" i="2"/>
  <c r="AB132" i="2"/>
  <c r="AB148" i="2"/>
  <c r="AB164" i="2"/>
  <c r="AB180" i="2"/>
  <c r="AB196" i="2"/>
  <c r="AB212" i="2"/>
  <c r="AB228" i="2"/>
  <c r="AB244" i="2"/>
  <c r="AB260" i="2"/>
  <c r="AB276" i="2"/>
  <c r="AB292" i="2"/>
  <c r="AB197" i="2"/>
  <c r="AB229" i="2"/>
  <c r="AB245" i="2"/>
  <c r="AB261" i="2"/>
  <c r="AB277" i="2"/>
  <c r="AB6" i="2"/>
  <c r="AB22" i="2"/>
  <c r="AB38" i="2"/>
  <c r="AB54" i="2"/>
  <c r="AB70" i="2"/>
  <c r="AB86" i="2"/>
  <c r="AB102" i="2"/>
  <c r="AB118" i="2"/>
  <c r="AB134" i="2"/>
  <c r="AB166" i="2"/>
  <c r="AB182" i="2"/>
  <c r="AB198" i="2"/>
  <c r="AB214" i="2"/>
  <c r="AB246" i="2"/>
  <c r="AB262" i="2"/>
  <c r="AB278" i="2"/>
  <c r="AB294" i="2"/>
  <c r="AB7" i="2"/>
  <c r="AB39" i="2"/>
  <c r="AB55" i="2"/>
  <c r="AB71" i="2"/>
  <c r="AB87" i="2"/>
  <c r="AB103" i="2"/>
  <c r="AB119" i="2"/>
  <c r="AB135" i="2"/>
  <c r="AB151" i="2"/>
  <c r="AB167" i="2"/>
  <c r="AB183" i="2"/>
  <c r="AB215" i="2"/>
  <c r="AB231" i="2"/>
  <c r="AB247" i="2"/>
  <c r="AB263" i="2"/>
  <c r="AB279" i="2"/>
  <c r="AB295" i="2"/>
  <c r="AB8" i="2"/>
  <c r="AB24" i="2"/>
  <c r="AB56" i="2"/>
  <c r="AB72" i="2"/>
  <c r="AB88" i="2"/>
  <c r="AB104" i="2"/>
  <c r="AB120" i="2"/>
  <c r="AB136" i="2"/>
  <c r="AB152" i="2"/>
  <c r="AB168" i="2"/>
  <c r="AB184" i="2"/>
  <c r="AB216" i="2"/>
  <c r="AB232" i="2"/>
  <c r="AB248" i="2"/>
  <c r="AB264" i="2"/>
  <c r="AB280" i="2"/>
  <c r="AB296" i="2"/>
  <c r="AB9" i="2"/>
  <c r="AB57" i="2"/>
  <c r="AB89" i="2"/>
  <c r="AB121" i="2"/>
  <c r="AB137" i="2"/>
  <c r="AB153" i="2"/>
  <c r="AB185" i="2"/>
  <c r="AB201" i="2"/>
  <c r="AB217" i="2"/>
  <c r="AB249" i="2"/>
  <c r="AB5" i="2"/>
  <c r="AB21" i="2"/>
  <c r="AB37" i="2"/>
  <c r="AB53" i="2"/>
  <c r="AB69" i="2"/>
  <c r="AB85" i="2"/>
  <c r="AB101" i="2"/>
  <c r="AB117" i="2"/>
  <c r="AB133" i="2"/>
  <c r="AB149" i="2"/>
  <c r="AB165" i="2"/>
  <c r="AB181" i="2"/>
  <c r="AB213" i="2"/>
  <c r="AB293" i="2"/>
  <c r="AB150" i="2"/>
  <c r="AB230" i="2"/>
  <c r="AB23" i="2"/>
  <c r="AB199" i="2"/>
  <c r="AB40" i="2"/>
  <c r="AB200" i="2"/>
  <c r="AB25" i="2"/>
  <c r="AB41" i="2"/>
  <c r="AB73" i="2"/>
  <c r="AB105" i="2"/>
  <c r="AB169" i="2"/>
  <c r="AB233" i="2"/>
  <c r="AB281" i="2"/>
  <c r="AB10" i="2"/>
  <c r="AB32" i="2"/>
  <c r="AB60" i="2"/>
  <c r="AB82" i="2"/>
  <c r="AB110" i="2"/>
  <c r="AB138" i="2"/>
  <c r="AB160" i="2"/>
  <c r="AB188" i="2"/>
  <c r="AB210" i="2"/>
  <c r="AB238" i="2"/>
  <c r="AB265" i="2"/>
  <c r="AB287" i="2"/>
  <c r="AB11" i="2"/>
  <c r="AB33" i="2"/>
  <c r="AB61" i="2"/>
  <c r="AB83" i="2"/>
  <c r="AB111" i="2"/>
  <c r="AB139" i="2"/>
  <c r="AB161" i="2"/>
  <c r="AB189" i="2"/>
  <c r="AB211" i="2"/>
  <c r="AB239" i="2"/>
  <c r="AB266" i="2"/>
  <c r="AB288" i="2"/>
  <c r="AB62" i="2"/>
  <c r="AB112" i="2"/>
  <c r="AB140" i="2"/>
  <c r="AB190" i="2"/>
  <c r="AB218" i="2"/>
  <c r="AB240" i="2"/>
  <c r="AB289" i="2"/>
  <c r="AB13" i="2"/>
  <c r="AB63" i="2"/>
  <c r="AB113" i="2"/>
  <c r="AB163" i="2"/>
  <c r="AB219" i="2"/>
  <c r="AB268" i="2"/>
  <c r="AB14" i="2"/>
  <c r="AB92" i="2"/>
  <c r="AB142" i="2"/>
  <c r="AB192" i="2"/>
  <c r="AB242" i="2"/>
  <c r="AB291" i="2"/>
  <c r="AB43" i="2"/>
  <c r="AB93" i="2"/>
  <c r="AB143" i="2"/>
  <c r="AB193" i="2"/>
  <c r="AB243" i="2"/>
  <c r="AB297" i="2"/>
  <c r="AB44" i="2"/>
  <c r="AB122" i="2"/>
  <c r="AB194" i="2"/>
  <c r="AB271" i="2"/>
  <c r="AB45" i="2"/>
  <c r="AB145" i="2"/>
  <c r="AB223" i="2"/>
  <c r="AB299" i="2"/>
  <c r="AB46" i="2"/>
  <c r="AB96" i="2"/>
  <c r="AB174" i="2"/>
  <c r="AB252" i="2"/>
  <c r="AB47" i="2"/>
  <c r="AB97" i="2"/>
  <c r="AB175" i="2"/>
  <c r="AB253" i="2"/>
  <c r="AB48" i="2"/>
  <c r="AB98" i="2"/>
  <c r="AB226" i="2"/>
  <c r="AB49" i="2"/>
  <c r="AB127" i="2"/>
  <c r="AB227" i="2"/>
  <c r="AB50" i="2"/>
  <c r="AB156" i="2"/>
  <c r="AB256" i="2"/>
  <c r="AB79" i="2"/>
  <c r="AB129" i="2"/>
  <c r="AB179" i="2"/>
  <c r="AB284" i="2"/>
  <c r="AB80" i="2"/>
  <c r="AB158" i="2"/>
  <c r="AB236" i="2"/>
  <c r="AB81" i="2"/>
  <c r="AB187" i="2"/>
  <c r="AB259" i="2"/>
  <c r="AB12" i="2"/>
  <c r="AB34" i="2"/>
  <c r="AB90" i="2"/>
  <c r="AB162" i="2"/>
  <c r="AB267" i="2"/>
  <c r="AB35" i="2"/>
  <c r="AB91" i="2"/>
  <c r="AB141" i="2"/>
  <c r="AB191" i="2"/>
  <c r="AB241" i="2"/>
  <c r="AB290" i="2"/>
  <c r="AB42" i="2"/>
  <c r="AB64" i="2"/>
  <c r="AB114" i="2"/>
  <c r="AB170" i="2"/>
  <c r="AB220" i="2"/>
  <c r="AB269" i="2"/>
  <c r="AB15" i="2"/>
  <c r="AB65" i="2"/>
  <c r="AB115" i="2"/>
  <c r="AB171" i="2"/>
  <c r="AB221" i="2"/>
  <c r="AB270" i="2"/>
  <c r="AB16" i="2"/>
  <c r="AB66" i="2"/>
  <c r="AB94" i="2"/>
  <c r="AB144" i="2"/>
  <c r="AB172" i="2"/>
  <c r="AB222" i="2"/>
  <c r="AB250" i="2"/>
  <c r="AB298" i="2"/>
  <c r="AB17" i="2"/>
  <c r="AB67" i="2"/>
  <c r="AB95" i="2"/>
  <c r="AB123" i="2"/>
  <c r="AB173" i="2"/>
  <c r="AB195" i="2"/>
  <c r="AB251" i="2"/>
  <c r="AB272" i="2"/>
  <c r="AB18" i="2"/>
  <c r="AB74" i="2"/>
  <c r="AB124" i="2"/>
  <c r="AB146" i="2"/>
  <c r="AB224" i="2"/>
  <c r="AB273" i="2"/>
  <c r="AB300" i="2"/>
  <c r="AB19" i="2"/>
  <c r="AB75" i="2"/>
  <c r="AB125" i="2"/>
  <c r="AB147" i="2"/>
  <c r="AB203" i="2"/>
  <c r="AB225" i="2"/>
  <c r="AB274" i="2"/>
  <c r="AB26" i="2"/>
  <c r="AB76" i="2"/>
  <c r="AB126" i="2"/>
  <c r="AB154" i="2"/>
  <c r="AB176" i="2"/>
  <c r="AB254" i="2"/>
  <c r="AB27" i="2"/>
  <c r="AB99" i="2"/>
  <c r="AB155" i="2"/>
  <c r="AB205" i="2"/>
  <c r="AB255" i="2"/>
  <c r="AB28" i="2"/>
  <c r="AB128" i="2"/>
  <c r="AB206" i="2"/>
  <c r="AB283" i="2"/>
  <c r="AB51" i="2"/>
  <c r="AB107" i="2"/>
  <c r="AB207" i="2"/>
  <c r="AB257" i="2"/>
  <c r="AB58" i="2"/>
  <c r="AB108" i="2"/>
  <c r="AB186" i="2"/>
  <c r="AB258" i="2"/>
  <c r="AB31" i="2"/>
  <c r="AB109" i="2"/>
  <c r="AB159" i="2"/>
  <c r="AB209" i="2"/>
  <c r="AB286" i="2"/>
  <c r="AB202" i="2"/>
  <c r="AB204" i="2"/>
  <c r="AB275" i="2"/>
  <c r="AB77" i="2"/>
  <c r="AB177" i="2"/>
  <c r="AB282" i="2"/>
  <c r="AB78" i="2"/>
  <c r="AB106" i="2"/>
  <c r="AB178" i="2"/>
  <c r="AB234" i="2"/>
  <c r="AB29" i="2"/>
  <c r="AB157" i="2"/>
  <c r="AB235" i="2"/>
  <c r="AB30" i="2"/>
  <c r="AB130" i="2"/>
  <c r="AB208" i="2"/>
  <c r="AB285" i="2"/>
  <c r="AB59" i="2"/>
  <c r="AB131" i="2"/>
  <c r="AB237" i="2"/>
  <c r="AB3" i="2"/>
  <c r="AA3" i="2"/>
  <c r="Z3" i="2"/>
  <c r="Y3" i="2"/>
  <c r="X3" i="2"/>
  <c r="W3" i="2"/>
  <c r="V3" i="2"/>
  <c r="U3" i="2"/>
  <c r="T3" i="2"/>
  <c r="S3" i="2"/>
  <c r="R3" i="2"/>
  <c r="Q3" i="2"/>
  <c r="AM296" i="2"/>
  <c r="AM297" i="2"/>
  <c r="AM298" i="2"/>
  <c r="AM299" i="2"/>
  <c r="AM300" i="2"/>
  <c r="AK298" i="2"/>
  <c r="AK299" i="2"/>
  <c r="AK300" i="2"/>
  <c r="AK301" i="2"/>
  <c r="AK302" i="2"/>
  <c r="AI296" i="2"/>
  <c r="AI297" i="2"/>
  <c r="AI298" i="2"/>
  <c r="AI299" i="2"/>
  <c r="AI300" i="2"/>
  <c r="U4" i="2"/>
  <c r="U20" i="2"/>
  <c r="U36" i="2"/>
  <c r="U52" i="2"/>
  <c r="U68" i="2"/>
  <c r="U84" i="2"/>
  <c r="U100" i="2"/>
  <c r="U116" i="2"/>
  <c r="U132" i="2"/>
  <c r="U148" i="2"/>
  <c r="U164" i="2"/>
  <c r="U180" i="2"/>
  <c r="U196" i="2"/>
  <c r="U212" i="2"/>
  <c r="U228" i="2"/>
  <c r="U244" i="2"/>
  <c r="U260" i="2"/>
  <c r="U276" i="2"/>
  <c r="U292" i="2"/>
  <c r="U5" i="2"/>
  <c r="U21" i="2"/>
  <c r="U37" i="2"/>
  <c r="U53" i="2"/>
  <c r="U69" i="2"/>
  <c r="U85" i="2"/>
  <c r="U101" i="2"/>
  <c r="U117" i="2"/>
  <c r="U133" i="2"/>
  <c r="U149" i="2"/>
  <c r="U165" i="2"/>
  <c r="U181" i="2"/>
  <c r="U197" i="2"/>
  <c r="U213" i="2"/>
  <c r="U229" i="2"/>
  <c r="U245" i="2"/>
  <c r="U261" i="2"/>
  <c r="U277" i="2"/>
  <c r="U293" i="2"/>
  <c r="U6" i="2"/>
  <c r="U22" i="2"/>
  <c r="U38" i="2"/>
  <c r="U54" i="2"/>
  <c r="U70" i="2"/>
  <c r="U86" i="2"/>
  <c r="U102" i="2"/>
  <c r="U118" i="2"/>
  <c r="U134" i="2"/>
  <c r="U150" i="2"/>
  <c r="U166" i="2"/>
  <c r="U182" i="2"/>
  <c r="U198" i="2"/>
  <c r="U214" i="2"/>
  <c r="U230" i="2"/>
  <c r="U246" i="2"/>
  <c r="U262" i="2"/>
  <c r="U278" i="2"/>
  <c r="U294" i="2"/>
  <c r="U7" i="2"/>
  <c r="U23" i="2"/>
  <c r="U39" i="2"/>
  <c r="U55" i="2"/>
  <c r="U71" i="2"/>
  <c r="U87" i="2"/>
  <c r="U103" i="2"/>
  <c r="U119" i="2"/>
  <c r="U135" i="2"/>
  <c r="U151" i="2"/>
  <c r="U167" i="2"/>
  <c r="U183" i="2"/>
  <c r="U199" i="2"/>
  <c r="U215" i="2"/>
  <c r="U231" i="2"/>
  <c r="U247" i="2"/>
  <c r="U263" i="2"/>
  <c r="U279" i="2"/>
  <c r="U295" i="2"/>
  <c r="U8" i="2"/>
  <c r="U24" i="2"/>
  <c r="U40" i="2"/>
  <c r="U56" i="2"/>
  <c r="U72" i="2"/>
  <c r="U88" i="2"/>
  <c r="U104" i="2"/>
  <c r="U120" i="2"/>
  <c r="U136" i="2"/>
  <c r="U9" i="2"/>
  <c r="U25" i="2"/>
  <c r="U41" i="2"/>
  <c r="U57" i="2"/>
  <c r="U73" i="2"/>
  <c r="U89" i="2"/>
  <c r="U105" i="2"/>
  <c r="U121" i="2"/>
  <c r="U137" i="2"/>
  <c r="U153" i="2"/>
  <c r="U169" i="2"/>
  <c r="U185" i="2"/>
  <c r="U201" i="2"/>
  <c r="U217" i="2"/>
  <c r="U233" i="2"/>
  <c r="U249" i="2"/>
  <c r="U265" i="2"/>
  <c r="U281" i="2"/>
  <c r="U10" i="2"/>
  <c r="U32" i="2"/>
  <c r="U60" i="2"/>
  <c r="U82" i="2"/>
  <c r="U110" i="2"/>
  <c r="U138" i="2"/>
  <c r="U159" i="2"/>
  <c r="U184" i="2"/>
  <c r="U206" i="2"/>
  <c r="U227" i="2"/>
  <c r="U253" i="2"/>
  <c r="U274" i="2"/>
  <c r="U299" i="2"/>
  <c r="U11" i="2"/>
  <c r="U33" i="2"/>
  <c r="U61" i="2"/>
  <c r="U83" i="2"/>
  <c r="U111" i="2"/>
  <c r="U139" i="2"/>
  <c r="U160" i="2"/>
  <c r="U186" i="2"/>
  <c r="U207" i="2"/>
  <c r="U232" i="2"/>
  <c r="U254" i="2"/>
  <c r="U275" i="2"/>
  <c r="U300" i="2"/>
  <c r="U12" i="2"/>
  <c r="U34" i="2"/>
  <c r="U62" i="2"/>
  <c r="U90" i="2"/>
  <c r="U112" i="2"/>
  <c r="U140" i="2"/>
  <c r="U161" i="2"/>
  <c r="U187" i="2"/>
  <c r="U208" i="2"/>
  <c r="U234" i="2"/>
  <c r="U255" i="2"/>
  <c r="U280" i="2"/>
  <c r="U13" i="2"/>
  <c r="U35" i="2"/>
  <c r="U63" i="2"/>
  <c r="U91" i="2"/>
  <c r="U113" i="2"/>
  <c r="U141" i="2"/>
  <c r="U162" i="2"/>
  <c r="U188" i="2"/>
  <c r="U209" i="2"/>
  <c r="U235" i="2"/>
  <c r="U256" i="2"/>
  <c r="U282" i="2"/>
  <c r="U42" i="2"/>
  <c r="U64" i="2"/>
  <c r="U92" i="2"/>
  <c r="U114" i="2"/>
  <c r="U163" i="2"/>
  <c r="U189" i="2"/>
  <c r="U210" i="2"/>
  <c r="U236" i="2"/>
  <c r="U257" i="2"/>
  <c r="U283" i="2"/>
  <c r="U15" i="2"/>
  <c r="U43" i="2"/>
  <c r="U65" i="2"/>
  <c r="U93" i="2"/>
  <c r="U115" i="2"/>
  <c r="U168" i="2"/>
  <c r="U190" i="2"/>
  <c r="U211" i="2"/>
  <c r="U258" i="2"/>
  <c r="U284" i="2"/>
  <c r="U16" i="2"/>
  <c r="U66" i="2"/>
  <c r="U94" i="2"/>
  <c r="U122" i="2"/>
  <c r="U170" i="2"/>
  <c r="U191" i="2"/>
  <c r="U238" i="2"/>
  <c r="U285" i="2"/>
  <c r="U45" i="2"/>
  <c r="U67" i="2"/>
  <c r="U95" i="2"/>
  <c r="U145" i="2"/>
  <c r="U192" i="2"/>
  <c r="U264" i="2"/>
  <c r="U18" i="2"/>
  <c r="U74" i="2"/>
  <c r="U124" i="2"/>
  <c r="U172" i="2"/>
  <c r="U219" i="2"/>
  <c r="U240" i="2"/>
  <c r="U287" i="2"/>
  <c r="U19" i="2"/>
  <c r="U97" i="2"/>
  <c r="U125" i="2"/>
  <c r="U173" i="2"/>
  <c r="U220" i="2"/>
  <c r="U267" i="2"/>
  <c r="U26" i="2"/>
  <c r="U98" i="2"/>
  <c r="U126" i="2"/>
  <c r="U195" i="2"/>
  <c r="U268" i="2"/>
  <c r="U27" i="2"/>
  <c r="U154" i="2"/>
  <c r="U243" i="2"/>
  <c r="U131" i="2"/>
  <c r="U252" i="2"/>
  <c r="U218" i="2"/>
  <c r="U75" i="2"/>
  <c r="U241" i="2"/>
  <c r="U76" i="2"/>
  <c r="U152" i="2"/>
  <c r="U221" i="2"/>
  <c r="U289" i="2"/>
  <c r="U77" i="2"/>
  <c r="U127" i="2"/>
  <c r="U200" i="2"/>
  <c r="U269" i="2"/>
  <c r="U81" i="2"/>
  <c r="U205" i="2"/>
  <c r="U273" i="2"/>
  <c r="U14" i="2"/>
  <c r="U142" i="2"/>
  <c r="U143" i="2"/>
  <c r="U237" i="2"/>
  <c r="U44" i="2"/>
  <c r="U144" i="2"/>
  <c r="U216" i="2"/>
  <c r="U259" i="2"/>
  <c r="U17" i="2"/>
  <c r="U123" i="2"/>
  <c r="U171" i="2"/>
  <c r="U239" i="2"/>
  <c r="U286" i="2"/>
  <c r="U46" i="2"/>
  <c r="U96" i="2"/>
  <c r="U146" i="2"/>
  <c r="U193" i="2"/>
  <c r="U266" i="2"/>
  <c r="U47" i="2"/>
  <c r="U147" i="2"/>
  <c r="U194" i="2"/>
  <c r="U288" i="2"/>
  <c r="U48" i="2"/>
  <c r="U174" i="2"/>
  <c r="U242" i="2"/>
  <c r="U49" i="2"/>
  <c r="U99" i="2"/>
  <c r="U175" i="2"/>
  <c r="U222" i="2"/>
  <c r="U290" i="2"/>
  <c r="U109" i="2"/>
  <c r="U226" i="2"/>
  <c r="U28" i="2"/>
  <c r="U50" i="2"/>
  <c r="U78" i="2"/>
  <c r="U106" i="2"/>
  <c r="U128" i="2"/>
  <c r="U155" i="2"/>
  <c r="U176" i="2"/>
  <c r="U202" i="2"/>
  <c r="U223" i="2"/>
  <c r="U248" i="2"/>
  <c r="U270" i="2"/>
  <c r="U291" i="2"/>
  <c r="U58" i="2"/>
  <c r="U80" i="2"/>
  <c r="U130" i="2"/>
  <c r="U178" i="2"/>
  <c r="U225" i="2"/>
  <c r="U272" i="2"/>
  <c r="U31" i="2"/>
  <c r="U158" i="2"/>
  <c r="U29" i="2"/>
  <c r="U51" i="2"/>
  <c r="U79" i="2"/>
  <c r="U107" i="2"/>
  <c r="U129" i="2"/>
  <c r="U156" i="2"/>
  <c r="U177" i="2"/>
  <c r="U203" i="2"/>
  <c r="U224" i="2"/>
  <c r="U250" i="2"/>
  <c r="U271" i="2"/>
  <c r="U296" i="2"/>
  <c r="U30" i="2"/>
  <c r="U108" i="2"/>
  <c r="U157" i="2"/>
  <c r="U204" i="2"/>
  <c r="U251" i="2"/>
  <c r="U297" i="2"/>
  <c r="U59" i="2"/>
  <c r="U179" i="2"/>
  <c r="U298" i="2"/>
  <c r="AA296" i="2"/>
  <c r="AA297" i="2"/>
  <c r="AA298" i="2"/>
  <c r="AA299" i="2"/>
  <c r="AA300" i="2"/>
  <c r="Z296" i="2"/>
  <c r="Z299" i="2"/>
  <c r="Z297" i="2"/>
  <c r="Z298" i="2"/>
  <c r="Z300" i="2"/>
  <c r="Y297" i="2"/>
  <c r="Y298" i="2"/>
  <c r="Y299" i="2"/>
  <c r="Y300" i="2"/>
  <c r="Y296" i="2"/>
  <c r="X296" i="2"/>
  <c r="X297" i="2"/>
  <c r="X298" i="2"/>
  <c r="X299" i="2"/>
  <c r="X300" i="2"/>
  <c r="W297" i="2"/>
  <c r="W298" i="2"/>
  <c r="W299" i="2"/>
  <c r="W300" i="2"/>
  <c r="W296" i="2"/>
  <c r="V296" i="2"/>
  <c r="V298" i="2"/>
  <c r="V299" i="2"/>
  <c r="V300" i="2"/>
  <c r="V297" i="2"/>
  <c r="T296" i="2"/>
  <c r="T299" i="2"/>
  <c r="T300" i="2"/>
  <c r="T297" i="2"/>
  <c r="T298" i="2"/>
  <c r="S300" i="2"/>
  <c r="S297" i="2"/>
  <c r="S298" i="2"/>
  <c r="S299" i="2"/>
  <c r="S296" i="2"/>
  <c r="R297" i="2"/>
  <c r="R296" i="2"/>
  <c r="R298" i="2"/>
  <c r="R299" i="2"/>
  <c r="R300" i="2"/>
  <c r="Q297" i="2"/>
  <c r="Q298" i="2"/>
  <c r="Q299" i="2"/>
  <c r="Q300" i="2"/>
  <c r="Q296" i="2"/>
  <c r="AA291" i="2"/>
  <c r="AA292" i="2"/>
  <c r="AA294" i="2"/>
  <c r="AA295" i="2"/>
  <c r="AA290" i="2"/>
  <c r="AA293" i="2"/>
  <c r="Z291" i="2"/>
  <c r="Z292" i="2"/>
  <c r="Z293" i="2"/>
  <c r="Z294" i="2"/>
  <c r="Z295" i="2"/>
  <c r="Z290" i="2"/>
  <c r="Y292" i="2"/>
  <c r="Y295" i="2"/>
  <c r="Y293" i="2"/>
  <c r="Y294" i="2"/>
  <c r="Y290" i="2"/>
  <c r="Y291" i="2"/>
  <c r="X291" i="2"/>
  <c r="X292" i="2"/>
  <c r="X293" i="2"/>
  <c r="X294" i="2"/>
  <c r="X295" i="2"/>
  <c r="X290" i="2"/>
  <c r="W290" i="2"/>
  <c r="W294" i="2"/>
  <c r="W291" i="2"/>
  <c r="W295" i="2"/>
  <c r="W292" i="2"/>
  <c r="W293" i="2"/>
  <c r="V291" i="2"/>
  <c r="V292" i="2"/>
  <c r="V293" i="2"/>
  <c r="V294" i="2"/>
  <c r="V295" i="2"/>
  <c r="V290" i="2"/>
  <c r="T290" i="2"/>
  <c r="T291" i="2"/>
  <c r="T292" i="2"/>
  <c r="T293" i="2"/>
  <c r="T294" i="2"/>
  <c r="T295" i="2"/>
  <c r="S295" i="2"/>
  <c r="S291" i="2"/>
  <c r="S292" i="2"/>
  <c r="S293" i="2"/>
  <c r="S294" i="2"/>
  <c r="S290" i="2"/>
  <c r="AM290" i="2"/>
  <c r="AM291" i="2"/>
  <c r="AM292" i="2"/>
  <c r="AM294" i="2"/>
  <c r="AM295" i="2"/>
  <c r="AM293" i="2"/>
  <c r="AK292" i="2"/>
  <c r="AK293" i="2"/>
  <c r="AK294" i="2"/>
  <c r="AK295" i="2"/>
  <c r="AK296" i="2"/>
  <c r="AK297" i="2"/>
  <c r="AI290" i="2"/>
  <c r="AI293" i="2"/>
  <c r="AI291" i="2"/>
  <c r="AI292" i="2"/>
  <c r="AI294" i="2"/>
  <c r="AI295" i="2"/>
  <c r="R294" i="2"/>
  <c r="R290" i="2"/>
  <c r="R295" i="2"/>
  <c r="R293" i="2"/>
  <c r="R291" i="2"/>
  <c r="R292" i="2"/>
  <c r="Q291" i="2"/>
  <c r="Q293" i="2"/>
  <c r="Q294" i="2"/>
  <c r="Q295" i="2"/>
  <c r="Q290" i="2"/>
  <c r="Q292" i="2"/>
  <c r="AM274" i="2"/>
  <c r="AM275" i="2"/>
  <c r="AM276" i="2"/>
  <c r="AM277" i="2"/>
  <c r="AM278" i="2"/>
  <c r="AM279" i="2"/>
  <c r="AM280" i="2"/>
  <c r="AM281" i="2"/>
  <c r="AM282" i="2"/>
  <c r="AM283" i="2"/>
  <c r="AM284" i="2"/>
  <c r="AM285" i="2"/>
  <c r="AM286" i="2"/>
  <c r="AM287" i="2"/>
  <c r="AM288" i="2"/>
  <c r="AM273" i="2"/>
  <c r="AM289" i="2"/>
  <c r="AK275" i="2"/>
  <c r="AK291" i="2"/>
  <c r="AK277" i="2"/>
  <c r="AK278" i="2"/>
  <c r="AK279" i="2"/>
  <c r="AK280" i="2"/>
  <c r="AK281" i="2"/>
  <c r="AK282" i="2"/>
  <c r="AK284" i="2"/>
  <c r="AK286" i="2"/>
  <c r="AK287" i="2"/>
  <c r="AK288" i="2"/>
  <c r="AK290" i="2"/>
  <c r="AK276" i="2"/>
  <c r="AK283" i="2"/>
  <c r="AK285" i="2"/>
  <c r="AK289" i="2"/>
  <c r="AI275" i="2"/>
  <c r="AI276" i="2"/>
  <c r="AI277" i="2"/>
  <c r="AI278" i="2"/>
  <c r="AI279" i="2"/>
  <c r="AI280" i="2"/>
  <c r="AI281" i="2"/>
  <c r="AI282" i="2"/>
  <c r="AI283" i="2"/>
  <c r="AI284" i="2"/>
  <c r="AI285" i="2"/>
  <c r="AI286" i="2"/>
  <c r="AI287" i="2"/>
  <c r="AI288" i="2"/>
  <c r="AI273" i="2"/>
  <c r="AI289" i="2"/>
  <c r="AI274" i="2"/>
  <c r="AA277" i="2"/>
  <c r="AA278" i="2"/>
  <c r="AA279" i="2"/>
  <c r="AA280" i="2"/>
  <c r="AA281" i="2"/>
  <c r="AA282" i="2"/>
  <c r="AA283" i="2"/>
  <c r="AA284" i="2"/>
  <c r="AA285" i="2"/>
  <c r="AA286" i="2"/>
  <c r="AA287" i="2"/>
  <c r="AA288" i="2"/>
  <c r="AA289" i="2"/>
  <c r="Z277" i="2"/>
  <c r="Z278" i="2"/>
  <c r="Z279" i="2"/>
  <c r="Z284" i="2"/>
  <c r="Z285" i="2"/>
  <c r="Z287" i="2"/>
  <c r="Z288" i="2"/>
  <c r="Z280" i="2"/>
  <c r="Z281" i="2"/>
  <c r="Z282" i="2"/>
  <c r="Z283" i="2"/>
  <c r="Z286" i="2"/>
  <c r="Z289" i="2"/>
  <c r="Y277" i="2"/>
  <c r="Y278" i="2"/>
  <c r="Y286" i="2"/>
  <c r="Y288" i="2"/>
  <c r="Y279" i="2"/>
  <c r="Y280" i="2"/>
  <c r="Y281" i="2"/>
  <c r="Y282" i="2"/>
  <c r="Y283" i="2"/>
  <c r="Y284" i="2"/>
  <c r="Y285" i="2"/>
  <c r="Y287" i="2"/>
  <c r="Y289" i="2"/>
  <c r="X277" i="2"/>
  <c r="X278" i="2"/>
  <c r="X282" i="2"/>
  <c r="X284" i="2"/>
  <c r="X286" i="2"/>
  <c r="X288" i="2"/>
  <c r="X279" i="2"/>
  <c r="X280" i="2"/>
  <c r="X281" i="2"/>
  <c r="X283" i="2"/>
  <c r="X285" i="2"/>
  <c r="X287" i="2"/>
  <c r="X289" i="2"/>
  <c r="W277" i="2"/>
  <c r="W278" i="2"/>
  <c r="W279" i="2"/>
  <c r="W280" i="2"/>
  <c r="W281" i="2"/>
  <c r="W282" i="2"/>
  <c r="W283" i="2"/>
  <c r="W284" i="2"/>
  <c r="W285" i="2"/>
  <c r="W286" i="2"/>
  <c r="W287" i="2"/>
  <c r="W288" i="2"/>
  <c r="W289" i="2"/>
  <c r="V278" i="2"/>
  <c r="V279" i="2"/>
  <c r="V282" i="2"/>
  <c r="V283" i="2"/>
  <c r="V284" i="2"/>
  <c r="V286" i="2"/>
  <c r="V287" i="2"/>
  <c r="V288" i="2"/>
  <c r="V289" i="2"/>
  <c r="V277" i="2"/>
  <c r="V280" i="2"/>
  <c r="V281" i="2"/>
  <c r="V285" i="2"/>
  <c r="T277" i="2"/>
  <c r="T279" i="2"/>
  <c r="T280" i="2"/>
  <c r="T281" i="2"/>
  <c r="T282" i="2"/>
  <c r="T283" i="2"/>
  <c r="T284" i="2"/>
  <c r="T285" i="2"/>
  <c r="T286" i="2"/>
  <c r="T287" i="2"/>
  <c r="T288" i="2"/>
  <c r="T289" i="2"/>
  <c r="T278" i="2"/>
  <c r="S280" i="2"/>
  <c r="S281" i="2"/>
  <c r="S282" i="2"/>
  <c r="S283" i="2"/>
  <c r="S284" i="2"/>
  <c r="S285" i="2"/>
  <c r="S286" i="2"/>
  <c r="S287" i="2"/>
  <c r="S288" i="2"/>
  <c r="S289" i="2"/>
  <c r="S277" i="2"/>
  <c r="S278" i="2"/>
  <c r="S279" i="2"/>
  <c r="R277" i="2"/>
  <c r="R278" i="2"/>
  <c r="R279" i="2"/>
  <c r="R283" i="2"/>
  <c r="R284" i="2"/>
  <c r="R286" i="2"/>
  <c r="R287" i="2"/>
  <c r="R288" i="2"/>
  <c r="R280" i="2"/>
  <c r="R281" i="2"/>
  <c r="R282" i="2"/>
  <c r="R285" i="2"/>
  <c r="R289" i="2"/>
  <c r="Q277" i="2"/>
  <c r="Q279" i="2"/>
  <c r="Q280" i="2"/>
  <c r="Q281" i="2"/>
  <c r="Q282" i="2"/>
  <c r="Q283" i="2"/>
  <c r="Q284" i="2"/>
  <c r="Q285" i="2"/>
  <c r="Q286" i="2"/>
  <c r="Q287" i="2"/>
  <c r="Q288" i="2"/>
  <c r="Q289" i="2"/>
  <c r="Q278" i="2"/>
  <c r="C11" i="3" a="1"/>
  <c r="C11" i="3" s="1"/>
  <c r="C12" i="3" a="1"/>
  <c r="C12" i="3" s="1"/>
  <c r="C13" i="3" a="1"/>
  <c r="C13" i="3" s="1"/>
  <c r="C5" i="3" a="1"/>
  <c r="C5" i="3" s="1"/>
  <c r="C14" i="3" a="1"/>
  <c r="C14" i="3" s="1"/>
  <c r="C7" i="3" a="1"/>
  <c r="C7" i="3" s="1"/>
  <c r="C16" i="3" a="1"/>
  <c r="C16" i="3" s="1"/>
  <c r="C8" i="3" a="1"/>
  <c r="C8" i="3" s="1"/>
  <c r="B4" i="3"/>
  <c r="C6" i="3" a="1"/>
  <c r="C6" i="3" s="1"/>
  <c r="C15" i="3" a="1"/>
  <c r="C15" i="3" s="1"/>
  <c r="C9" i="3" a="1"/>
  <c r="C9" i="3" s="1"/>
  <c r="AI55" i="2"/>
  <c r="AI87" i="2"/>
  <c r="AI135" i="2"/>
  <c r="AI199" i="2"/>
  <c r="AI177" i="2"/>
  <c r="AI15" i="2"/>
  <c r="AI30" i="2"/>
  <c r="AI169" i="2"/>
  <c r="AI86" i="2"/>
  <c r="AI51" i="2"/>
  <c r="AI223" i="2"/>
  <c r="AI125" i="2"/>
  <c r="AI267" i="2"/>
  <c r="AI156" i="2"/>
  <c r="AI216" i="2"/>
  <c r="AI69" i="2"/>
  <c r="AI114" i="2"/>
  <c r="AI183" i="2"/>
  <c r="AI247" i="2"/>
  <c r="AI56" i="2"/>
  <c r="AI152" i="2"/>
  <c r="AI8" i="2"/>
  <c r="AI244" i="2"/>
  <c r="AI50" i="2"/>
  <c r="AI63" i="2"/>
  <c r="AI62" i="2"/>
  <c r="AI58" i="2"/>
  <c r="AI230" i="2"/>
  <c r="AI163" i="2"/>
  <c r="AI144" i="2"/>
  <c r="AI157" i="2"/>
  <c r="AI260" i="2"/>
  <c r="AI252" i="2"/>
  <c r="AI105" i="2"/>
  <c r="AI162" i="2"/>
  <c r="AI210" i="2"/>
  <c r="AI242" i="2"/>
  <c r="AI19" i="2"/>
  <c r="AI232" i="2"/>
  <c r="AI76" i="2"/>
  <c r="AI136" i="2"/>
  <c r="AI101" i="2"/>
  <c r="AI130" i="2"/>
  <c r="AI127" i="2"/>
  <c r="AI94" i="2"/>
  <c r="AI154" i="2"/>
  <c r="AI71" i="2"/>
  <c r="AI4" i="2"/>
  <c r="AI224" i="2"/>
  <c r="AI189" i="2"/>
  <c r="AI270" i="2"/>
  <c r="AI36" i="2"/>
  <c r="AI245" i="2"/>
  <c r="AI253" i="2"/>
  <c r="AI117" i="2"/>
  <c r="AI73" i="2"/>
  <c r="AI21" i="2"/>
  <c r="AI217" i="2"/>
  <c r="AI20" i="2"/>
  <c r="AI251" i="2"/>
  <c r="AI96" i="2"/>
  <c r="AI126" i="2"/>
  <c r="AI147" i="2"/>
  <c r="AI138" i="2"/>
  <c r="AI28" i="2"/>
  <c r="AI271" i="2"/>
  <c r="AI27" i="2"/>
  <c r="AI201" i="2"/>
  <c r="AI161" i="2"/>
  <c r="AI9" i="2"/>
  <c r="AI14" i="2"/>
  <c r="AI124" i="2"/>
  <c r="AI128" i="2"/>
  <c r="AI151" i="2"/>
  <c r="AI255" i="2"/>
  <c r="AI7" i="2"/>
  <c r="AI239" i="2"/>
  <c r="AI134" i="2"/>
  <c r="AI23" i="2"/>
  <c r="AI133" i="2"/>
  <c r="AI272" i="2"/>
  <c r="AI92" i="2"/>
  <c r="AI264" i="2"/>
  <c r="AI53" i="2"/>
  <c r="AI220" i="2"/>
  <c r="AI225" i="2"/>
  <c r="AI137" i="2"/>
  <c r="AI243" i="2"/>
  <c r="AI187" i="2"/>
  <c r="AI109" i="2"/>
  <c r="AI110" i="2"/>
  <c r="AI99" i="2"/>
  <c r="AI74" i="2"/>
  <c r="AI203" i="2"/>
  <c r="AI181" i="2"/>
  <c r="AI237" i="2"/>
  <c r="AI248" i="2"/>
  <c r="AI3" i="2"/>
  <c r="AP4" i="2" s="1"/>
  <c r="AI72" i="2"/>
  <c r="AI80" i="2"/>
  <c r="AI103" i="2"/>
  <c r="AI258" i="2"/>
  <c r="AI115" i="2"/>
  <c r="AI207" i="2"/>
  <c r="AI70" i="2"/>
  <c r="AI214" i="2"/>
  <c r="AI66" i="2"/>
  <c r="AI263" i="2"/>
  <c r="AI37" i="2"/>
  <c r="AI238" i="2"/>
  <c r="AI196" i="2"/>
  <c r="AI64" i="2"/>
  <c r="AI39" i="2"/>
  <c r="AI257" i="2"/>
  <c r="AI191" i="2"/>
  <c r="AI159" i="2"/>
  <c r="AI6" i="2"/>
  <c r="AI118" i="2"/>
  <c r="AI18" i="2"/>
  <c r="AI261" i="2"/>
  <c r="AI262" i="2"/>
  <c r="AI52" i="2"/>
  <c r="AI148" i="2"/>
  <c r="AI29" i="2"/>
  <c r="AI43" i="2"/>
  <c r="AI149" i="2"/>
  <c r="AI122" i="2"/>
  <c r="AI164" i="2"/>
  <c r="AI112" i="2"/>
  <c r="AI123" i="2"/>
  <c r="AI205" i="2"/>
  <c r="AI91" i="2"/>
  <c r="AI219" i="2"/>
  <c r="AI79" i="2"/>
  <c r="AI256" i="2"/>
  <c r="AI25" i="2"/>
  <c r="AI226" i="2"/>
  <c r="AI104" i="2"/>
  <c r="AI139" i="2"/>
  <c r="AI174" i="2"/>
  <c r="AI65" i="2"/>
  <c r="AI172" i="2"/>
  <c r="AI32" i="2"/>
  <c r="AI34" i="2"/>
  <c r="AI61" i="2"/>
  <c r="AI236" i="2"/>
  <c r="AI229" i="2"/>
  <c r="AI108" i="2"/>
  <c r="AI5" i="2"/>
  <c r="AI192" i="2"/>
  <c r="AI180" i="2"/>
  <c r="AI145" i="2"/>
  <c r="AI102" i="2"/>
  <c r="AI165" i="2"/>
  <c r="AI143" i="2"/>
  <c r="AI42" i="2"/>
  <c r="AI185" i="2"/>
  <c r="AI141" i="2"/>
  <c r="AI204" i="2"/>
  <c r="AI227" i="2"/>
  <c r="AI88" i="2"/>
  <c r="AI184" i="2"/>
  <c r="AI90" i="2"/>
  <c r="AI41" i="2"/>
  <c r="AI146" i="2"/>
  <c r="AI208" i="2"/>
  <c r="AI85" i="2"/>
  <c r="AI211" i="2"/>
  <c r="AI173" i="2"/>
  <c r="AI246" i="2"/>
  <c r="AI171" i="2"/>
  <c r="AI44" i="2"/>
  <c r="AG2" i="2"/>
  <c r="AI131" i="2"/>
  <c r="AI38" i="2"/>
  <c r="AI93" i="2"/>
  <c r="AI186" i="2"/>
  <c r="AI218" i="2"/>
  <c r="AI68" i="2"/>
  <c r="AI202" i="2"/>
  <c r="AI153" i="2"/>
  <c r="AI140" i="2"/>
  <c r="AI111" i="2"/>
  <c r="AI166" i="2"/>
  <c r="AI249" i="2"/>
  <c r="AI158" i="2"/>
  <c r="AI221" i="2"/>
  <c r="AI129" i="2"/>
  <c r="AI82" i="2"/>
  <c r="AI78" i="2"/>
  <c r="AI22" i="2"/>
  <c r="AI160" i="2"/>
  <c r="AI97" i="2"/>
  <c r="AI13" i="2"/>
  <c r="AI213" i="2"/>
  <c r="AI178" i="2"/>
  <c r="AI250" i="2"/>
  <c r="AI179" i="2"/>
  <c r="AI228" i="2"/>
  <c r="AI31" i="2"/>
  <c r="AI121" i="2"/>
  <c r="AI197" i="2"/>
  <c r="AI193" i="2"/>
  <c r="AI182" i="2"/>
  <c r="AI120" i="2"/>
  <c r="AI209" i="2"/>
  <c r="AI47" i="2"/>
  <c r="AI89" i="2"/>
  <c r="AI26" i="2"/>
  <c r="AI57" i="2"/>
  <c r="AI235" i="2"/>
  <c r="AI195" i="2"/>
  <c r="AI67" i="2"/>
  <c r="AI59" i="2"/>
  <c r="AI17" i="2"/>
  <c r="AI222" i="2"/>
  <c r="AI254" i="2"/>
  <c r="AI113" i="2"/>
  <c r="AI116" i="2"/>
  <c r="AI81" i="2"/>
  <c r="AI45" i="2"/>
  <c r="AI132" i="2"/>
  <c r="AI24" i="2"/>
  <c r="AI100" i="2"/>
  <c r="AI46" i="2"/>
  <c r="AI40" i="2"/>
  <c r="AI119" i="2"/>
  <c r="AI155" i="2"/>
  <c r="AI98" i="2"/>
  <c r="AI60" i="2"/>
  <c r="AI16" i="2"/>
  <c r="AI200" i="2"/>
  <c r="AI265" i="2"/>
  <c r="AI54" i="2"/>
  <c r="AI188" i="2"/>
  <c r="AI35" i="2"/>
  <c r="AI150" i="2"/>
  <c r="AI212" i="2"/>
  <c r="AI268" i="2"/>
  <c r="AI259" i="2"/>
  <c r="AI269" i="2"/>
  <c r="AI198" i="2"/>
  <c r="AI176" i="2"/>
  <c r="AI234" i="2"/>
  <c r="AI167" i="2"/>
  <c r="AI240" i="2"/>
  <c r="AI49" i="2"/>
  <c r="AI206" i="2"/>
  <c r="AI84" i="2"/>
  <c r="AI33" i="2"/>
  <c r="AI215" i="2"/>
  <c r="AI10" i="2"/>
  <c r="AI241" i="2"/>
  <c r="AI142" i="2"/>
  <c r="AI190" i="2"/>
  <c r="AI231" i="2"/>
  <c r="AI266" i="2"/>
  <c r="AI75" i="2"/>
  <c r="AI12" i="2"/>
  <c r="AI48" i="2"/>
  <c r="AI83" i="2"/>
  <c r="AI170" i="2"/>
  <c r="AI107" i="2"/>
  <c r="AI77" i="2"/>
  <c r="AI194" i="2"/>
  <c r="AI175" i="2"/>
  <c r="AI233" i="2"/>
  <c r="AI95" i="2"/>
  <c r="AI106" i="2"/>
  <c r="AI168" i="2"/>
  <c r="AI11" i="2"/>
  <c r="Y274" i="2"/>
  <c r="Y275" i="2"/>
  <c r="Y270" i="2"/>
  <c r="Y271" i="2"/>
  <c r="Y272" i="2"/>
  <c r="Y268" i="2"/>
  <c r="Y273" i="2"/>
  <c r="Y263" i="2"/>
  <c r="Y265" i="2"/>
  <c r="Y269" i="2"/>
  <c r="Y258" i="2"/>
  <c r="Y259" i="2"/>
  <c r="Y260" i="2"/>
  <c r="Y256" i="2"/>
  <c r="Y257" i="2"/>
  <c r="Y276" i="2"/>
  <c r="Y63" i="2"/>
  <c r="Y118" i="2"/>
  <c r="Y77" i="2"/>
  <c r="Y23" i="2"/>
  <c r="Y213" i="2"/>
  <c r="Y78" i="2"/>
  <c r="Y174" i="2"/>
  <c r="Y22" i="2"/>
  <c r="Y237" i="2"/>
  <c r="Y228" i="2"/>
  <c r="Y222" i="2"/>
  <c r="Y264" i="2"/>
  <c r="Y95" i="2"/>
  <c r="Y54" i="2"/>
  <c r="Y121" i="2"/>
  <c r="Y75" i="2"/>
  <c r="Y245" i="2"/>
  <c r="Y120" i="2"/>
  <c r="Y227" i="2"/>
  <c r="Y102" i="2"/>
  <c r="Y199" i="2"/>
  <c r="Y129" i="2"/>
  <c r="Y261" i="2"/>
  <c r="Y266" i="2"/>
  <c r="Y106" i="2"/>
  <c r="Y69" i="2"/>
  <c r="Y103" i="2"/>
  <c r="Y117" i="2"/>
  <c r="Y152" i="2"/>
  <c r="Y207" i="2"/>
  <c r="Y13" i="2"/>
  <c r="Y99" i="2"/>
  <c r="Y196" i="2"/>
  <c r="Y248" i="2"/>
  <c r="Y158" i="2"/>
  <c r="Y37" i="2"/>
  <c r="Y76" i="2"/>
  <c r="Y93" i="2"/>
  <c r="Y15" i="2"/>
  <c r="Y104" i="2"/>
  <c r="Y134" i="2"/>
  <c r="Y128" i="2"/>
  <c r="Y176" i="2"/>
  <c r="Y223" i="2"/>
  <c r="Y50" i="2"/>
  <c r="Y132" i="2"/>
  <c r="Y198" i="2"/>
  <c r="Y65" i="2"/>
  <c r="Y31" i="2"/>
  <c r="Y45" i="2"/>
  <c r="Y150" i="2"/>
  <c r="Y144" i="2"/>
  <c r="Y190" i="2"/>
  <c r="Y239" i="2"/>
  <c r="Y124" i="2"/>
  <c r="Y204" i="2"/>
  <c r="Y243" i="2"/>
  <c r="Y97" i="2"/>
  <c r="Y254" i="2"/>
  <c r="Y208" i="2"/>
  <c r="Y215" i="2"/>
  <c r="Y56" i="2"/>
  <c r="Y47" i="2"/>
  <c r="Y89" i="2"/>
  <c r="Y166" i="2"/>
  <c r="Y11" i="2"/>
  <c r="Y255" i="2"/>
  <c r="Y20" i="2"/>
  <c r="Y92" i="2"/>
  <c r="Y49" i="2"/>
  <c r="Y234" i="2"/>
  <c r="Y181" i="2"/>
  <c r="Y211" i="2"/>
  <c r="Y70" i="2"/>
  <c r="Y172" i="2"/>
  <c r="Y72" i="2"/>
  <c r="Y220" i="2"/>
  <c r="Y205" i="2"/>
  <c r="Y66" i="2"/>
  <c r="Y36" i="2"/>
  <c r="Y101" i="2"/>
  <c r="Y94" i="2"/>
  <c r="Y250" i="2"/>
  <c r="Y236" i="2"/>
  <c r="Y242" i="2"/>
  <c r="Y136" i="2"/>
  <c r="Y179" i="2"/>
  <c r="Y185" i="2"/>
  <c r="Y35" i="2"/>
  <c r="Y251" i="2"/>
  <c r="Y143" i="2"/>
  <c r="Y52" i="2"/>
  <c r="Y107" i="2"/>
  <c r="Y43" i="2"/>
  <c r="Y14" i="2"/>
  <c r="Y53" i="2"/>
  <c r="Y244" i="2"/>
  <c r="Y165" i="2"/>
  <c r="Y217" i="2"/>
  <c r="Y28" i="2"/>
  <c r="Y163" i="2"/>
  <c r="Y41" i="2"/>
  <c r="Y82" i="2"/>
  <c r="Y68" i="2"/>
  <c r="Y6" i="2"/>
  <c r="Y64" i="2"/>
  <c r="Y46" i="2"/>
  <c r="Y67" i="2"/>
  <c r="Y40" i="2"/>
  <c r="Y168" i="2"/>
  <c r="Y233" i="2"/>
  <c r="Y148" i="2"/>
  <c r="Y200" i="2"/>
  <c r="Y127" i="2"/>
  <c r="Y178" i="2"/>
  <c r="Y84" i="2"/>
  <c r="Y19" i="2"/>
  <c r="Y80" i="2"/>
  <c r="Y62" i="2"/>
  <c r="Y81" i="2"/>
  <c r="Y57" i="2"/>
  <c r="Y216" i="2"/>
  <c r="Y246" i="2"/>
  <c r="Y164" i="2"/>
  <c r="Y12" i="2"/>
  <c r="Y235" i="2"/>
  <c r="Y100" i="2"/>
  <c r="Y32" i="2"/>
  <c r="Y96" i="2"/>
  <c r="Y113" i="2"/>
  <c r="Y212" i="2"/>
  <c r="Y206" i="2"/>
  <c r="Y253" i="2"/>
  <c r="Y91" i="2"/>
  <c r="Y175" i="2"/>
  <c r="Y157" i="2"/>
  <c r="Y108" i="2"/>
  <c r="Y7" i="2"/>
  <c r="Y182" i="2"/>
  <c r="Y111" i="2"/>
  <c r="Y125" i="2"/>
  <c r="Y221" i="2"/>
  <c r="Y109" i="2"/>
  <c r="Y130" i="2"/>
  <c r="Y115" i="2"/>
  <c r="Y9" i="2"/>
  <c r="Y209" i="2"/>
  <c r="Y231" i="2"/>
  <c r="Y267" i="2"/>
  <c r="Y123" i="2"/>
  <c r="Y197" i="2"/>
  <c r="Y230" i="2"/>
  <c r="Y247" i="2"/>
  <c r="Y226" i="2"/>
  <c r="Y112" i="2"/>
  <c r="Y30" i="2"/>
  <c r="Y229" i="2"/>
  <c r="Y126" i="2"/>
  <c r="Y27" i="2"/>
  <c r="Y122" i="2"/>
  <c r="Y138" i="2"/>
  <c r="Y39" i="2"/>
  <c r="Y55" i="2"/>
  <c r="Y141" i="2"/>
  <c r="Y180" i="2"/>
  <c r="Y210" i="2"/>
  <c r="Y151" i="2"/>
  <c r="Y48" i="2"/>
  <c r="Y71" i="2"/>
  <c r="Y5" i="2"/>
  <c r="Y189" i="2"/>
  <c r="Y24" i="2"/>
  <c r="Y192" i="2"/>
  <c r="Y10" i="2"/>
  <c r="Y83" i="2"/>
  <c r="Y87" i="2"/>
  <c r="Y85" i="2"/>
  <c r="Y59" i="2"/>
  <c r="Y86" i="2"/>
  <c r="Y17" i="2"/>
  <c r="Y26" i="2"/>
  <c r="Y8" i="2"/>
  <c r="Y202" i="2"/>
  <c r="Y119" i="2"/>
  <c r="Y140" i="2"/>
  <c r="Y170" i="2"/>
  <c r="Y184" i="2"/>
  <c r="Y60" i="2"/>
  <c r="Y183" i="2"/>
  <c r="Y153" i="2"/>
  <c r="Y131" i="2"/>
  <c r="Y191" i="2"/>
  <c r="Y214" i="2"/>
  <c r="Y98" i="2"/>
  <c r="Y33" i="2"/>
  <c r="Y156" i="2"/>
  <c r="Y241" i="2"/>
  <c r="Y155" i="2"/>
  <c r="Y42" i="2"/>
  <c r="Y21" i="2"/>
  <c r="Y61" i="2"/>
  <c r="Y195" i="2"/>
  <c r="Y240" i="2"/>
  <c r="Y177" i="2"/>
  <c r="Y34" i="2"/>
  <c r="Y137" i="2"/>
  <c r="Y201" i="2"/>
  <c r="Y146" i="2"/>
  <c r="Y171" i="2"/>
  <c r="Y105" i="2"/>
  <c r="Y162" i="2"/>
  <c r="Y149" i="2"/>
  <c r="Y73" i="2"/>
  <c r="Y154" i="2"/>
  <c r="Y194" i="2"/>
  <c r="Y114" i="2"/>
  <c r="Y167" i="2"/>
  <c r="Y110" i="2"/>
  <c r="Y161" i="2"/>
  <c r="Y139" i="2"/>
  <c r="Y224" i="2"/>
  <c r="Y29" i="2"/>
  <c r="Y193" i="2"/>
  <c r="Y16" i="2"/>
  <c r="Y116" i="2"/>
  <c r="Y74" i="2"/>
  <c r="Y147" i="2"/>
  <c r="Y51" i="2"/>
  <c r="Y203" i="2"/>
  <c r="Y238" i="2"/>
  <c r="Y145" i="2"/>
  <c r="Y186" i="2"/>
  <c r="Y219" i="2"/>
  <c r="Y90" i="2"/>
  <c r="Y79" i="2"/>
  <c r="Y4" i="2"/>
  <c r="Y187" i="2"/>
  <c r="Y135" i="2"/>
  <c r="Y44" i="2"/>
  <c r="Y262" i="2"/>
  <c r="Y159" i="2"/>
  <c r="Y38" i="2"/>
  <c r="Y142" i="2"/>
  <c r="Y169" i="2"/>
  <c r="Y188" i="2"/>
  <c r="Y173" i="2"/>
  <c r="Y88" i="2"/>
  <c r="Y225" i="2"/>
  <c r="Y25" i="2"/>
  <c r="Y218" i="2"/>
  <c r="Y160" i="2"/>
  <c r="Y133" i="2"/>
  <c r="Y252" i="2"/>
  <c r="Y249" i="2"/>
  <c r="Y18" i="2"/>
  <c r="Y232" i="2"/>
  <c r="Y58" i="2"/>
  <c r="Q273" i="2"/>
  <c r="Q274" i="2"/>
  <c r="Q276" i="2"/>
  <c r="Q264" i="2"/>
  <c r="Q265" i="2"/>
  <c r="Q266" i="2"/>
  <c r="Q267" i="2"/>
  <c r="Q268" i="2"/>
  <c r="Q269" i="2"/>
  <c r="Q256" i="2"/>
  <c r="Q255" i="2"/>
  <c r="Q257" i="2"/>
  <c r="Q275" i="2"/>
  <c r="Q258" i="2"/>
  <c r="Q263" i="2"/>
  <c r="Q270" i="2"/>
  <c r="Q260" i="2"/>
  <c r="Q93" i="2"/>
  <c r="Q35" i="2"/>
  <c r="Q52" i="2"/>
  <c r="Q142" i="2"/>
  <c r="Q138" i="2"/>
  <c r="Q253" i="2"/>
  <c r="Q211" i="2"/>
  <c r="Q27" i="2"/>
  <c r="Q212" i="2"/>
  <c r="Q180" i="2"/>
  <c r="Q113" i="2"/>
  <c r="Q12" i="2"/>
  <c r="Q230" i="2"/>
  <c r="Q187" i="2"/>
  <c r="Q215" i="2"/>
  <c r="Q130" i="2"/>
  <c r="Q272" i="2"/>
  <c r="Q262" i="2"/>
  <c r="Q34" i="2"/>
  <c r="Q79" i="2"/>
  <c r="Q78" i="2"/>
  <c r="Q174" i="2"/>
  <c r="Q178" i="2"/>
  <c r="Q36" i="2"/>
  <c r="Q21" i="2"/>
  <c r="Q83" i="2"/>
  <c r="Q8" i="2"/>
  <c r="Q244" i="2"/>
  <c r="Q197" i="2"/>
  <c r="Q76" i="2"/>
  <c r="Q30" i="2"/>
  <c r="Q148" i="2"/>
  <c r="Q251" i="2"/>
  <c r="Q254" i="2"/>
  <c r="Q29" i="2"/>
  <c r="Q17" i="2"/>
  <c r="Q65" i="2"/>
  <c r="Q24" i="2"/>
  <c r="Q232" i="2"/>
  <c r="Q188" i="2"/>
  <c r="Q182" i="2"/>
  <c r="Q53" i="2"/>
  <c r="Q107" i="2"/>
  <c r="Q194" i="2"/>
  <c r="Q160" i="2"/>
  <c r="Q206" i="2"/>
  <c r="Q89" i="2"/>
  <c r="Q59" i="2"/>
  <c r="Q45" i="2"/>
  <c r="Q26" i="2"/>
  <c r="Q91" i="2"/>
  <c r="Q43" i="2"/>
  <c r="Q248" i="2"/>
  <c r="Q210" i="2"/>
  <c r="Q184" i="2"/>
  <c r="Q111" i="2"/>
  <c r="Q120" i="2"/>
  <c r="Q213" i="2"/>
  <c r="Q109" i="2"/>
  <c r="Q85" i="2"/>
  <c r="Q172" i="2"/>
  <c r="Q134" i="2"/>
  <c r="Q61" i="2"/>
  <c r="Q70" i="2"/>
  <c r="Q104" i="2"/>
  <c r="Q69" i="2"/>
  <c r="Q114" i="2"/>
  <c r="Q226" i="2"/>
  <c r="Q189" i="2"/>
  <c r="Q151" i="2"/>
  <c r="Q229" i="2"/>
  <c r="Q218" i="2"/>
  <c r="Q128" i="2"/>
  <c r="Q140" i="2"/>
  <c r="Q220" i="2"/>
  <c r="Q209" i="2"/>
  <c r="Q77" i="2"/>
  <c r="Q88" i="2"/>
  <c r="Q116" i="2"/>
  <c r="Q95" i="2"/>
  <c r="Q132" i="2"/>
  <c r="Q242" i="2"/>
  <c r="Q231" i="2"/>
  <c r="Q167" i="2"/>
  <c r="Q117" i="2"/>
  <c r="Q234" i="2"/>
  <c r="Q186" i="2"/>
  <c r="Q159" i="2"/>
  <c r="Q199" i="2"/>
  <c r="Q44" i="2"/>
  <c r="Q87" i="2"/>
  <c r="Q169" i="2"/>
  <c r="Q75" i="2"/>
  <c r="Q150" i="2"/>
  <c r="Q41" i="2"/>
  <c r="Q155" i="2"/>
  <c r="Q16" i="2"/>
  <c r="Q133" i="2"/>
  <c r="Q139" i="2"/>
  <c r="Q125" i="2"/>
  <c r="Q103" i="2"/>
  <c r="Q185" i="2"/>
  <c r="Q129" i="2"/>
  <c r="Q164" i="2"/>
  <c r="Q92" i="2"/>
  <c r="Q163" i="2"/>
  <c r="Q31" i="2"/>
  <c r="Q179" i="2"/>
  <c r="Q10" i="2"/>
  <c r="Q203" i="2"/>
  <c r="Q121" i="2"/>
  <c r="Q9" i="2"/>
  <c r="Q154" i="2"/>
  <c r="Q15" i="2"/>
  <c r="Q146" i="2"/>
  <c r="Q207" i="2"/>
  <c r="Q239" i="2"/>
  <c r="Q236" i="2"/>
  <c r="Q101" i="2"/>
  <c r="Q42" i="2"/>
  <c r="Q11" i="2"/>
  <c r="Q28" i="2"/>
  <c r="Q192" i="2"/>
  <c r="Q94" i="2"/>
  <c r="Q56" i="2"/>
  <c r="Q238" i="2"/>
  <c r="Q47" i="2"/>
  <c r="Q152" i="2"/>
  <c r="Q193" i="2"/>
  <c r="Q224" i="2"/>
  <c r="Q20" i="2"/>
  <c r="Q54" i="2"/>
  <c r="Q200" i="2"/>
  <c r="Q108" i="2"/>
  <c r="Q60" i="2"/>
  <c r="Q252" i="2"/>
  <c r="Q84" i="2"/>
  <c r="Q166" i="2"/>
  <c r="Q225" i="2"/>
  <c r="Q228" i="2"/>
  <c r="Q259" i="2"/>
  <c r="Q13" i="2"/>
  <c r="Q64" i="2"/>
  <c r="Q80" i="2"/>
  <c r="Q216" i="2"/>
  <c r="Q202" i="2"/>
  <c r="Q81" i="2"/>
  <c r="Q99" i="2"/>
  <c r="Q143" i="2"/>
  <c r="Q198" i="2"/>
  <c r="Q233" i="2"/>
  <c r="Q235" i="2"/>
  <c r="Q261" i="2"/>
  <c r="Q18" i="2"/>
  <c r="Q73" i="2"/>
  <c r="Q119" i="2"/>
  <c r="Q157" i="2"/>
  <c r="Q246" i="2"/>
  <c r="Q217" i="2"/>
  <c r="Q135" i="2"/>
  <c r="Q37" i="2"/>
  <c r="Q241" i="2"/>
  <c r="Q72" i="2"/>
  <c r="Q144" i="2"/>
  <c r="Q50" i="2"/>
  <c r="Q110" i="2"/>
  <c r="Q126" i="2"/>
  <c r="Q171" i="2"/>
  <c r="Q63" i="2"/>
  <c r="Q219" i="2"/>
  <c r="Q82" i="2"/>
  <c r="Q190" i="2"/>
  <c r="Q123" i="2"/>
  <c r="Q168" i="2"/>
  <c r="Q115" i="2"/>
  <c r="Q201" i="2"/>
  <c r="Q271" i="2"/>
  <c r="Q98" i="2"/>
  <c r="Q106" i="2"/>
  <c r="Q127" i="2"/>
  <c r="Q183" i="2"/>
  <c r="Q162" i="2"/>
  <c r="Q136" i="2"/>
  <c r="Q7" i="2"/>
  <c r="Q112" i="2"/>
  <c r="Q170" i="2"/>
  <c r="Q204" i="2"/>
  <c r="Q214" i="2"/>
  <c r="Q191" i="2"/>
  <c r="Q23" i="2"/>
  <c r="Q131" i="2"/>
  <c r="Q175" i="2"/>
  <c r="Q227" i="2"/>
  <c r="Q62" i="2"/>
  <c r="Q196" i="2"/>
  <c r="Q39" i="2"/>
  <c r="Q6" i="2"/>
  <c r="Q177" i="2"/>
  <c r="Q141" i="2"/>
  <c r="Q57" i="2"/>
  <c r="Q55" i="2"/>
  <c r="Q22" i="2"/>
  <c r="Q240" i="2"/>
  <c r="Q161" i="2"/>
  <c r="Q97" i="2"/>
  <c r="Q38" i="2"/>
  <c r="Q145" i="2"/>
  <c r="Q165" i="2"/>
  <c r="Q33" i="2"/>
  <c r="Q195" i="2"/>
  <c r="Q147" i="2"/>
  <c r="Q176" i="2"/>
  <c r="Q68" i="2"/>
  <c r="Q205" i="2"/>
  <c r="Q149" i="2"/>
  <c r="Q51" i="2"/>
  <c r="Q221" i="2"/>
  <c r="Q156" i="2"/>
  <c r="Q40" i="2"/>
  <c r="Q48" i="2"/>
  <c r="Q5" i="2"/>
  <c r="Q181" i="2"/>
  <c r="Q14" i="2"/>
  <c r="Q237" i="2"/>
  <c r="Q208" i="2"/>
  <c r="Q173" i="2"/>
  <c r="Q71" i="2"/>
  <c r="Q100" i="2"/>
  <c r="Q105" i="2"/>
  <c r="Q66" i="2"/>
  <c r="Q4" i="2"/>
  <c r="Q223" i="2"/>
  <c r="Q243" i="2"/>
  <c r="Q74" i="2"/>
  <c r="Q96" i="2"/>
  <c r="Q32" i="2"/>
  <c r="Q247" i="2"/>
  <c r="Q153" i="2"/>
  <c r="Q86" i="2"/>
  <c r="Q245" i="2"/>
  <c r="Q137" i="2"/>
  <c r="Q46" i="2"/>
  <c r="Q25" i="2"/>
  <c r="Q222" i="2"/>
  <c r="Q124" i="2"/>
  <c r="Q19" i="2"/>
  <c r="Q102" i="2"/>
  <c r="Q118" i="2"/>
  <c r="Q90" i="2"/>
  <c r="Q249" i="2"/>
  <c r="Q250" i="2"/>
  <c r="Q122" i="2"/>
  <c r="Q49" i="2"/>
  <c r="Q58" i="2"/>
  <c r="Q67" i="2"/>
  <c r="Q158" i="2"/>
  <c r="AK270" i="2"/>
  <c r="AK36" i="2"/>
  <c r="AK162" i="2"/>
  <c r="AK211" i="2"/>
  <c r="AK193" i="2"/>
  <c r="AK3" i="2"/>
  <c r="AQ4" i="2" s="1"/>
  <c r="AK61" i="2"/>
  <c r="AK154" i="2"/>
  <c r="AK168" i="2"/>
  <c r="AK96" i="2"/>
  <c r="AK140" i="2"/>
  <c r="AK272" i="2"/>
  <c r="AK6" i="2"/>
  <c r="AK37" i="2"/>
  <c r="AK68" i="2"/>
  <c r="AK177" i="2"/>
  <c r="AK18" i="2"/>
  <c r="AK79" i="2"/>
  <c r="AK176" i="2"/>
  <c r="AK141" i="2"/>
  <c r="AK234" i="2"/>
  <c r="AK216" i="2"/>
  <c r="AK13" i="2"/>
  <c r="AK42" i="2"/>
  <c r="AK38" i="2"/>
  <c r="AK69" i="2"/>
  <c r="AK241" i="2"/>
  <c r="AK225" i="2"/>
  <c r="AK194" i="2"/>
  <c r="AK48" i="2"/>
  <c r="AK258" i="2"/>
  <c r="AK128" i="2"/>
  <c r="AK250" i="2"/>
  <c r="AK104" i="2"/>
  <c r="AK262" i="2"/>
  <c r="AK113" i="2"/>
  <c r="AK132" i="2"/>
  <c r="AK118" i="2"/>
  <c r="AK238" i="2"/>
  <c r="AK121" i="2"/>
  <c r="AK153" i="2"/>
  <c r="AK185" i="2"/>
  <c r="AK151" i="2"/>
  <c r="AK239" i="2"/>
  <c r="AK188" i="2"/>
  <c r="AK246" i="2"/>
  <c r="AK215" i="2"/>
  <c r="AK222" i="2"/>
  <c r="AK26" i="2"/>
  <c r="AK64" i="2"/>
  <c r="AK81" i="2"/>
  <c r="AK117" i="2"/>
  <c r="AK43" i="2"/>
  <c r="AK87" i="2"/>
  <c r="AK204" i="2"/>
  <c r="AK45" i="2"/>
  <c r="AK93" i="2"/>
  <c r="AK217" i="2"/>
  <c r="AK167" i="2"/>
  <c r="AK16" i="2"/>
  <c r="AK236" i="2"/>
  <c r="AK202" i="2"/>
  <c r="AK88" i="2"/>
  <c r="AK220" i="2"/>
  <c r="AK116" i="2"/>
  <c r="AK102" i="2"/>
  <c r="AK174" i="2"/>
  <c r="AK105" i="2"/>
  <c r="AK240" i="2"/>
  <c r="AK33" i="2"/>
  <c r="AK257" i="2"/>
  <c r="AK173" i="2"/>
  <c r="AK10" i="2"/>
  <c r="AK183" i="2"/>
  <c r="AK80" i="2"/>
  <c r="AK274" i="2"/>
  <c r="AK158" i="2"/>
  <c r="AK249" i="2"/>
  <c r="AK265" i="2"/>
  <c r="AK131" i="2"/>
  <c r="AK101" i="2"/>
  <c r="AK11" i="2"/>
  <c r="AK71" i="2"/>
  <c r="AK160" i="2"/>
  <c r="AK248" i="2"/>
  <c r="AK25" i="2"/>
  <c r="AK41" i="2"/>
  <c r="AK8" i="2"/>
  <c r="AK253" i="2"/>
  <c r="AK58" i="2"/>
  <c r="AK199" i="2"/>
  <c r="AK273" i="2"/>
  <c r="AK21" i="2"/>
  <c r="AK110" i="2"/>
  <c r="AK7" i="2"/>
  <c r="AK106" i="2"/>
  <c r="AK57" i="2"/>
  <c r="AK226" i="2"/>
  <c r="AK15" i="2"/>
  <c r="AK44" i="2"/>
  <c r="AJ2" i="2"/>
  <c r="AK214" i="2"/>
  <c r="AK169" i="2"/>
  <c r="AK205" i="2"/>
  <c r="AK259" i="2"/>
  <c r="AK99" i="2"/>
  <c r="AK200" i="2"/>
  <c r="AK112" i="2"/>
  <c r="AK28" i="2"/>
  <c r="AK163" i="2"/>
  <c r="AK103" i="2"/>
  <c r="AK267" i="2"/>
  <c r="AK228" i="2"/>
  <c r="AK124" i="2"/>
  <c r="AK12" i="2"/>
  <c r="AK179" i="2"/>
  <c r="AK72" i="2"/>
  <c r="AK243" i="2"/>
  <c r="AK75" i="2"/>
  <c r="AK86" i="2"/>
  <c r="AK32" i="2"/>
  <c r="AK164" i="2"/>
  <c r="AK59" i="2"/>
  <c r="AK115" i="2"/>
  <c r="AK213" i="2"/>
  <c r="AK24" i="2"/>
  <c r="AK47" i="2"/>
  <c r="AK49" i="2"/>
  <c r="AK233" i="2"/>
  <c r="AK53" i="2"/>
  <c r="AK111" i="2"/>
  <c r="AK218" i="2"/>
  <c r="AK186" i="2"/>
  <c r="AK149" i="2"/>
  <c r="AK30" i="2"/>
  <c r="AK227" i="2"/>
  <c r="AK198" i="2"/>
  <c r="AK137" i="2"/>
  <c r="AK125" i="2"/>
  <c r="AK242" i="2"/>
  <c r="AK108" i="2"/>
  <c r="AK90" i="2"/>
  <c r="AK120" i="2"/>
  <c r="AK62" i="2"/>
  <c r="AK224" i="2"/>
  <c r="AK134" i="2"/>
  <c r="AK251" i="2"/>
  <c r="AK212" i="2"/>
  <c r="AK60" i="2"/>
  <c r="AK235" i="2"/>
  <c r="AK98" i="2"/>
  <c r="AK143" i="2"/>
  <c r="AK157" i="2"/>
  <c r="AK74" i="2"/>
  <c r="AK39" i="2"/>
  <c r="AK19" i="2"/>
  <c r="AK91" i="2"/>
  <c r="AK266" i="2"/>
  <c r="AK197" i="2"/>
  <c r="AK175" i="2"/>
  <c r="AK264" i="2"/>
  <c r="AK210" i="2"/>
  <c r="AK22" i="2"/>
  <c r="AK100" i="2"/>
  <c r="AK51" i="2"/>
  <c r="AK123" i="2"/>
  <c r="AK107" i="2"/>
  <c r="AK178" i="2"/>
  <c r="AK161" i="2"/>
  <c r="AK77" i="2"/>
  <c r="AK85" i="2"/>
  <c r="AK82" i="2"/>
  <c r="AK208" i="2"/>
  <c r="AK94" i="2"/>
  <c r="AK35" i="2"/>
  <c r="AK20" i="2"/>
  <c r="AK192" i="2"/>
  <c r="AK70" i="2"/>
  <c r="AK126" i="2"/>
  <c r="AK195" i="2"/>
  <c r="AK182" i="2"/>
  <c r="AK147" i="2"/>
  <c r="AK5" i="2"/>
  <c r="AK231" i="2"/>
  <c r="AK170" i="2"/>
  <c r="AK55" i="2"/>
  <c r="AK65" i="2"/>
  <c r="AK261" i="2"/>
  <c r="AK269" i="2"/>
  <c r="AK255" i="2"/>
  <c r="AK172" i="2"/>
  <c r="AK14" i="2"/>
  <c r="AK145" i="2"/>
  <c r="AK180" i="2"/>
  <c r="AK127" i="2"/>
  <c r="AK244" i="2"/>
  <c r="AK122" i="2"/>
  <c r="AK191" i="2"/>
  <c r="AK23" i="2"/>
  <c r="AK83" i="2"/>
  <c r="AK165" i="2"/>
  <c r="AK135" i="2"/>
  <c r="AK229" i="2"/>
  <c r="AK78" i="2"/>
  <c r="AK232" i="2"/>
  <c r="AK144" i="2"/>
  <c r="AK156" i="2"/>
  <c r="AK46" i="2"/>
  <c r="AK139" i="2"/>
  <c r="AK114" i="2"/>
  <c r="AK97" i="2"/>
  <c r="AK40" i="2"/>
  <c r="AK263" i="2"/>
  <c r="AK159" i="2"/>
  <c r="AK260" i="2"/>
  <c r="AK209" i="2"/>
  <c r="AK56" i="2"/>
  <c r="AK17" i="2"/>
  <c r="AK136" i="2"/>
  <c r="AK237" i="2"/>
  <c r="AK66" i="2"/>
  <c r="AK201" i="2"/>
  <c r="AK130" i="2"/>
  <c r="AK9" i="2"/>
  <c r="AK150" i="2"/>
  <c r="AK73" i="2"/>
  <c r="AK76" i="2"/>
  <c r="AK52" i="2"/>
  <c r="AK187" i="2"/>
  <c r="AK171" i="2"/>
  <c r="AK203" i="2"/>
  <c r="AK95" i="2"/>
  <c r="AK133" i="2"/>
  <c r="AK252" i="2"/>
  <c r="AK247" i="2"/>
  <c r="AK92" i="2"/>
  <c r="AK268" i="2"/>
  <c r="AK27" i="2"/>
  <c r="AK184" i="2"/>
  <c r="AK129" i="2"/>
  <c r="AK271" i="2"/>
  <c r="AK31" i="2"/>
  <c r="AK189" i="2"/>
  <c r="AK67" i="2"/>
  <c r="AK152" i="2"/>
  <c r="AK29" i="2"/>
  <c r="AK109" i="2"/>
  <c r="AK4" i="2"/>
  <c r="AK223" i="2"/>
  <c r="AK254" i="2"/>
  <c r="AK148" i="2"/>
  <c r="AK245" i="2"/>
  <c r="AK221" i="2"/>
  <c r="AK207" i="2"/>
  <c r="AK89" i="2"/>
  <c r="AK34" i="2"/>
  <c r="AK146" i="2"/>
  <c r="AK196" i="2"/>
  <c r="AK181" i="2"/>
  <c r="AK166" i="2"/>
  <c r="AK219" i="2"/>
  <c r="AK256" i="2"/>
  <c r="AK119" i="2"/>
  <c r="AK190" i="2"/>
  <c r="AK50" i="2"/>
  <c r="AK84" i="2"/>
  <c r="AK54" i="2"/>
  <c r="AK138" i="2"/>
  <c r="AK63" i="2"/>
  <c r="AK230" i="2"/>
  <c r="AK155" i="2"/>
  <c r="AK206" i="2"/>
  <c r="AK142" i="2"/>
  <c r="W265" i="2"/>
  <c r="W266" i="2"/>
  <c r="W147" i="2"/>
  <c r="W267" i="2"/>
  <c r="W268" i="2"/>
  <c r="W271" i="2"/>
  <c r="W275" i="2"/>
  <c r="W99" i="2"/>
  <c r="W116" i="2"/>
  <c r="W166" i="2"/>
  <c r="W235" i="2"/>
  <c r="W110" i="2"/>
  <c r="W21" i="2"/>
  <c r="W150" i="2"/>
  <c r="W112" i="2"/>
  <c r="W231" i="2"/>
  <c r="W42" i="2"/>
  <c r="W29" i="2"/>
  <c r="W48" i="2"/>
  <c r="W185" i="2"/>
  <c r="W126" i="2"/>
  <c r="W225" i="2"/>
  <c r="W113" i="2"/>
  <c r="W276" i="2"/>
  <c r="W115" i="2"/>
  <c r="W132" i="2"/>
  <c r="W182" i="2"/>
  <c r="W12" i="2"/>
  <c r="W158" i="2"/>
  <c r="W37" i="2"/>
  <c r="W230" i="2"/>
  <c r="W192" i="2"/>
  <c r="W247" i="2"/>
  <c r="W90" i="2"/>
  <c r="W93" i="2"/>
  <c r="W96" i="2"/>
  <c r="W201" i="2"/>
  <c r="W206" i="2"/>
  <c r="W226" i="2"/>
  <c r="W114" i="2"/>
  <c r="W273" i="2"/>
  <c r="W270" i="2"/>
  <c r="W258" i="2"/>
  <c r="W131" i="2"/>
  <c r="W148" i="2"/>
  <c r="W198" i="2"/>
  <c r="W76" i="2"/>
  <c r="W190" i="2"/>
  <c r="W53" i="2"/>
  <c r="W26" i="2"/>
  <c r="W7" i="2"/>
  <c r="W8" i="2"/>
  <c r="W154" i="2"/>
  <c r="W141" i="2"/>
  <c r="W144" i="2"/>
  <c r="W217" i="2"/>
  <c r="W47" i="2"/>
  <c r="W129" i="2"/>
  <c r="W241" i="2"/>
  <c r="W274" i="2"/>
  <c r="W272" i="2"/>
  <c r="W259" i="2"/>
  <c r="W163" i="2"/>
  <c r="W164" i="2"/>
  <c r="W214" i="2"/>
  <c r="W108" i="2"/>
  <c r="W238" i="2"/>
  <c r="W69" i="2"/>
  <c r="W138" i="2"/>
  <c r="W23" i="2"/>
  <c r="W24" i="2"/>
  <c r="W186" i="2"/>
  <c r="W189" i="2"/>
  <c r="W208" i="2"/>
  <c r="W233" i="2"/>
  <c r="W191" i="2"/>
  <c r="W130" i="2"/>
  <c r="W242" i="2"/>
  <c r="W260" i="2"/>
  <c r="W179" i="2"/>
  <c r="W180" i="2"/>
  <c r="W246" i="2"/>
  <c r="W124" i="2"/>
  <c r="W31" i="2"/>
  <c r="W85" i="2"/>
  <c r="W234" i="2"/>
  <c r="W39" i="2"/>
  <c r="W40" i="2"/>
  <c r="W250" i="2"/>
  <c r="W205" i="2"/>
  <c r="W240" i="2"/>
  <c r="W249" i="2"/>
  <c r="W80" i="2"/>
  <c r="W145" i="2"/>
  <c r="W17" i="2"/>
  <c r="W261" i="2"/>
  <c r="W195" i="2"/>
  <c r="W196" i="2"/>
  <c r="W200" i="2"/>
  <c r="W172" i="2"/>
  <c r="W79" i="2"/>
  <c r="W101" i="2"/>
  <c r="W59" i="2"/>
  <c r="W55" i="2"/>
  <c r="W56" i="2"/>
  <c r="W27" i="2"/>
  <c r="W14" i="2"/>
  <c r="W9" i="2"/>
  <c r="W10" i="2"/>
  <c r="W176" i="2"/>
  <c r="W33" i="2"/>
  <c r="W269" i="2"/>
  <c r="W52" i="2"/>
  <c r="W106" i="2"/>
  <c r="W46" i="2"/>
  <c r="W181" i="2"/>
  <c r="W71" i="2"/>
  <c r="W168" i="2"/>
  <c r="W174" i="2"/>
  <c r="W153" i="2"/>
  <c r="W50" i="2"/>
  <c r="W255" i="2"/>
  <c r="W68" i="2"/>
  <c r="W170" i="2"/>
  <c r="W78" i="2"/>
  <c r="W197" i="2"/>
  <c r="W87" i="2"/>
  <c r="W184" i="2"/>
  <c r="W222" i="2"/>
  <c r="W169" i="2"/>
  <c r="W193" i="2"/>
  <c r="W256" i="2"/>
  <c r="W84" i="2"/>
  <c r="W202" i="2"/>
  <c r="W127" i="2"/>
  <c r="W213" i="2"/>
  <c r="W103" i="2"/>
  <c r="W216" i="2"/>
  <c r="W15" i="2"/>
  <c r="W74" i="2"/>
  <c r="W194" i="2"/>
  <c r="W257" i="2"/>
  <c r="W100" i="2"/>
  <c r="W11" i="2"/>
  <c r="W143" i="2"/>
  <c r="W229" i="2"/>
  <c r="W119" i="2"/>
  <c r="W248" i="2"/>
  <c r="W63" i="2"/>
  <c r="W122" i="2"/>
  <c r="W209" i="2"/>
  <c r="W228" i="2"/>
  <c r="W75" i="2"/>
  <c r="W175" i="2"/>
  <c r="W245" i="2"/>
  <c r="W135" i="2"/>
  <c r="W91" i="2"/>
  <c r="W111" i="2"/>
  <c r="W218" i="2"/>
  <c r="W210" i="2"/>
  <c r="W19" i="2"/>
  <c r="W244" i="2"/>
  <c r="W107" i="2"/>
  <c r="W223" i="2"/>
  <c r="W22" i="2"/>
  <c r="W151" i="2"/>
  <c r="W123" i="2"/>
  <c r="W159" i="2"/>
  <c r="W43" i="2"/>
  <c r="W224" i="2"/>
  <c r="W54" i="2"/>
  <c r="W221" i="2"/>
  <c r="W157" i="2"/>
  <c r="W139" i="2"/>
  <c r="W89" i="2"/>
  <c r="W177" i="2"/>
  <c r="W70" i="2"/>
  <c r="W30" i="2"/>
  <c r="W253" i="2"/>
  <c r="W219" i="2"/>
  <c r="W105" i="2"/>
  <c r="W178" i="2"/>
  <c r="W86" i="2"/>
  <c r="W32" i="2"/>
  <c r="W62" i="2"/>
  <c r="W251" i="2"/>
  <c r="W121" i="2"/>
  <c r="W65" i="2"/>
  <c r="W102" i="2"/>
  <c r="W64" i="2"/>
  <c r="W254" i="2"/>
  <c r="W28" i="2"/>
  <c r="W137" i="2"/>
  <c r="W66" i="2"/>
  <c r="W35" i="2"/>
  <c r="W118" i="2"/>
  <c r="W128" i="2"/>
  <c r="W95" i="2"/>
  <c r="W92" i="2"/>
  <c r="W187" i="2"/>
  <c r="W81" i="2"/>
  <c r="W51" i="2"/>
  <c r="W134" i="2"/>
  <c r="W160" i="2"/>
  <c r="W239" i="2"/>
  <c r="W140" i="2"/>
  <c r="W60" i="2"/>
  <c r="W82" i="2"/>
  <c r="W38" i="2"/>
  <c r="W165" i="2"/>
  <c r="W236" i="2"/>
  <c r="W49" i="2"/>
  <c r="W58" i="2"/>
  <c r="W44" i="2"/>
  <c r="W142" i="2"/>
  <c r="W162" i="2"/>
  <c r="W155" i="2"/>
  <c r="W188" i="2"/>
  <c r="W207" i="2"/>
  <c r="W97" i="2"/>
  <c r="W203" i="2"/>
  <c r="W61" i="2"/>
  <c r="W16" i="2"/>
  <c r="W98" i="2"/>
  <c r="W4" i="2"/>
  <c r="W171" i="2"/>
  <c r="W73" i="2"/>
  <c r="W20" i="2"/>
  <c r="W167" i="2"/>
  <c r="W156" i="2"/>
  <c r="W36" i="2"/>
  <c r="W183" i="2"/>
  <c r="W45" i="2"/>
  <c r="W6" i="2"/>
  <c r="W199" i="2"/>
  <c r="W125" i="2"/>
  <c r="W133" i="2"/>
  <c r="W146" i="2"/>
  <c r="W67" i="2"/>
  <c r="W149" i="2"/>
  <c r="W34" i="2"/>
  <c r="W83" i="2"/>
  <c r="W215" i="2"/>
  <c r="W161" i="2"/>
  <c r="W211" i="2"/>
  <c r="W72" i="2"/>
  <c r="W227" i="2"/>
  <c r="W88" i="2"/>
  <c r="W243" i="2"/>
  <c r="W104" i="2"/>
  <c r="W232" i="2"/>
  <c r="W120" i="2"/>
  <c r="W220" i="2"/>
  <c r="W136" i="2"/>
  <c r="W252" i="2"/>
  <c r="W152" i="2"/>
  <c r="W77" i="2"/>
  <c r="W94" i="2"/>
  <c r="W13" i="2"/>
  <c r="W109" i="2"/>
  <c r="W173" i="2"/>
  <c r="W212" i="2"/>
  <c r="W5" i="2"/>
  <c r="W25" i="2"/>
  <c r="W41" i="2"/>
  <c r="W57" i="2"/>
  <c r="W237" i="2"/>
  <c r="W18" i="2"/>
  <c r="W262" i="2"/>
  <c r="W117" i="2"/>
  <c r="W263" i="2"/>
  <c r="W204" i="2"/>
  <c r="W264" i="2"/>
  <c r="AM159" i="2"/>
  <c r="AM221" i="2"/>
  <c r="AM18" i="2"/>
  <c r="AM95" i="2"/>
  <c r="AM156" i="2"/>
  <c r="AM43" i="2"/>
  <c r="AM59" i="2"/>
  <c r="AM91" i="2"/>
  <c r="AM201" i="2"/>
  <c r="AM104" i="2"/>
  <c r="AM230" i="2"/>
  <c r="AM85" i="2"/>
  <c r="AM171" i="2"/>
  <c r="AM25" i="2"/>
  <c r="AM102" i="2"/>
  <c r="AM132" i="2"/>
  <c r="AM83" i="2"/>
  <c r="AM211" i="2"/>
  <c r="AM194" i="2"/>
  <c r="AM145" i="2"/>
  <c r="AM175" i="2"/>
  <c r="AM206" i="2"/>
  <c r="AM240" i="2"/>
  <c r="AM16" i="2"/>
  <c r="AM252" i="2"/>
  <c r="AM139" i="2"/>
  <c r="AM249" i="2"/>
  <c r="AM152" i="2"/>
  <c r="AM39" i="2"/>
  <c r="AM117" i="2"/>
  <c r="AM28" i="2"/>
  <c r="AM121" i="2"/>
  <c r="AM270" i="2"/>
  <c r="AM148" i="2"/>
  <c r="AM269" i="2"/>
  <c r="AM49" i="2"/>
  <c r="AM127" i="2"/>
  <c r="AM144" i="2"/>
  <c r="AM238" i="2"/>
  <c r="AM33" i="2"/>
  <c r="AM146" i="2"/>
  <c r="AM223" i="2"/>
  <c r="AM176" i="2"/>
  <c r="AM96" i="2"/>
  <c r="AM45" i="2"/>
  <c r="AM187" i="2"/>
  <c r="AM42" i="2"/>
  <c r="AM200" i="2"/>
  <c r="AM71" i="2"/>
  <c r="AM149" i="2"/>
  <c r="AM164" i="2"/>
  <c r="AM26" i="2"/>
  <c r="AM245" i="2"/>
  <c r="AM105" i="2"/>
  <c r="AM209" i="2"/>
  <c r="AM222" i="2"/>
  <c r="AM229" i="2"/>
  <c r="AM27" i="2"/>
  <c r="AM120" i="2"/>
  <c r="AM207" i="2"/>
  <c r="AM225" i="2"/>
  <c r="AM192" i="2"/>
  <c r="AM256" i="2"/>
  <c r="AM246" i="2"/>
  <c r="AM188" i="2"/>
  <c r="AM199" i="2"/>
  <c r="AM11" i="2"/>
  <c r="AM15" i="2"/>
  <c r="AM4" i="2"/>
  <c r="AM56" i="2"/>
  <c r="AM53" i="2"/>
  <c r="AM155" i="2"/>
  <c r="AM109" i="2"/>
  <c r="AM243" i="2"/>
  <c r="AM47" i="2"/>
  <c r="AM134" i="2"/>
  <c r="AM265" i="2"/>
  <c r="AM217" i="2"/>
  <c r="AM213" i="2"/>
  <c r="AM89" i="2"/>
  <c r="AM163" i="2"/>
  <c r="AM111" i="2"/>
  <c r="AM181" i="2"/>
  <c r="AM250" i="2"/>
  <c r="AM214" i="2"/>
  <c r="AM173" i="2"/>
  <c r="AM157" i="2"/>
  <c r="AM115" i="2"/>
  <c r="AM267" i="2"/>
  <c r="AM60" i="2"/>
  <c r="AM198" i="2"/>
  <c r="AM140" i="2"/>
  <c r="AM183" i="2"/>
  <c r="AM234" i="2"/>
  <c r="AM179" i="2"/>
  <c r="AM77" i="2"/>
  <c r="AM24" i="2"/>
  <c r="AM37" i="2"/>
  <c r="AM233" i="2"/>
  <c r="AM30" i="2"/>
  <c r="AM141" i="2"/>
  <c r="AM158" i="2"/>
  <c r="AM116" i="2"/>
  <c r="AM103" i="2"/>
  <c r="AM92" i="2"/>
  <c r="AM151" i="2"/>
  <c r="AM218" i="2"/>
  <c r="AM98" i="2"/>
  <c r="AM244" i="2"/>
  <c r="AM21" i="2"/>
  <c r="AM72" i="2"/>
  <c r="AM253" i="2"/>
  <c r="AM64" i="2"/>
  <c r="AM46" i="2"/>
  <c r="AM100" i="2"/>
  <c r="AM133" i="2"/>
  <c r="AM143" i="2"/>
  <c r="AM32" i="2"/>
  <c r="AM29" i="2"/>
  <c r="AM186" i="2"/>
  <c r="AM189" i="2"/>
  <c r="AM147" i="2"/>
  <c r="AM184" i="2"/>
  <c r="AM264" i="2"/>
  <c r="AM97" i="2"/>
  <c r="AM237" i="2"/>
  <c r="AM67" i="2"/>
  <c r="AM22" i="2"/>
  <c r="AM5" i="2"/>
  <c r="AM78" i="2"/>
  <c r="AM174" i="2"/>
  <c r="AM123" i="2"/>
  <c r="AM86" i="2"/>
  <c r="AM31" i="2"/>
  <c r="AM197" i="2"/>
  <c r="AM161" i="2"/>
  <c r="AM231" i="2"/>
  <c r="AM150" i="2"/>
  <c r="AM255" i="2"/>
  <c r="AM224" i="2"/>
  <c r="AM7" i="2"/>
  <c r="AM219" i="2"/>
  <c r="AM226" i="2"/>
  <c r="AM41" i="2"/>
  <c r="AM261" i="2"/>
  <c r="AM3" i="2"/>
  <c r="AR4" i="2" s="1"/>
  <c r="AM8" i="2"/>
  <c r="AM20" i="2"/>
  <c r="AM190" i="2"/>
  <c r="AM10" i="2"/>
  <c r="AM55" i="2"/>
  <c r="AM210" i="2"/>
  <c r="AM170" i="2"/>
  <c r="AM196" i="2"/>
  <c r="AM65" i="2"/>
  <c r="AM153" i="2"/>
  <c r="AM182" i="2"/>
  <c r="AM258" i="2"/>
  <c r="AM14" i="2"/>
  <c r="AM74" i="2"/>
  <c r="AM82" i="2"/>
  <c r="AM76" i="2"/>
  <c r="AM87" i="2"/>
  <c r="AM266" i="2"/>
  <c r="AM204" i="2"/>
  <c r="AM107" i="2"/>
  <c r="AM52" i="2"/>
  <c r="AM191" i="2"/>
  <c r="AM235" i="2"/>
  <c r="AM193" i="2"/>
  <c r="AM208" i="2"/>
  <c r="AM195" i="2"/>
  <c r="AM19" i="2"/>
  <c r="AM36" i="2"/>
  <c r="AM70" i="2"/>
  <c r="AM251" i="2"/>
  <c r="AM178" i="2"/>
  <c r="AL2" i="2"/>
  <c r="AM129" i="2"/>
  <c r="AM6" i="2"/>
  <c r="AM232" i="2"/>
  <c r="AM128" i="2"/>
  <c r="AM239" i="2"/>
  <c r="AM263" i="2"/>
  <c r="AM112" i="2"/>
  <c r="AM88" i="2"/>
  <c r="AM101" i="2"/>
  <c r="AM248" i="2"/>
  <c r="AM242" i="2"/>
  <c r="AM212" i="2"/>
  <c r="AM202" i="2"/>
  <c r="AM13" i="2"/>
  <c r="AM168" i="2"/>
  <c r="AM122" i="2"/>
  <c r="AM48" i="2"/>
  <c r="AM119" i="2"/>
  <c r="AM166" i="2"/>
  <c r="AM38" i="2"/>
  <c r="AM203" i="2"/>
  <c r="AM12" i="2"/>
  <c r="AM160" i="2"/>
  <c r="AM106" i="2"/>
  <c r="AM40" i="2"/>
  <c r="AM136" i="2"/>
  <c r="AM50" i="2"/>
  <c r="AM162" i="2"/>
  <c r="AM58" i="2"/>
  <c r="AM142" i="2"/>
  <c r="AM262" i="2"/>
  <c r="AM227" i="2"/>
  <c r="AM220" i="2"/>
  <c r="AM130" i="2"/>
  <c r="AM84" i="2"/>
  <c r="AM126" i="2"/>
  <c r="AM124" i="2"/>
  <c r="AM62" i="2"/>
  <c r="AM241" i="2"/>
  <c r="AM169" i="2"/>
  <c r="AM93" i="2"/>
  <c r="AM34" i="2"/>
  <c r="AM177" i="2"/>
  <c r="AM165" i="2"/>
  <c r="AM228" i="2"/>
  <c r="AM63" i="2"/>
  <c r="AM94" i="2"/>
  <c r="AM135" i="2"/>
  <c r="AM167" i="2"/>
  <c r="AM113" i="2"/>
  <c r="AM17" i="2"/>
  <c r="AM57" i="2"/>
  <c r="AM69" i="2"/>
  <c r="AM66" i="2"/>
  <c r="AM51" i="2"/>
  <c r="AM114" i="2"/>
  <c r="AM138" i="2"/>
  <c r="AM80" i="2"/>
  <c r="AM61" i="2"/>
  <c r="AM259" i="2"/>
  <c r="AM108" i="2"/>
  <c r="AM81" i="2"/>
  <c r="AM118" i="2"/>
  <c r="AM99" i="2"/>
  <c r="AM247" i="2"/>
  <c r="AM73" i="2"/>
  <c r="AM137" i="2"/>
  <c r="AM216" i="2"/>
  <c r="AM272" i="2"/>
  <c r="AM257" i="2"/>
  <c r="AM75" i="2"/>
  <c r="AM35" i="2"/>
  <c r="AM9" i="2"/>
  <c r="AM68" i="2"/>
  <c r="AM154" i="2"/>
  <c r="AM54" i="2"/>
  <c r="AM44" i="2"/>
  <c r="AM254" i="2"/>
  <c r="AM205" i="2"/>
  <c r="AM90" i="2"/>
  <c r="AM260" i="2"/>
  <c r="AM131" i="2"/>
  <c r="AM180" i="2"/>
  <c r="AM110" i="2"/>
  <c r="AM172" i="2"/>
  <c r="AM271" i="2"/>
  <c r="AM185" i="2"/>
  <c r="AM236" i="2"/>
  <c r="AM79" i="2"/>
  <c r="AM125" i="2"/>
  <c r="AM215" i="2"/>
  <c r="AM23" i="2"/>
  <c r="AM268" i="2"/>
  <c r="V271" i="2"/>
  <c r="V270" i="2"/>
  <c r="V275" i="2"/>
  <c r="V276" i="2"/>
  <c r="V263" i="2"/>
  <c r="V265" i="2"/>
  <c r="V258" i="2"/>
  <c r="V84" i="2"/>
  <c r="V48" i="2"/>
  <c r="V80" i="2"/>
  <c r="V133" i="2"/>
  <c r="V183" i="2"/>
  <c r="V7" i="2"/>
  <c r="V188" i="2"/>
  <c r="V164" i="2"/>
  <c r="V259" i="2"/>
  <c r="V100" i="2"/>
  <c r="V83" i="2"/>
  <c r="V23" i="2"/>
  <c r="V149" i="2"/>
  <c r="V207" i="2"/>
  <c r="V44" i="2"/>
  <c r="V195" i="2"/>
  <c r="V200" i="2"/>
  <c r="V260" i="2"/>
  <c r="V9" i="2"/>
  <c r="V92" i="2"/>
  <c r="V49" i="2"/>
  <c r="V165" i="2"/>
  <c r="V223" i="2"/>
  <c r="V76" i="2"/>
  <c r="V206" i="2"/>
  <c r="V209" i="2"/>
  <c r="V61" i="2"/>
  <c r="V261" i="2"/>
  <c r="V25" i="2"/>
  <c r="V101" i="2"/>
  <c r="V75" i="2"/>
  <c r="V181" i="2"/>
  <c r="V239" i="2"/>
  <c r="V130" i="2"/>
  <c r="V215" i="2"/>
  <c r="V218" i="2"/>
  <c r="V65" i="2"/>
  <c r="V226" i="2"/>
  <c r="V273" i="2"/>
  <c r="V272" i="2"/>
  <c r="V262" i="2"/>
  <c r="V41" i="2"/>
  <c r="V107" i="2"/>
  <c r="V128" i="2"/>
  <c r="V274" i="2"/>
  <c r="V264" i="2"/>
  <c r="V57" i="2"/>
  <c r="V112" i="2"/>
  <c r="V144" i="2"/>
  <c r="V266" i="2"/>
  <c r="V46" i="2"/>
  <c r="V176" i="2"/>
  <c r="V118" i="2"/>
  <c r="V244" i="2"/>
  <c r="V47" i="2"/>
  <c r="V230" i="2"/>
  <c r="V213" i="2"/>
  <c r="V11" i="2"/>
  <c r="V69" i="2"/>
  <c r="V8" i="2"/>
  <c r="V247" i="2"/>
  <c r="V173" i="2"/>
  <c r="V163" i="2"/>
  <c r="V267" i="2"/>
  <c r="V62" i="2"/>
  <c r="V192" i="2"/>
  <c r="V120" i="2"/>
  <c r="V139" i="2"/>
  <c r="V268" i="2"/>
  <c r="V78" i="2"/>
  <c r="V12" i="2"/>
  <c r="V125" i="2"/>
  <c r="V155" i="2"/>
  <c r="V70" i="2"/>
  <c r="V26" i="2"/>
  <c r="V87" i="2"/>
  <c r="V63" i="2"/>
  <c r="V219" i="2"/>
  <c r="V172" i="2"/>
  <c r="V182" i="2"/>
  <c r="V205" i="2"/>
  <c r="V189" i="2"/>
  <c r="V269" i="2"/>
  <c r="V39" i="2"/>
  <c r="V51" i="2"/>
  <c r="V169" i="2"/>
  <c r="V193" i="2"/>
  <c r="V111" i="2"/>
  <c r="V106" i="2"/>
  <c r="V174" i="2"/>
  <c r="V147" i="2"/>
  <c r="V240" i="2"/>
  <c r="V167" i="2"/>
  <c r="V29" i="2"/>
  <c r="V93" i="2"/>
  <c r="V168" i="2"/>
  <c r="V24" i="2"/>
  <c r="V64" i="2"/>
  <c r="V16" i="2"/>
  <c r="V201" i="2"/>
  <c r="V122" i="2"/>
  <c r="V154" i="2"/>
  <c r="V211" i="2"/>
  <c r="V153" i="2"/>
  <c r="V103" i="2"/>
  <c r="V190" i="2"/>
  <c r="V238" i="2"/>
  <c r="V221" i="2"/>
  <c r="V175" i="2"/>
  <c r="V73" i="2"/>
  <c r="V38" i="2"/>
  <c r="V145" i="2"/>
  <c r="V19" i="2"/>
  <c r="V82" i="2"/>
  <c r="V115" i="2"/>
  <c r="V54" i="2"/>
  <c r="V231" i="2"/>
  <c r="V102" i="2"/>
  <c r="V99" i="2"/>
  <c r="V255" i="2"/>
  <c r="V89" i="2"/>
  <c r="V90" i="2"/>
  <c r="V148" i="2"/>
  <c r="V56" i="2"/>
  <c r="V158" i="2"/>
  <c r="V121" i="2"/>
  <c r="V214" i="2"/>
  <c r="V242" i="2"/>
  <c r="V254" i="2"/>
  <c r="V229" i="2"/>
  <c r="V256" i="2"/>
  <c r="V105" i="2"/>
  <c r="V110" i="2"/>
  <c r="V162" i="2"/>
  <c r="V98" i="2"/>
  <c r="V220" i="2"/>
  <c r="V191" i="2"/>
  <c r="V235" i="2"/>
  <c r="V37" i="2"/>
  <c r="V180" i="2"/>
  <c r="V216" i="2"/>
  <c r="V257" i="2"/>
  <c r="V14" i="2"/>
  <c r="V124" i="2"/>
  <c r="V186" i="2"/>
  <c r="V143" i="2"/>
  <c r="V251" i="2"/>
  <c r="V222" i="2"/>
  <c r="V194" i="2"/>
  <c r="V67" i="2"/>
  <c r="V210" i="2"/>
  <c r="V119" i="2"/>
  <c r="V30" i="2"/>
  <c r="V197" i="2"/>
  <c r="V212" i="2"/>
  <c r="V150" i="2"/>
  <c r="V31" i="2"/>
  <c r="V245" i="2"/>
  <c r="V58" i="2"/>
  <c r="V97" i="2"/>
  <c r="V34" i="2"/>
  <c r="V131" i="2"/>
  <c r="V94" i="2"/>
  <c r="V40" i="2"/>
  <c r="V228" i="2"/>
  <c r="V157" i="2"/>
  <c r="V74" i="2"/>
  <c r="V59" i="2"/>
  <c r="V72" i="2"/>
  <c r="V135" i="2"/>
  <c r="V184" i="2"/>
  <c r="V86" i="2"/>
  <c r="V136" i="2"/>
  <c r="V134" i="2"/>
  <c r="V156" i="2"/>
  <c r="V15" i="2"/>
  <c r="V166" i="2"/>
  <c r="V117" i="2"/>
  <c r="V217" i="2"/>
  <c r="V232" i="2"/>
  <c r="V248" i="2"/>
  <c r="V203" i="2"/>
  <c r="V45" i="2"/>
  <c r="V18" i="2"/>
  <c r="V233" i="2"/>
  <c r="V43" i="2"/>
  <c r="V137" i="2"/>
  <c r="V187" i="2"/>
  <c r="V60" i="2"/>
  <c r="V27" i="2"/>
  <c r="V249" i="2"/>
  <c r="V225" i="2"/>
  <c r="V159" i="2"/>
  <c r="V208" i="2"/>
  <c r="V21" i="2"/>
  <c r="V68" i="2"/>
  <c r="V179" i="2"/>
  <c r="V243" i="2"/>
  <c r="V55" i="2"/>
  <c r="V178" i="2"/>
  <c r="V33" i="2"/>
  <c r="V13" i="2"/>
  <c r="V91" i="2"/>
  <c r="V185" i="2"/>
  <c r="V236" i="2"/>
  <c r="V42" i="2"/>
  <c r="V50" i="2"/>
  <c r="V241" i="2"/>
  <c r="V202" i="2"/>
  <c r="V81" i="2"/>
  <c r="V77" i="2"/>
  <c r="V126" i="2"/>
  <c r="V6" i="2"/>
  <c r="V234" i="2"/>
  <c r="V138" i="2"/>
  <c r="V196" i="2"/>
  <c r="V129" i="2"/>
  <c r="V113" i="2"/>
  <c r="V198" i="2"/>
  <c r="V252" i="2"/>
  <c r="V142" i="2"/>
  <c r="V10" i="2"/>
  <c r="V123" i="2"/>
  <c r="V32" i="2"/>
  <c r="V96" i="2"/>
  <c r="V22" i="2"/>
  <c r="V85" i="2"/>
  <c r="V108" i="2"/>
  <c r="V116" i="2"/>
  <c r="V127" i="2"/>
  <c r="V140" i="2"/>
  <c r="V151" i="2"/>
  <c r="V4" i="2"/>
  <c r="V141" i="2"/>
  <c r="V227" i="2"/>
  <c r="V246" i="2"/>
  <c r="V20" i="2"/>
  <c r="V224" i="2"/>
  <c r="V171" i="2"/>
  <c r="V35" i="2"/>
  <c r="V36" i="2"/>
  <c r="V5" i="2"/>
  <c r="V177" i="2"/>
  <c r="V170" i="2"/>
  <c r="V95" i="2"/>
  <c r="V104" i="2"/>
  <c r="V28" i="2"/>
  <c r="V52" i="2"/>
  <c r="V88" i="2"/>
  <c r="V71" i="2"/>
  <c r="V237" i="2"/>
  <c r="V160" i="2"/>
  <c r="V250" i="2"/>
  <c r="V53" i="2"/>
  <c r="V66" i="2"/>
  <c r="V79" i="2"/>
  <c r="V204" i="2"/>
  <c r="V161" i="2"/>
  <c r="V253" i="2"/>
  <c r="V109" i="2"/>
  <c r="V17" i="2"/>
  <c r="V146" i="2"/>
  <c r="V132" i="2"/>
  <c r="V114" i="2"/>
  <c r="V199" i="2"/>
  <c r="V152" i="2"/>
  <c r="X275" i="2"/>
  <c r="X270" i="2"/>
  <c r="X257" i="2"/>
  <c r="X258" i="2"/>
  <c r="X259" i="2"/>
  <c r="X262" i="2"/>
  <c r="X263" i="2"/>
  <c r="X264" i="2"/>
  <c r="X265" i="2"/>
  <c r="X266" i="2"/>
  <c r="X267" i="2"/>
  <c r="X255" i="2"/>
  <c r="X28" i="2"/>
  <c r="X115" i="2"/>
  <c r="X69" i="2"/>
  <c r="X184" i="2"/>
  <c r="X27" i="2"/>
  <c r="X140" i="2"/>
  <c r="X10" i="2"/>
  <c r="X116" i="2"/>
  <c r="X214" i="2"/>
  <c r="X110" i="2"/>
  <c r="X130" i="2"/>
  <c r="X123" i="2"/>
  <c r="X180" i="2"/>
  <c r="X217" i="2"/>
  <c r="X253" i="2"/>
  <c r="X117" i="2"/>
  <c r="X256" i="2"/>
  <c r="X271" i="2"/>
  <c r="X60" i="2"/>
  <c r="X43" i="2"/>
  <c r="X106" i="2"/>
  <c r="X41" i="2"/>
  <c r="X91" i="2"/>
  <c r="X160" i="2"/>
  <c r="X75" i="2"/>
  <c r="X145" i="2"/>
  <c r="X19" i="2"/>
  <c r="X190" i="2"/>
  <c r="X202" i="2"/>
  <c r="X51" i="2"/>
  <c r="X47" i="2"/>
  <c r="X113" i="2"/>
  <c r="X186" i="2"/>
  <c r="X127" i="2"/>
  <c r="X272" i="2"/>
  <c r="X92" i="2"/>
  <c r="X61" i="2"/>
  <c r="X126" i="2"/>
  <c r="X122" i="2"/>
  <c r="X121" i="2"/>
  <c r="X204" i="2"/>
  <c r="X144" i="2"/>
  <c r="X155" i="2"/>
  <c r="X74" i="2"/>
  <c r="X223" i="2"/>
  <c r="X17" i="2"/>
  <c r="X96" i="2"/>
  <c r="X131" i="2"/>
  <c r="X141" i="2"/>
  <c r="X167" i="2"/>
  <c r="X220" i="2"/>
  <c r="X191" i="2"/>
  <c r="X205" i="2"/>
  <c r="X78" i="2"/>
  <c r="X9" i="2"/>
  <c r="X185" i="2"/>
  <c r="X230" i="2"/>
  <c r="X194" i="2"/>
  <c r="X49" i="2"/>
  <c r="X99" i="2"/>
  <c r="X168" i="2"/>
  <c r="X199" i="2"/>
  <c r="X142" i="2"/>
  <c r="X63" i="2"/>
  <c r="X138" i="2"/>
  <c r="X193" i="2"/>
  <c r="X216" i="2"/>
  <c r="X134" i="2"/>
  <c r="X154" i="2"/>
  <c r="X248" i="2"/>
  <c r="X65" i="2"/>
  <c r="X109" i="2"/>
  <c r="X15" i="2"/>
  <c r="X215" i="2"/>
  <c r="X151" i="2"/>
  <c r="X124" i="2"/>
  <c r="X143" i="2"/>
  <c r="X206" i="2"/>
  <c r="X25" i="2"/>
  <c r="X176" i="2"/>
  <c r="X192" i="2"/>
  <c r="X80" i="2"/>
  <c r="X260" i="2"/>
  <c r="X81" i="2"/>
  <c r="X11" i="2"/>
  <c r="X86" i="2"/>
  <c r="X231" i="2"/>
  <c r="X225" i="2"/>
  <c r="X149" i="2"/>
  <c r="X161" i="2"/>
  <c r="X221" i="2"/>
  <c r="X137" i="2"/>
  <c r="X218" i="2"/>
  <c r="X212" i="2"/>
  <c r="X211" i="2"/>
  <c r="X261" i="2"/>
  <c r="X97" i="2"/>
  <c r="X24" i="2"/>
  <c r="X4" i="2"/>
  <c r="X247" i="2"/>
  <c r="X234" i="2"/>
  <c r="X207" i="2"/>
  <c r="X169" i="2"/>
  <c r="X251" i="2"/>
  <c r="X153" i="2"/>
  <c r="X222" i="2"/>
  <c r="X73" i="2"/>
  <c r="X229" i="2"/>
  <c r="X268" i="2"/>
  <c r="X5" i="2"/>
  <c r="X50" i="2"/>
  <c r="X36" i="2"/>
  <c r="X29" i="2"/>
  <c r="X243" i="2"/>
  <c r="X238" i="2"/>
  <c r="X177" i="2"/>
  <c r="X111" i="2"/>
  <c r="X197" i="2"/>
  <c r="X246" i="2"/>
  <c r="X88" i="2"/>
  <c r="X108" i="2"/>
  <c r="X273" i="2"/>
  <c r="X269" i="2"/>
  <c r="X7" i="2"/>
  <c r="X14" i="2"/>
  <c r="X95" i="2"/>
  <c r="X68" i="2"/>
  <c r="X33" i="2"/>
  <c r="X13" i="2"/>
  <c r="X66" i="2"/>
  <c r="X16" i="2"/>
  <c r="X183" i="2"/>
  <c r="X79" i="2"/>
  <c r="X40" i="2"/>
  <c r="X201" i="2"/>
  <c r="X274" i="2"/>
  <c r="X67" i="2"/>
  <c r="X84" i="2"/>
  <c r="X98" i="2"/>
  <c r="X35" i="2"/>
  <c r="X240" i="2"/>
  <c r="X6" i="2"/>
  <c r="X254" i="2"/>
  <c r="X85" i="2"/>
  <c r="X102" i="2"/>
  <c r="X136" i="2"/>
  <c r="X146" i="2"/>
  <c r="X72" i="2"/>
  <c r="X94" i="2"/>
  <c r="X21" i="2"/>
  <c r="X128" i="2"/>
  <c r="X54" i="2"/>
  <c r="X8" i="2"/>
  <c r="X152" i="2"/>
  <c r="X174" i="2"/>
  <c r="X133" i="2"/>
  <c r="X132" i="2"/>
  <c r="X32" i="2"/>
  <c r="X158" i="2"/>
  <c r="X139" i="2"/>
  <c r="X276" i="2"/>
  <c r="X37" i="2"/>
  <c r="X59" i="2"/>
  <c r="X30" i="2"/>
  <c r="X114" i="2"/>
  <c r="X170" i="2"/>
  <c r="X156" i="2"/>
  <c r="X46" i="2"/>
  <c r="X107" i="2"/>
  <c r="X22" i="2"/>
  <c r="X166" i="2"/>
  <c r="X189" i="2"/>
  <c r="X224" i="2"/>
  <c r="X90" i="2"/>
  <c r="X181" i="2"/>
  <c r="X64" i="2"/>
  <c r="X178" i="2"/>
  <c r="X70" i="2"/>
  <c r="X31" i="2"/>
  <c r="X23" i="2"/>
  <c r="X112" i="2"/>
  <c r="X34" i="2"/>
  <c r="X77" i="2"/>
  <c r="X171" i="2"/>
  <c r="X148" i="2"/>
  <c r="X20" i="2"/>
  <c r="X44" i="2"/>
  <c r="X226" i="2"/>
  <c r="X165" i="2"/>
  <c r="X239" i="2"/>
  <c r="X245" i="2"/>
  <c r="X76" i="2"/>
  <c r="X242" i="2"/>
  <c r="X173" i="2"/>
  <c r="X45" i="2"/>
  <c r="X125" i="2"/>
  <c r="X58" i="2"/>
  <c r="X82" i="2"/>
  <c r="X200" i="2"/>
  <c r="X175" i="2"/>
  <c r="X104" i="2"/>
  <c r="X52" i="2"/>
  <c r="X236" i="2"/>
  <c r="X233" i="2"/>
  <c r="X249" i="2"/>
  <c r="X235" i="2"/>
  <c r="X105" i="2"/>
  <c r="X252" i="2"/>
  <c r="X57" i="2"/>
  <c r="X62" i="2"/>
  <c r="X244" i="2"/>
  <c r="X120" i="2"/>
  <c r="X18" i="2"/>
  <c r="X119" i="2"/>
  <c r="X93" i="2"/>
  <c r="X147" i="2"/>
  <c r="X83" i="2"/>
  <c r="X209" i="2"/>
  <c r="X250" i="2"/>
  <c r="X163" i="2"/>
  <c r="X129" i="2"/>
  <c r="X208" i="2"/>
  <c r="X241" i="2"/>
  <c r="X179" i="2"/>
  <c r="X38" i="2"/>
  <c r="X48" i="2"/>
  <c r="X187" i="2"/>
  <c r="X39" i="2"/>
  <c r="X26" i="2"/>
  <c r="X196" i="2"/>
  <c r="X118" i="2"/>
  <c r="X227" i="2"/>
  <c r="X228" i="2"/>
  <c r="X237" i="2"/>
  <c r="X157" i="2"/>
  <c r="X55" i="2"/>
  <c r="X159" i="2"/>
  <c r="X71" i="2"/>
  <c r="X56" i="2"/>
  <c r="X87" i="2"/>
  <c r="X182" i="2"/>
  <c r="X198" i="2"/>
  <c r="X203" i="2"/>
  <c r="X103" i="2"/>
  <c r="X232" i="2"/>
  <c r="X12" i="2"/>
  <c r="X135" i="2"/>
  <c r="X195" i="2"/>
  <c r="X172" i="2"/>
  <c r="X100" i="2"/>
  <c r="X213" i="2"/>
  <c r="X150" i="2"/>
  <c r="X164" i="2"/>
  <c r="X188" i="2"/>
  <c r="X42" i="2"/>
  <c r="X210" i="2"/>
  <c r="X89" i="2"/>
  <c r="X53" i="2"/>
  <c r="X101" i="2"/>
  <c r="X219" i="2"/>
  <c r="X162" i="2"/>
  <c r="AA276" i="2"/>
  <c r="AA272" i="2"/>
  <c r="AA260" i="2"/>
  <c r="AA262" i="2"/>
  <c r="AA263" i="2"/>
  <c r="AA265" i="2"/>
  <c r="AA270" i="2"/>
  <c r="AA264" i="2"/>
  <c r="AA271" i="2"/>
  <c r="AA268" i="2"/>
  <c r="AA269" i="2"/>
  <c r="AA255" i="2"/>
  <c r="AA257" i="2"/>
  <c r="AA275" i="2"/>
  <c r="AA258" i="2"/>
  <c r="AA259" i="2"/>
  <c r="AA273" i="2"/>
  <c r="AA266" i="2"/>
  <c r="AA274" i="2"/>
  <c r="AA256" i="2"/>
  <c r="AA267" i="2"/>
  <c r="AA261" i="2"/>
  <c r="AA16" i="2"/>
  <c r="AA58" i="2"/>
  <c r="AA113" i="2"/>
  <c r="AA17" i="2"/>
  <c r="AA34" i="2"/>
  <c r="AA166" i="2"/>
  <c r="AA119" i="2"/>
  <c r="AA242" i="2"/>
  <c r="AA71" i="2"/>
  <c r="AA14" i="2"/>
  <c r="AA52" i="2"/>
  <c r="AA165" i="2"/>
  <c r="AA252" i="2"/>
  <c r="AA116" i="2"/>
  <c r="AA199" i="2"/>
  <c r="AA93" i="2"/>
  <c r="AA48" i="2"/>
  <c r="AA90" i="2"/>
  <c r="AA51" i="2"/>
  <c r="AA43" i="2"/>
  <c r="AA82" i="2"/>
  <c r="AA194" i="2"/>
  <c r="AA146" i="2"/>
  <c r="AA61" i="2"/>
  <c r="AA114" i="2"/>
  <c r="AA130" i="2"/>
  <c r="AA83" i="2"/>
  <c r="AA206" i="2"/>
  <c r="AA120" i="2"/>
  <c r="AA226" i="2"/>
  <c r="AA123" i="2"/>
  <c r="AA20" i="2"/>
  <c r="AA64" i="2"/>
  <c r="AA19" i="2"/>
  <c r="AA60" i="2"/>
  <c r="AA62" i="2"/>
  <c r="AA109" i="2"/>
  <c r="AA208" i="2"/>
  <c r="AA148" i="2"/>
  <c r="AA98" i="2"/>
  <c r="AA122" i="2"/>
  <c r="AA144" i="2"/>
  <c r="AA87" i="2"/>
  <c r="AA227" i="2"/>
  <c r="AA80" i="2"/>
  <c r="AA28" i="2"/>
  <c r="AA95" i="2"/>
  <c r="AA88" i="2"/>
  <c r="AA131" i="2"/>
  <c r="AA224" i="2"/>
  <c r="AA153" i="2"/>
  <c r="AA137" i="2"/>
  <c r="AA189" i="2"/>
  <c r="AA171" i="2"/>
  <c r="AA133" i="2"/>
  <c r="AA253" i="2"/>
  <c r="AA37" i="2"/>
  <c r="AA22" i="2"/>
  <c r="AA36" i="2"/>
  <c r="AA203" i="2"/>
  <c r="AA229" i="2"/>
  <c r="AA33" i="2"/>
  <c r="AA249" i="2"/>
  <c r="AA164" i="2"/>
  <c r="AA168" i="2"/>
  <c r="AA246" i="2"/>
  <c r="AA154" i="2"/>
  <c r="AA151" i="2"/>
  <c r="AA53" i="2"/>
  <c r="AA57" i="2"/>
  <c r="AA129" i="2"/>
  <c r="AA219" i="2"/>
  <c r="AA245" i="2"/>
  <c r="AA15" i="2"/>
  <c r="AA68" i="2"/>
  <c r="AA200" i="2"/>
  <c r="AA38" i="2"/>
  <c r="AA138" i="2"/>
  <c r="AA237" i="2"/>
  <c r="AA196" i="2"/>
  <c r="AA69" i="2"/>
  <c r="AA66" i="2"/>
  <c r="AA145" i="2"/>
  <c r="AA235" i="2"/>
  <c r="AA30" i="2"/>
  <c r="AA91" i="2"/>
  <c r="AA102" i="2"/>
  <c r="AA215" i="2"/>
  <c r="AA45" i="2"/>
  <c r="AA176" i="2"/>
  <c r="AA247" i="2"/>
  <c r="AA162" i="2"/>
  <c r="AA85" i="2"/>
  <c r="AA75" i="2"/>
  <c r="AA161" i="2"/>
  <c r="AA251" i="2"/>
  <c r="AA44" i="2"/>
  <c r="AA127" i="2"/>
  <c r="AA141" i="2"/>
  <c r="AA40" i="2"/>
  <c r="AA175" i="2"/>
  <c r="AA214" i="2"/>
  <c r="AA107" i="2"/>
  <c r="AA70" i="2"/>
  <c r="AA4" i="2"/>
  <c r="AA6" i="2"/>
  <c r="AA11" i="2"/>
  <c r="AA198" i="2"/>
  <c r="AA230" i="2"/>
  <c r="AA174" i="2"/>
  <c r="AA150" i="2"/>
  <c r="AA170" i="2"/>
  <c r="AA105" i="2"/>
  <c r="AA13" i="2"/>
  <c r="AA77" i="2"/>
  <c r="AA118" i="2"/>
  <c r="AA233" i="2"/>
  <c r="AA244" i="2"/>
  <c r="AA221" i="2"/>
  <c r="AA183" i="2"/>
  <c r="AA182" i="2"/>
  <c r="AA190" i="2"/>
  <c r="AA32" i="2"/>
  <c r="AA7" i="2"/>
  <c r="AA103" i="2"/>
  <c r="AA159" i="2"/>
  <c r="AA143" i="2"/>
  <c r="AA65" i="2"/>
  <c r="AA106" i="2"/>
  <c r="AA250" i="2"/>
  <c r="AA228" i="2"/>
  <c r="AA117" i="2"/>
  <c r="AA96" i="2"/>
  <c r="AA104" i="2"/>
  <c r="AA121" i="2"/>
  <c r="AA173" i="2"/>
  <c r="AA179" i="2"/>
  <c r="AA202" i="2"/>
  <c r="AA126" i="2"/>
  <c r="AA55" i="2"/>
  <c r="AA178" i="2"/>
  <c r="AA225" i="2"/>
  <c r="AA5" i="2"/>
  <c r="AA47" i="2"/>
  <c r="AA134" i="2"/>
  <c r="AA197" i="2"/>
  <c r="AA185" i="2"/>
  <c r="AA217" i="2"/>
  <c r="AA147" i="2"/>
  <c r="AA128" i="2"/>
  <c r="AA89" i="2"/>
  <c r="AA100" i="2"/>
  <c r="AA21" i="2"/>
  <c r="AA73" i="2"/>
  <c r="AA18" i="2"/>
  <c r="AA213" i="2"/>
  <c r="AA209" i="2"/>
  <c r="AA232" i="2"/>
  <c r="AA192" i="2"/>
  <c r="AA234" i="2"/>
  <c r="AA24" i="2"/>
  <c r="AA101" i="2"/>
  <c r="AA86" i="2"/>
  <c r="AA50" i="2"/>
  <c r="AA139" i="2"/>
  <c r="AA223" i="2"/>
  <c r="AA23" i="2"/>
  <c r="AA207" i="2"/>
  <c r="AA238" i="2"/>
  <c r="AA132" i="2"/>
  <c r="AA10" i="2"/>
  <c r="AA99" i="2"/>
  <c r="AA149" i="2"/>
  <c r="AA155" i="2"/>
  <c r="AA254" i="2"/>
  <c r="AA31" i="2"/>
  <c r="AA220" i="2"/>
  <c r="AA8" i="2"/>
  <c r="AA54" i="2"/>
  <c r="AA125" i="2"/>
  <c r="AA204" i="2"/>
  <c r="AA152" i="2"/>
  <c r="AA46" i="2"/>
  <c r="AA140" i="2"/>
  <c r="AA239" i="2"/>
  <c r="AA79" i="2"/>
  <c r="AA56" i="2"/>
  <c r="AA156" i="2"/>
  <c r="AA248" i="2"/>
  <c r="AA169" i="2"/>
  <c r="AA76" i="2"/>
  <c r="AA172" i="2"/>
  <c r="AA27" i="2"/>
  <c r="AA181" i="2"/>
  <c r="AA222" i="2"/>
  <c r="AA188" i="2"/>
  <c r="AA78" i="2"/>
  <c r="AA186" i="2"/>
  <c r="AA67" i="2"/>
  <c r="AA177" i="2"/>
  <c r="AA115" i="2"/>
  <c r="AA84" i="2"/>
  <c r="AA49" i="2"/>
  <c r="AA187" i="2"/>
  <c r="AA211" i="2"/>
  <c r="AA241" i="2"/>
  <c r="AA135" i="2"/>
  <c r="AA9" i="2"/>
  <c r="AA35" i="2"/>
  <c r="AA231" i="2"/>
  <c r="AA243" i="2"/>
  <c r="AA25" i="2"/>
  <c r="AA110" i="2"/>
  <c r="AA167" i="2"/>
  <c r="AA236" i="2"/>
  <c r="AA41" i="2"/>
  <c r="AA39" i="2"/>
  <c r="AA205" i="2"/>
  <c r="AA94" i="2"/>
  <c r="AA157" i="2"/>
  <c r="AA184" i="2"/>
  <c r="AA240" i="2"/>
  <c r="AA74" i="2"/>
  <c r="AA26" i="2"/>
  <c r="AA180" i="2"/>
  <c r="AA201" i="2"/>
  <c r="AA42" i="2"/>
  <c r="AA210" i="2"/>
  <c r="AA160" i="2"/>
  <c r="AA63" i="2"/>
  <c r="AA142" i="2"/>
  <c r="AA163" i="2"/>
  <c r="AA191" i="2"/>
  <c r="AA97" i="2"/>
  <c r="AA72" i="2"/>
  <c r="AA158" i="2"/>
  <c r="AA12" i="2"/>
  <c r="AA81" i="2"/>
  <c r="AA59" i="2"/>
  <c r="AA108" i="2"/>
  <c r="AA212" i="2"/>
  <c r="AA216" i="2"/>
  <c r="AA124" i="2"/>
  <c r="AA112" i="2"/>
  <c r="AA111" i="2"/>
  <c r="AA136" i="2"/>
  <c r="AA193" i="2"/>
  <c r="AA195" i="2"/>
  <c r="AA218" i="2"/>
  <c r="AA29" i="2"/>
  <c r="AA92" i="2"/>
  <c r="S213" i="2"/>
  <c r="S198" i="2"/>
  <c r="S183" i="2"/>
  <c r="S234" i="2"/>
  <c r="S205" i="2"/>
  <c r="S136" i="2"/>
  <c r="S251" i="2"/>
  <c r="S222" i="2"/>
  <c r="S169" i="2"/>
  <c r="S28" i="2"/>
  <c r="S206" i="2"/>
  <c r="S162" i="2"/>
  <c r="S176" i="2"/>
  <c r="S4" i="2"/>
  <c r="S98" i="2"/>
  <c r="S95" i="2"/>
  <c r="S245" i="2"/>
  <c r="S230" i="2"/>
  <c r="S215" i="2"/>
  <c r="S27" i="2"/>
  <c r="S46" i="2"/>
  <c r="S168" i="2"/>
  <c r="S60" i="2"/>
  <c r="S31" i="2"/>
  <c r="S201" i="2"/>
  <c r="S156" i="2"/>
  <c r="S15" i="2"/>
  <c r="S20" i="2"/>
  <c r="S131" i="2"/>
  <c r="S16" i="2"/>
  <c r="S192" i="2"/>
  <c r="S48" i="2"/>
  <c r="S21" i="2"/>
  <c r="S6" i="2"/>
  <c r="S262" i="2"/>
  <c r="S247" i="2"/>
  <c r="S123" i="2"/>
  <c r="S142" i="2"/>
  <c r="S200" i="2"/>
  <c r="S140" i="2"/>
  <c r="S79" i="2"/>
  <c r="S233" i="2"/>
  <c r="S252" i="2"/>
  <c r="S66" i="2"/>
  <c r="S127" i="2"/>
  <c r="S36" i="2"/>
  <c r="S241" i="2"/>
  <c r="S64" i="2"/>
  <c r="S49" i="2"/>
  <c r="S38" i="2"/>
  <c r="S71" i="2"/>
  <c r="S138" i="2"/>
  <c r="S141" i="2"/>
  <c r="S216" i="2"/>
  <c r="S13" i="2"/>
  <c r="S89" i="2"/>
  <c r="S235" i="2"/>
  <c r="S17" i="2"/>
  <c r="S255" i="2"/>
  <c r="S272" i="2"/>
  <c r="S143" i="2"/>
  <c r="S178" i="2"/>
  <c r="S5" i="2"/>
  <c r="S54" i="2"/>
  <c r="S87" i="2"/>
  <c r="S154" i="2"/>
  <c r="S269" i="2"/>
  <c r="S232" i="2"/>
  <c r="S125" i="2"/>
  <c r="S105" i="2"/>
  <c r="S267" i="2"/>
  <c r="S114" i="2"/>
  <c r="S32" i="2"/>
  <c r="S145" i="2"/>
  <c r="S271" i="2"/>
  <c r="S179" i="2"/>
  <c r="S37" i="2"/>
  <c r="S70" i="2"/>
  <c r="S103" i="2"/>
  <c r="S170" i="2"/>
  <c r="S94" i="2"/>
  <c r="S248" i="2"/>
  <c r="S189" i="2"/>
  <c r="S121" i="2"/>
  <c r="S92" i="2"/>
  <c r="S160" i="2"/>
  <c r="S128" i="2"/>
  <c r="S227" i="2"/>
  <c r="S144" i="2"/>
  <c r="S226" i="2"/>
  <c r="S53" i="2"/>
  <c r="S86" i="2"/>
  <c r="S119" i="2"/>
  <c r="S186" i="2"/>
  <c r="S190" i="2"/>
  <c r="S264" i="2"/>
  <c r="S237" i="2"/>
  <c r="S137" i="2"/>
  <c r="S204" i="2"/>
  <c r="S196" i="2"/>
  <c r="S210" i="2"/>
  <c r="S51" i="2"/>
  <c r="S146" i="2"/>
  <c r="S50" i="2"/>
  <c r="S69" i="2"/>
  <c r="S102" i="2"/>
  <c r="S85" i="2"/>
  <c r="S118" i="2"/>
  <c r="S151" i="2"/>
  <c r="S75" i="2"/>
  <c r="S47" i="2"/>
  <c r="S202" i="2"/>
  <c r="S62" i="2"/>
  <c r="S185" i="2"/>
  <c r="S77" i="2"/>
  <c r="S67" i="2"/>
  <c r="S82" i="2"/>
  <c r="S239" i="2"/>
  <c r="S240" i="2"/>
  <c r="S99" i="2"/>
  <c r="S101" i="2"/>
  <c r="S7" i="2"/>
  <c r="S171" i="2"/>
  <c r="S88" i="2"/>
  <c r="S14" i="2"/>
  <c r="S218" i="2"/>
  <c r="S254" i="2"/>
  <c r="S35" i="2"/>
  <c r="S132" i="2"/>
  <c r="S193" i="2"/>
  <c r="S117" i="2"/>
  <c r="S23" i="2"/>
  <c r="S219" i="2"/>
  <c r="S104" i="2"/>
  <c r="S126" i="2"/>
  <c r="S43" i="2"/>
  <c r="S242" i="2"/>
  <c r="S259" i="2"/>
  <c r="S260" i="2"/>
  <c r="S112" i="2"/>
  <c r="S133" i="2"/>
  <c r="S39" i="2"/>
  <c r="S44" i="2"/>
  <c r="S120" i="2"/>
  <c r="S174" i="2"/>
  <c r="S59" i="2"/>
  <c r="S115" i="2"/>
  <c r="S224" i="2"/>
  <c r="S147" i="2"/>
  <c r="S194" i="2"/>
  <c r="S149" i="2"/>
  <c r="S55" i="2"/>
  <c r="S76" i="2"/>
  <c r="S152" i="2"/>
  <c r="S270" i="2"/>
  <c r="S107" i="2"/>
  <c r="S161" i="2"/>
  <c r="S96" i="2"/>
  <c r="S195" i="2"/>
  <c r="S65" i="2"/>
  <c r="S165" i="2"/>
  <c r="S135" i="2"/>
  <c r="S124" i="2"/>
  <c r="S184" i="2"/>
  <c r="S63" i="2"/>
  <c r="S155" i="2"/>
  <c r="S207" i="2"/>
  <c r="S225" i="2"/>
  <c r="S19" i="2"/>
  <c r="S159" i="2"/>
  <c r="S181" i="2"/>
  <c r="S167" i="2"/>
  <c r="S172" i="2"/>
  <c r="S90" i="2"/>
  <c r="S111" i="2"/>
  <c r="S187" i="2"/>
  <c r="S243" i="2"/>
  <c r="S97" i="2"/>
  <c r="S244" i="2"/>
  <c r="S273" i="2"/>
  <c r="S199" i="2"/>
  <c r="S24" i="2"/>
  <c r="S41" i="2"/>
  <c r="S110" i="2"/>
  <c r="S18" i="2"/>
  <c r="S231" i="2"/>
  <c r="S40" i="2"/>
  <c r="S57" i="2"/>
  <c r="S158" i="2"/>
  <c r="S164" i="2"/>
  <c r="S263" i="2"/>
  <c r="S56" i="2"/>
  <c r="S73" i="2"/>
  <c r="S68" i="2"/>
  <c r="S129" i="2"/>
  <c r="S10" i="2"/>
  <c r="S72" i="2"/>
  <c r="S153" i="2"/>
  <c r="S116" i="2"/>
  <c r="S83" i="2"/>
  <c r="S26" i="2"/>
  <c r="S266" i="2"/>
  <c r="S217" i="2"/>
  <c r="S208" i="2"/>
  <c r="S258" i="2"/>
  <c r="S42" i="2"/>
  <c r="S11" i="2"/>
  <c r="S249" i="2"/>
  <c r="S80" i="2"/>
  <c r="S223" i="2"/>
  <c r="S134" i="2"/>
  <c r="S91" i="2"/>
  <c r="S221" i="2"/>
  <c r="S211" i="2"/>
  <c r="S150" i="2"/>
  <c r="S139" i="2"/>
  <c r="S253" i="2"/>
  <c r="S130" i="2"/>
  <c r="S166" i="2"/>
  <c r="S203" i="2"/>
  <c r="S30" i="2"/>
  <c r="S212" i="2"/>
  <c r="S182" i="2"/>
  <c r="S12" i="2"/>
  <c r="S78" i="2"/>
  <c r="S84" i="2"/>
  <c r="S214" i="2"/>
  <c r="S108" i="2"/>
  <c r="S163" i="2"/>
  <c r="S177" i="2"/>
  <c r="S246" i="2"/>
  <c r="S188" i="2"/>
  <c r="S209" i="2"/>
  <c r="S191" i="2"/>
  <c r="S45" i="2"/>
  <c r="S175" i="2"/>
  <c r="S93" i="2"/>
  <c r="S34" i="2"/>
  <c r="S238" i="2"/>
  <c r="S180" i="2"/>
  <c r="S275" i="2"/>
  <c r="S8" i="2"/>
  <c r="S100" i="2"/>
  <c r="S25" i="2"/>
  <c r="S274" i="2"/>
  <c r="S265" i="2"/>
  <c r="S276" i="2"/>
  <c r="S74" i="2"/>
  <c r="S197" i="2"/>
  <c r="S29" i="2"/>
  <c r="S173" i="2"/>
  <c r="S256" i="2"/>
  <c r="S229" i="2"/>
  <c r="S257" i="2"/>
  <c r="S261" i="2"/>
  <c r="S148" i="2"/>
  <c r="S22" i="2"/>
  <c r="S113" i="2"/>
  <c r="S58" i="2"/>
  <c r="S81" i="2"/>
  <c r="S106" i="2"/>
  <c r="S33" i="2"/>
  <c r="S122" i="2"/>
  <c r="S228" i="2"/>
  <c r="S250" i="2"/>
  <c r="S52" i="2"/>
  <c r="S61" i="2"/>
  <c r="S236" i="2"/>
  <c r="S220" i="2"/>
  <c r="S268" i="2"/>
  <c r="S9" i="2"/>
  <c r="S109" i="2"/>
  <c r="S157" i="2"/>
  <c r="Z271" i="2"/>
  <c r="Z255" i="2"/>
  <c r="Z266" i="2"/>
  <c r="Z273" i="2"/>
  <c r="Z256" i="2"/>
  <c r="Z249" i="2"/>
  <c r="Z274" i="2"/>
  <c r="Z267" i="2"/>
  <c r="Z275" i="2"/>
  <c r="Z257" i="2"/>
  <c r="Z251" i="2"/>
  <c r="Z276" i="2"/>
  <c r="Z263" i="2"/>
  <c r="Z250" i="2"/>
  <c r="Z264" i="2"/>
  <c r="Z253" i="2"/>
  <c r="Z265" i="2"/>
  <c r="Z254" i="2"/>
  <c r="Z270" i="2"/>
  <c r="Z22" i="2"/>
  <c r="Z90" i="2"/>
  <c r="Z15" i="2"/>
  <c r="Z27" i="2"/>
  <c r="Z98" i="2"/>
  <c r="Z177" i="2"/>
  <c r="Z58" i="2"/>
  <c r="Z151" i="2"/>
  <c r="Z240" i="2"/>
  <c r="Z166" i="2"/>
  <c r="Z272" i="2"/>
  <c r="Z258" i="2"/>
  <c r="Z54" i="2"/>
  <c r="Z109" i="2"/>
  <c r="Z67" i="2"/>
  <c r="Z91" i="2"/>
  <c r="Z146" i="2"/>
  <c r="Z209" i="2"/>
  <c r="Z100" i="2"/>
  <c r="Z200" i="2"/>
  <c r="Z71" i="2"/>
  <c r="Z206" i="2"/>
  <c r="Z162" i="2"/>
  <c r="Z259" i="2"/>
  <c r="Z260" i="2"/>
  <c r="Z261" i="2"/>
  <c r="Z33" i="2"/>
  <c r="Z120" i="2"/>
  <c r="Z168" i="2"/>
  <c r="Z59" i="2"/>
  <c r="Z174" i="2"/>
  <c r="Z103" i="2"/>
  <c r="Z222" i="2"/>
  <c r="Z147" i="2"/>
  <c r="Z5" i="2"/>
  <c r="Z79" i="2"/>
  <c r="Z229" i="2"/>
  <c r="Z180" i="2"/>
  <c r="Z192" i="2"/>
  <c r="Z211" i="2"/>
  <c r="Z49" i="2"/>
  <c r="Z37" i="2"/>
  <c r="Z184" i="2"/>
  <c r="Z107" i="2"/>
  <c r="Z204" i="2"/>
  <c r="Z131" i="2"/>
  <c r="Z64" i="2"/>
  <c r="Z161" i="2"/>
  <c r="Z9" i="2"/>
  <c r="Z94" i="2"/>
  <c r="Z245" i="2"/>
  <c r="Z23" i="2"/>
  <c r="Z212" i="2"/>
  <c r="Z14" i="2"/>
  <c r="Z65" i="2"/>
  <c r="Z46" i="2"/>
  <c r="Z41" i="2"/>
  <c r="Z121" i="2"/>
  <c r="Z220" i="2"/>
  <c r="Z144" i="2"/>
  <c r="Z78" i="2"/>
  <c r="Z163" i="2"/>
  <c r="Z48" i="2"/>
  <c r="Z21" i="2"/>
  <c r="Z92" i="2"/>
  <c r="Z99" i="2"/>
  <c r="Z189" i="2"/>
  <c r="Z247" i="2"/>
  <c r="Z225" i="2"/>
  <c r="Z117" i="2"/>
  <c r="Z50" i="2"/>
  <c r="Z176" i="2"/>
  <c r="Z198" i="2"/>
  <c r="Z87" i="2"/>
  <c r="Z155" i="2"/>
  <c r="Z142" i="2"/>
  <c r="Z81" i="2"/>
  <c r="Z31" i="2"/>
  <c r="Z30" i="2"/>
  <c r="Z34" i="2"/>
  <c r="Z10" i="2"/>
  <c r="Z135" i="2"/>
  <c r="Z129" i="2"/>
  <c r="Z230" i="2"/>
  <c r="Z208" i="2"/>
  <c r="Z47" i="2"/>
  <c r="Z104" i="2"/>
  <c r="Z116" i="2"/>
  <c r="Z262" i="2"/>
  <c r="Z97" i="2"/>
  <c r="Z40" i="2"/>
  <c r="Z56" i="2"/>
  <c r="Z66" i="2"/>
  <c r="Z196" i="2"/>
  <c r="Z18" i="2"/>
  <c r="Z171" i="2"/>
  <c r="Z238" i="2"/>
  <c r="Z224" i="2"/>
  <c r="Z194" i="2"/>
  <c r="Z62" i="2"/>
  <c r="Z145" i="2"/>
  <c r="Z248" i="2"/>
  <c r="Z6" i="2"/>
  <c r="Z75" i="2"/>
  <c r="Z82" i="2"/>
  <c r="Z140" i="2"/>
  <c r="Z219" i="2"/>
  <c r="Z77" i="2"/>
  <c r="Z179" i="2"/>
  <c r="Z42" i="2"/>
  <c r="Z51" i="2"/>
  <c r="Z218" i="2"/>
  <c r="Z123" i="2"/>
  <c r="Z102" i="2"/>
  <c r="Z122" i="2"/>
  <c r="Z29" i="2"/>
  <c r="Z16" i="2"/>
  <c r="Z138" i="2"/>
  <c r="Z188" i="2"/>
  <c r="Z45" i="2"/>
  <c r="Z227" i="2"/>
  <c r="Z118" i="2"/>
  <c r="Z8" i="2"/>
  <c r="Z141" i="2"/>
  <c r="Z160" i="2"/>
  <c r="Z35" i="2"/>
  <c r="Z169" i="2"/>
  <c r="Z53" i="2"/>
  <c r="Z124" i="2"/>
  <c r="Z113" i="2"/>
  <c r="Z43" i="2"/>
  <c r="Z157" i="2"/>
  <c r="Z236" i="2"/>
  <c r="Z72" i="2"/>
  <c r="Z183" i="2"/>
  <c r="Z68" i="2"/>
  <c r="Z132" i="2"/>
  <c r="Z232" i="2"/>
  <c r="Z52" i="2"/>
  <c r="Z173" i="2"/>
  <c r="Z20" i="2"/>
  <c r="Z133" i="2"/>
  <c r="Z226" i="2"/>
  <c r="Z32" i="2"/>
  <c r="Z175" i="2"/>
  <c r="Z154" i="2"/>
  <c r="Z105" i="2"/>
  <c r="Z167" i="2"/>
  <c r="Z237" i="2"/>
  <c r="Z193" i="2"/>
  <c r="Z106" i="2"/>
  <c r="Z234" i="2"/>
  <c r="Z55" i="2"/>
  <c r="Z181" i="2"/>
  <c r="Z7" i="2"/>
  <c r="Z202" i="2"/>
  <c r="Z186" i="2"/>
  <c r="Z217" i="2"/>
  <c r="Z125" i="2"/>
  <c r="Z195" i="2"/>
  <c r="Z158" i="2"/>
  <c r="Z221" i="2"/>
  <c r="Z203" i="2"/>
  <c r="Z170" i="2"/>
  <c r="Z84" i="2"/>
  <c r="Z199" i="2"/>
  <c r="Z165" i="2"/>
  <c r="Z235" i="2"/>
  <c r="Z83" i="2"/>
  <c r="Z150" i="2"/>
  <c r="Z93" i="2"/>
  <c r="Z215" i="2"/>
  <c r="Z172" i="2"/>
  <c r="Z114" i="2"/>
  <c r="Z197" i="2"/>
  <c r="Z156" i="2"/>
  <c r="Z12" i="2"/>
  <c r="Z13" i="2"/>
  <c r="Z231" i="2"/>
  <c r="Z213" i="2"/>
  <c r="Z178" i="2"/>
  <c r="Z239" i="2"/>
  <c r="Z185" i="2"/>
  <c r="Z28" i="2"/>
  <c r="Z26" i="2"/>
  <c r="Z25" i="2"/>
  <c r="Z119" i="2"/>
  <c r="Z69" i="2"/>
  <c r="Z182" i="2"/>
  <c r="Z112" i="2"/>
  <c r="Z268" i="2"/>
  <c r="Z44" i="2"/>
  <c r="Z39" i="2"/>
  <c r="Z57" i="2"/>
  <c r="Z159" i="2"/>
  <c r="Z111" i="2"/>
  <c r="Z164" i="2"/>
  <c r="Z201" i="2"/>
  <c r="Z252" i="2"/>
  <c r="Z17" i="2"/>
  <c r="Z60" i="2"/>
  <c r="Z89" i="2"/>
  <c r="Z149" i="2"/>
  <c r="Z190" i="2"/>
  <c r="Z76" i="2"/>
  <c r="Z134" i="2"/>
  <c r="Z205" i="2"/>
  <c r="Z80" i="2"/>
  <c r="Z38" i="2"/>
  <c r="Z143" i="2"/>
  <c r="Z216" i="2"/>
  <c r="Z243" i="2"/>
  <c r="Z70" i="2"/>
  <c r="Z153" i="2"/>
  <c r="Z242" i="2"/>
  <c r="Z137" i="2"/>
  <c r="Z86" i="2"/>
  <c r="Z191" i="2"/>
  <c r="Z11" i="2"/>
  <c r="Z244" i="2"/>
  <c r="Z61" i="2"/>
  <c r="Z241" i="2"/>
  <c r="Z63" i="2"/>
  <c r="Z228" i="2"/>
  <c r="Z128" i="2"/>
  <c r="Z136" i="2"/>
  <c r="Z214" i="2"/>
  <c r="Z139" i="2"/>
  <c r="Z187" i="2"/>
  <c r="Z233" i="2"/>
  <c r="Z210" i="2"/>
  <c r="Z19" i="2"/>
  <c r="Z24" i="2"/>
  <c r="Z88" i="2"/>
  <c r="Z36" i="2"/>
  <c r="Z96" i="2"/>
  <c r="Z152" i="2"/>
  <c r="Z74" i="2"/>
  <c r="Z95" i="2"/>
  <c r="Z4" i="2"/>
  <c r="Z269" i="2"/>
  <c r="Z101" i="2"/>
  <c r="Z148" i="2"/>
  <c r="Z108" i="2"/>
  <c r="Z207" i="2"/>
  <c r="Z115" i="2"/>
  <c r="Z246" i="2"/>
  <c r="Z130" i="2"/>
  <c r="Z127" i="2"/>
  <c r="Z126" i="2"/>
  <c r="Z73" i="2"/>
  <c r="Z110" i="2"/>
  <c r="Z85" i="2"/>
  <c r="Z223" i="2"/>
  <c r="T274" i="2"/>
  <c r="T276" i="2"/>
  <c r="T271" i="2"/>
  <c r="T267" i="2"/>
  <c r="T255" i="2"/>
  <c r="T273" i="2"/>
  <c r="T268" i="2"/>
  <c r="T275" i="2"/>
  <c r="T266" i="2"/>
  <c r="T264" i="2"/>
  <c r="T265" i="2"/>
  <c r="T269" i="2"/>
  <c r="T256" i="2"/>
  <c r="T257" i="2"/>
  <c r="T270" i="2"/>
  <c r="T258" i="2"/>
  <c r="T263" i="2"/>
  <c r="T272" i="2"/>
  <c r="T21" i="2"/>
  <c r="T81" i="2"/>
  <c r="T167" i="2"/>
  <c r="T88" i="2"/>
  <c r="T82" i="2"/>
  <c r="T194" i="2"/>
  <c r="T37" i="2"/>
  <c r="T108" i="2"/>
  <c r="T183" i="2"/>
  <c r="T129" i="2"/>
  <c r="T27" i="2"/>
  <c r="T25" i="2"/>
  <c r="T45" i="2"/>
  <c r="T156" i="2"/>
  <c r="T230" i="2"/>
  <c r="T94" i="2"/>
  <c r="T201" i="2"/>
  <c r="T136" i="2"/>
  <c r="T33" i="2"/>
  <c r="T14" i="2"/>
  <c r="T164" i="2"/>
  <c r="T192" i="2"/>
  <c r="T222" i="2"/>
  <c r="T107" i="2"/>
  <c r="T173" i="2"/>
  <c r="T59" i="2"/>
  <c r="T78" i="2"/>
  <c r="T71" i="2"/>
  <c r="T188" i="2"/>
  <c r="T18" i="2"/>
  <c r="T180" i="2"/>
  <c r="T245" i="2"/>
  <c r="T181" i="2"/>
  <c r="T114" i="2"/>
  <c r="T65" i="2"/>
  <c r="T213" i="2"/>
  <c r="T226" i="2"/>
  <c r="T102" i="2"/>
  <c r="T100" i="2"/>
  <c r="T20" i="2"/>
  <c r="T75" i="2"/>
  <c r="T87" i="2"/>
  <c r="T84" i="2"/>
  <c r="T17" i="2"/>
  <c r="T50" i="2"/>
  <c r="T208" i="2"/>
  <c r="T254" i="2"/>
  <c r="T197" i="2"/>
  <c r="T122" i="2"/>
  <c r="T104" i="2"/>
  <c r="T215" i="2"/>
  <c r="T77" i="2"/>
  <c r="T176" i="2"/>
  <c r="T112" i="2"/>
  <c r="T169" i="2"/>
  <c r="T91" i="2"/>
  <c r="T119" i="2"/>
  <c r="T97" i="2"/>
  <c r="T36" i="2"/>
  <c r="T103" i="2"/>
  <c r="T224" i="2"/>
  <c r="T30" i="2"/>
  <c r="T228" i="2"/>
  <c r="T134" i="2"/>
  <c r="T130" i="2"/>
  <c r="T90" i="2"/>
  <c r="T168" i="2"/>
  <c r="T250" i="2"/>
  <c r="T206" i="2"/>
  <c r="T229" i="2"/>
  <c r="T53" i="2"/>
  <c r="T58" i="2"/>
  <c r="T123" i="2"/>
  <c r="T235" i="2"/>
  <c r="T210" i="2"/>
  <c r="T143" i="2"/>
  <c r="T154" i="2"/>
  <c r="T200" i="2"/>
  <c r="T7" i="2"/>
  <c r="T142" i="2"/>
  <c r="T231" i="2"/>
  <c r="T259" i="2"/>
  <c r="T69" i="2"/>
  <c r="T118" i="2"/>
  <c r="T128" i="2"/>
  <c r="T251" i="2"/>
  <c r="T44" i="2"/>
  <c r="T177" i="2"/>
  <c r="T221" i="2"/>
  <c r="T105" i="2"/>
  <c r="T39" i="2"/>
  <c r="T165" i="2"/>
  <c r="T54" i="2"/>
  <c r="T260" i="2"/>
  <c r="T85" i="2"/>
  <c r="T135" i="2"/>
  <c r="T137" i="2"/>
  <c r="T9" i="2"/>
  <c r="T95" i="2"/>
  <c r="T185" i="2"/>
  <c r="T234" i="2"/>
  <c r="T133" i="2"/>
  <c r="T157" i="2"/>
  <c r="T68" i="2"/>
  <c r="T42" i="2"/>
  <c r="T261" i="2"/>
  <c r="T101" i="2"/>
  <c r="T151" i="2"/>
  <c r="T146" i="2"/>
  <c r="T41" i="2"/>
  <c r="T139" i="2"/>
  <c r="T209" i="2"/>
  <c r="T236" i="2"/>
  <c r="T150" i="2"/>
  <c r="T227" i="2"/>
  <c r="T98" i="2"/>
  <c r="T196" i="2"/>
  <c r="T96" i="2"/>
  <c r="T73" i="2"/>
  <c r="T131" i="2"/>
  <c r="T191" i="2"/>
  <c r="T12" i="2"/>
  <c r="T232" i="2"/>
  <c r="T220" i="2"/>
  <c r="T253" i="2"/>
  <c r="T244" i="2"/>
  <c r="T5" i="2"/>
  <c r="T86" i="2"/>
  <c r="T149" i="2"/>
  <c r="T193" i="2"/>
  <c r="T29" i="2"/>
  <c r="T23" i="2"/>
  <c r="T233" i="2"/>
  <c r="T79" i="2"/>
  <c r="T205" i="2"/>
  <c r="T34" i="2"/>
  <c r="T99" i="2"/>
  <c r="T163" i="2"/>
  <c r="T148" i="2"/>
  <c r="T92" i="2"/>
  <c r="T31" i="2"/>
  <c r="T243" i="2"/>
  <c r="T132" i="2"/>
  <c r="T10" i="2"/>
  <c r="T111" i="2"/>
  <c r="T187" i="2"/>
  <c r="T153" i="2"/>
  <c r="T189" i="2"/>
  <c r="T35" i="2"/>
  <c r="T252" i="2"/>
  <c r="T51" i="2"/>
  <c r="T19" i="2"/>
  <c r="T125" i="2"/>
  <c r="T203" i="2"/>
  <c r="T155" i="2"/>
  <c r="T195" i="2"/>
  <c r="T74" i="2"/>
  <c r="T46" i="2"/>
  <c r="T178" i="2"/>
  <c r="T28" i="2"/>
  <c r="T140" i="2"/>
  <c r="T219" i="2"/>
  <c r="T160" i="2"/>
  <c r="T216" i="2"/>
  <c r="T152" i="2"/>
  <c r="T70" i="2"/>
  <c r="T120" i="2"/>
  <c r="T63" i="2"/>
  <c r="T172" i="2"/>
  <c r="T166" i="2"/>
  <c r="T204" i="2"/>
  <c r="T218" i="2"/>
  <c r="T162" i="2"/>
  <c r="T40" i="2"/>
  <c r="T158" i="2"/>
  <c r="T72" i="2"/>
  <c r="T62" i="2"/>
  <c r="T240" i="2"/>
  <c r="T239" i="2"/>
  <c r="T249" i="2"/>
  <c r="T211" i="2"/>
  <c r="T55" i="2"/>
  <c r="T241" i="2"/>
  <c r="T262" i="2"/>
  <c r="T11" i="2"/>
  <c r="T116" i="2"/>
  <c r="T115" i="2"/>
  <c r="T6" i="2"/>
  <c r="T161" i="2"/>
  <c r="T43" i="2"/>
  <c r="T170" i="2"/>
  <c r="T175" i="2"/>
  <c r="T110" i="2"/>
  <c r="T182" i="2"/>
  <c r="T16" i="2"/>
  <c r="T184" i="2"/>
  <c r="T247" i="2"/>
  <c r="T174" i="2"/>
  <c r="T212" i="2"/>
  <c r="T32" i="2"/>
  <c r="T198" i="2"/>
  <c r="T15" i="2"/>
  <c r="T126" i="2"/>
  <c r="T199" i="2"/>
  <c r="T48" i="2"/>
  <c r="T214" i="2"/>
  <c r="T127" i="2"/>
  <c r="T147" i="2"/>
  <c r="T83" i="2"/>
  <c r="T64" i="2"/>
  <c r="T246" i="2"/>
  <c r="T223" i="2"/>
  <c r="T190" i="2"/>
  <c r="T26" i="2"/>
  <c r="T22" i="2"/>
  <c r="T242" i="2"/>
  <c r="T121" i="2"/>
  <c r="T202" i="2"/>
  <c r="T57" i="2"/>
  <c r="T56" i="2"/>
  <c r="T49" i="2"/>
  <c r="T38" i="2"/>
  <c r="T66" i="2"/>
  <c r="T138" i="2"/>
  <c r="T225" i="2"/>
  <c r="T47" i="2"/>
  <c r="T61" i="2"/>
  <c r="T93" i="2"/>
  <c r="T60" i="2"/>
  <c r="T144" i="2"/>
  <c r="T117" i="2"/>
  <c r="T171" i="2"/>
  <c r="T217" i="2"/>
  <c r="T145" i="2"/>
  <c r="T159" i="2"/>
  <c r="T109" i="2"/>
  <c r="T24" i="2"/>
  <c r="T124" i="2"/>
  <c r="T67" i="2"/>
  <c r="T80" i="2"/>
  <c r="T141" i="2"/>
  <c r="T4" i="2"/>
  <c r="T186" i="2"/>
  <c r="T76" i="2"/>
  <c r="T13" i="2"/>
  <c r="T248" i="2"/>
  <c r="T238" i="2"/>
  <c r="T52" i="2"/>
  <c r="T179" i="2"/>
  <c r="T207" i="2"/>
  <c r="T89" i="2"/>
  <c r="T237" i="2"/>
  <c r="T106" i="2"/>
  <c r="T113" i="2"/>
  <c r="T8" i="2"/>
  <c r="R228" i="2"/>
  <c r="R213" i="2"/>
  <c r="R230" i="2"/>
  <c r="R231" i="2"/>
  <c r="R153" i="2"/>
  <c r="R216" i="2"/>
  <c r="R34" i="2"/>
  <c r="R124" i="2"/>
  <c r="R157" i="2"/>
  <c r="R219" i="2"/>
  <c r="R225" i="2"/>
  <c r="R107" i="2"/>
  <c r="R111" i="2"/>
  <c r="R222" i="2"/>
  <c r="R48" i="2"/>
  <c r="R268" i="2"/>
  <c r="R4" i="2"/>
  <c r="R260" i="2"/>
  <c r="R245" i="2"/>
  <c r="R262" i="2"/>
  <c r="R24" i="2"/>
  <c r="R217" i="2"/>
  <c r="R9" i="2"/>
  <c r="R94" i="2"/>
  <c r="R174" i="2"/>
  <c r="R78" i="2"/>
  <c r="R113" i="2"/>
  <c r="R97" i="2"/>
  <c r="R208" i="2"/>
  <c r="R162" i="2"/>
  <c r="R44" i="2"/>
  <c r="R236" i="2"/>
  <c r="R112" i="2"/>
  <c r="R36" i="2"/>
  <c r="R21" i="2"/>
  <c r="R22" i="2"/>
  <c r="R23" i="2"/>
  <c r="R88" i="2"/>
  <c r="R10" i="2"/>
  <c r="R73" i="2"/>
  <c r="R145" i="2"/>
  <c r="R224" i="2"/>
  <c r="R79" i="2"/>
  <c r="R92" i="2"/>
  <c r="R15" i="2"/>
  <c r="R49" i="2"/>
  <c r="R30" i="2"/>
  <c r="R154" i="2"/>
  <c r="R108" i="2"/>
  <c r="R241" i="2"/>
  <c r="R68" i="2"/>
  <c r="R101" i="2"/>
  <c r="R150" i="2"/>
  <c r="R215" i="2"/>
  <c r="R42" i="2"/>
  <c r="R201" i="2"/>
  <c r="R250" i="2"/>
  <c r="R234" i="2"/>
  <c r="R220" i="2"/>
  <c r="R255" i="2"/>
  <c r="R238" i="2"/>
  <c r="R243" i="2"/>
  <c r="R130" i="2"/>
  <c r="R170" i="2"/>
  <c r="R84" i="2"/>
  <c r="R117" i="2"/>
  <c r="R166" i="2"/>
  <c r="R263" i="2"/>
  <c r="R74" i="2"/>
  <c r="R233" i="2"/>
  <c r="R12" i="2"/>
  <c r="R77" i="2"/>
  <c r="R193" i="2"/>
  <c r="R46" i="2"/>
  <c r="R28" i="2"/>
  <c r="R63" i="2"/>
  <c r="R19" i="2"/>
  <c r="R270" i="2"/>
  <c r="R100" i="2"/>
  <c r="R133" i="2"/>
  <c r="R182" i="2"/>
  <c r="R56" i="2"/>
  <c r="R6" i="2"/>
  <c r="R265" i="2"/>
  <c r="R35" i="2"/>
  <c r="R257" i="2"/>
  <c r="R93" i="2"/>
  <c r="R99" i="2"/>
  <c r="R110" i="2"/>
  <c r="R144" i="2"/>
  <c r="R187" i="2"/>
  <c r="R114" i="2"/>
  <c r="R116" i="2"/>
  <c r="R149" i="2"/>
  <c r="R198" i="2"/>
  <c r="R104" i="2"/>
  <c r="R214" i="2"/>
  <c r="R26" i="2"/>
  <c r="R65" i="2"/>
  <c r="R186" i="2"/>
  <c r="R172" i="2"/>
  <c r="R156" i="2"/>
  <c r="R161" i="2"/>
  <c r="R14" i="2"/>
  <c r="R259" i="2"/>
  <c r="R171" i="2"/>
  <c r="R148" i="2"/>
  <c r="R181" i="2"/>
  <c r="R7" i="2"/>
  <c r="R152" i="2"/>
  <c r="R247" i="2"/>
  <c r="R90" i="2"/>
  <c r="R146" i="2"/>
  <c r="R209" i="2"/>
  <c r="R43" i="2"/>
  <c r="R17" i="2"/>
  <c r="R59" i="2"/>
  <c r="R204" i="2"/>
  <c r="R138" i="2"/>
  <c r="R271" i="2"/>
  <c r="R53" i="2"/>
  <c r="R55" i="2"/>
  <c r="R89" i="2"/>
  <c r="R122" i="2"/>
  <c r="R45" i="2"/>
  <c r="R13" i="2"/>
  <c r="R258" i="2"/>
  <c r="R143" i="2"/>
  <c r="R139" i="2"/>
  <c r="R69" i="2"/>
  <c r="R71" i="2"/>
  <c r="R121" i="2"/>
  <c r="R11" i="2"/>
  <c r="R98" i="2"/>
  <c r="R66" i="2"/>
  <c r="R159" i="2"/>
  <c r="R67" i="2"/>
  <c r="R211" i="2"/>
  <c r="R85" i="2"/>
  <c r="R87" i="2"/>
  <c r="R185" i="2"/>
  <c r="R64" i="2"/>
  <c r="R205" i="2"/>
  <c r="R96" i="2"/>
  <c r="R237" i="2"/>
  <c r="R75" i="2"/>
  <c r="R29" i="2"/>
  <c r="R165" i="2"/>
  <c r="R103" i="2"/>
  <c r="R249" i="2"/>
  <c r="R123" i="2"/>
  <c r="R76" i="2"/>
  <c r="R125" i="2"/>
  <c r="R27" i="2"/>
  <c r="R155" i="2"/>
  <c r="R190" i="2"/>
  <c r="R197" i="2"/>
  <c r="R119" i="2"/>
  <c r="R199" i="2"/>
  <c r="R173" i="2"/>
  <c r="R128" i="2"/>
  <c r="R147" i="2"/>
  <c r="R109" i="2"/>
  <c r="R227" i="2"/>
  <c r="R60" i="2"/>
  <c r="R272" i="2"/>
  <c r="R229" i="2"/>
  <c r="R135" i="2"/>
  <c r="R8" i="2"/>
  <c r="R195" i="2"/>
  <c r="R131" i="2"/>
  <c r="R175" i="2"/>
  <c r="R188" i="2"/>
  <c r="R16" i="2"/>
  <c r="R163" i="2"/>
  <c r="R20" i="2"/>
  <c r="R118" i="2"/>
  <c r="R120" i="2"/>
  <c r="R176" i="2"/>
  <c r="R177" i="2"/>
  <c r="R178" i="2"/>
  <c r="R274" i="2"/>
  <c r="R52" i="2"/>
  <c r="R134" i="2"/>
  <c r="R168" i="2"/>
  <c r="R254" i="2"/>
  <c r="R206" i="2"/>
  <c r="R256" i="2"/>
  <c r="R273" i="2"/>
  <c r="R132" i="2"/>
  <c r="R246" i="2"/>
  <c r="R248" i="2"/>
  <c r="R80" i="2"/>
  <c r="R129" i="2"/>
  <c r="R47" i="2"/>
  <c r="R275" i="2"/>
  <c r="R164" i="2"/>
  <c r="R39" i="2"/>
  <c r="R41" i="2"/>
  <c r="R160" i="2"/>
  <c r="R235" i="2"/>
  <c r="R106" i="2"/>
  <c r="R276" i="2"/>
  <c r="R180" i="2"/>
  <c r="R151" i="2"/>
  <c r="R105" i="2"/>
  <c r="R51" i="2"/>
  <c r="R18" i="2"/>
  <c r="R179" i="2"/>
  <c r="R196" i="2"/>
  <c r="R167" i="2"/>
  <c r="R137" i="2"/>
  <c r="R189" i="2"/>
  <c r="R158" i="2"/>
  <c r="R207" i="2"/>
  <c r="R86" i="2"/>
  <c r="R62" i="2"/>
  <c r="R239" i="2"/>
  <c r="R33" i="2"/>
  <c r="R102" i="2"/>
  <c r="R115" i="2"/>
  <c r="R140" i="2"/>
  <c r="R194" i="2"/>
  <c r="R183" i="2"/>
  <c r="R95" i="2"/>
  <c r="R240" i="2"/>
  <c r="R136" i="2"/>
  <c r="R202" i="2"/>
  <c r="R191" i="2"/>
  <c r="R184" i="2"/>
  <c r="R252" i="2"/>
  <c r="R269" i="2"/>
  <c r="R200" i="2"/>
  <c r="R126" i="2"/>
  <c r="R61" i="2"/>
  <c r="R38" i="2"/>
  <c r="R83" i="2"/>
  <c r="R221" i="2"/>
  <c r="R70" i="2"/>
  <c r="R91" i="2"/>
  <c r="R232" i="2"/>
  <c r="R203" i="2"/>
  <c r="R264" i="2"/>
  <c r="R253" i="2"/>
  <c r="R244" i="2"/>
  <c r="R141" i="2"/>
  <c r="R5" i="2"/>
  <c r="R226" i="2"/>
  <c r="R37" i="2"/>
  <c r="R127" i="2"/>
  <c r="R261" i="2"/>
  <c r="R142" i="2"/>
  <c r="R58" i="2"/>
  <c r="R223" i="2"/>
  <c r="R251" i="2"/>
  <c r="R267" i="2"/>
  <c r="R82" i="2"/>
  <c r="R218" i="2"/>
  <c r="R192" i="2"/>
  <c r="R242" i="2"/>
  <c r="R32" i="2"/>
  <c r="R54" i="2"/>
  <c r="R210" i="2"/>
  <c r="R31" i="2"/>
  <c r="R212" i="2"/>
  <c r="R25" i="2"/>
  <c r="R57" i="2"/>
  <c r="R50" i="2"/>
  <c r="R266" i="2"/>
  <c r="R40" i="2"/>
  <c r="R169" i="2"/>
  <c r="R72" i="2"/>
  <c r="R81" i="2"/>
  <c r="F4" i="3" l="1" a="1"/>
  <c r="F4" i="3" s="1"/>
  <c r="E4" i="3" a="1"/>
  <c r="E4" i="3" s="1"/>
  <c r="AA7" i="3"/>
  <c r="AD8" i="3"/>
  <c r="AD7" i="3"/>
  <c r="X8" i="3"/>
  <c r="X7" i="3"/>
  <c r="Y8" i="3"/>
  <c r="Y7" i="3"/>
  <c r="AC8" i="3"/>
  <c r="AC7" i="3"/>
  <c r="W8" i="3"/>
  <c r="W7" i="3"/>
  <c r="U7" i="3"/>
  <c r="V8" i="3"/>
  <c r="V7" i="3"/>
  <c r="U8" i="3"/>
  <c r="T8" i="3"/>
  <c r="T7" i="3"/>
  <c r="S8" i="3"/>
  <c r="S7" i="3"/>
  <c r="R8" i="3"/>
  <c r="R7" i="3"/>
  <c r="Z8" i="3"/>
  <c r="Z7" i="3"/>
  <c r="AB8" i="3"/>
  <c r="AB7" i="3"/>
  <c r="AA8" i="3"/>
  <c r="AR5" i="2"/>
  <c r="AR6" i="2" s="1"/>
  <c r="AR7" i="2" s="1"/>
  <c r="AR8" i="2" s="1"/>
  <c r="AR9" i="2" s="1"/>
  <c r="AR10" i="2" s="1"/>
  <c r="AR11" i="2" s="1"/>
  <c r="AR12" i="2" s="1"/>
  <c r="AR13" i="2" s="1"/>
  <c r="AR14" i="2" s="1"/>
  <c r="AR15" i="2" s="1"/>
  <c r="AR16" i="2" s="1"/>
  <c r="AR17" i="2" s="1"/>
  <c r="AR18" i="2" s="1"/>
  <c r="AR19" i="2" s="1"/>
  <c r="AR20" i="2" s="1"/>
  <c r="AR21" i="2" s="1"/>
  <c r="AR22" i="2" s="1"/>
  <c r="AR23" i="2" s="1"/>
  <c r="AR24" i="2" s="1"/>
  <c r="AR25" i="2" s="1"/>
  <c r="AR26" i="2" s="1"/>
  <c r="AR27" i="2" s="1"/>
  <c r="AR28" i="2" s="1"/>
  <c r="AR29" i="2" s="1"/>
  <c r="AR30" i="2" s="1"/>
  <c r="AR31" i="2" s="1"/>
  <c r="AR32" i="2" s="1"/>
  <c r="AR33" i="2" s="1"/>
  <c r="AR34" i="2" s="1"/>
  <c r="AR35" i="2" s="1"/>
  <c r="AR36" i="2" s="1"/>
  <c r="AR37" i="2" s="1"/>
  <c r="AR38" i="2" s="1"/>
  <c r="AR39" i="2" s="1"/>
  <c r="AR40" i="2" s="1"/>
  <c r="AR41" i="2" s="1"/>
  <c r="AR42" i="2" s="1"/>
  <c r="AR43" i="2" s="1"/>
  <c r="AR44" i="2" s="1"/>
  <c r="AR45" i="2" s="1"/>
  <c r="AR46" i="2" s="1"/>
  <c r="AR47" i="2" s="1"/>
  <c r="AR48" i="2" s="1"/>
  <c r="AR49" i="2" s="1"/>
  <c r="AR50" i="2" s="1"/>
  <c r="AR51" i="2" s="1"/>
  <c r="AR52" i="2" s="1"/>
  <c r="AR53" i="2" s="1"/>
  <c r="AR54" i="2" s="1"/>
  <c r="AR55" i="2" s="1"/>
  <c r="AR56" i="2" s="1"/>
  <c r="AR57" i="2" s="1"/>
  <c r="AR58" i="2" s="1"/>
  <c r="AR59" i="2" s="1"/>
  <c r="AR60" i="2" s="1"/>
  <c r="AR61" i="2" s="1"/>
  <c r="AR62" i="2" s="1"/>
  <c r="AR63" i="2" s="1"/>
  <c r="AR64" i="2" s="1"/>
  <c r="AR65" i="2" s="1"/>
  <c r="AR66" i="2" s="1"/>
  <c r="AR67" i="2" s="1"/>
  <c r="AR68" i="2" s="1"/>
  <c r="AR69" i="2" s="1"/>
  <c r="AR70" i="2" s="1"/>
  <c r="AR71" i="2" s="1"/>
  <c r="AR72" i="2" s="1"/>
  <c r="AR73" i="2" s="1"/>
  <c r="AR74" i="2" s="1"/>
  <c r="AR75" i="2" s="1"/>
  <c r="AR76" i="2" s="1"/>
  <c r="AR77" i="2" s="1"/>
  <c r="AR78" i="2" s="1"/>
  <c r="AR79" i="2" s="1"/>
  <c r="AR80" i="2" s="1"/>
  <c r="AR81" i="2" s="1"/>
  <c r="AR82" i="2" s="1"/>
  <c r="AR83" i="2" s="1"/>
  <c r="AR84" i="2" s="1"/>
  <c r="AR85" i="2" s="1"/>
  <c r="AR86" i="2" s="1"/>
  <c r="AR87" i="2" s="1"/>
  <c r="AR88" i="2" s="1"/>
  <c r="AR89" i="2" s="1"/>
  <c r="AR90" i="2" s="1"/>
  <c r="AR91" i="2" s="1"/>
  <c r="AR92" i="2" s="1"/>
  <c r="AR93" i="2" s="1"/>
  <c r="AR94" i="2" s="1"/>
  <c r="AR95" i="2" s="1"/>
  <c r="AR96" i="2" s="1"/>
  <c r="AR97" i="2" s="1"/>
  <c r="AR98" i="2" s="1"/>
  <c r="AR99" i="2" s="1"/>
  <c r="AR100" i="2" s="1"/>
  <c r="AR101" i="2" s="1"/>
  <c r="AR102" i="2" s="1"/>
  <c r="AR103" i="2" s="1"/>
  <c r="AR104" i="2" s="1"/>
  <c r="AR105" i="2" s="1"/>
  <c r="AR106" i="2" s="1"/>
  <c r="AR107" i="2" s="1"/>
  <c r="AR108" i="2" s="1"/>
  <c r="AR109" i="2" s="1"/>
  <c r="AR110" i="2" s="1"/>
  <c r="AR111" i="2" s="1"/>
  <c r="AR112" i="2" s="1"/>
  <c r="AR113" i="2" s="1"/>
  <c r="AR114" i="2" s="1"/>
  <c r="AR115" i="2" s="1"/>
  <c r="AR116" i="2" s="1"/>
  <c r="AR117" i="2" s="1"/>
  <c r="AR118" i="2" s="1"/>
  <c r="AR119" i="2" s="1"/>
  <c r="AR120" i="2" s="1"/>
  <c r="AR121" i="2" s="1"/>
  <c r="AR122" i="2" s="1"/>
  <c r="AR123" i="2" s="1"/>
  <c r="AR124" i="2" s="1"/>
  <c r="AR125" i="2" s="1"/>
  <c r="AR126" i="2" s="1"/>
  <c r="AR127" i="2" s="1"/>
  <c r="AR128" i="2" s="1"/>
  <c r="AR129" i="2" s="1"/>
  <c r="AR130" i="2" s="1"/>
  <c r="AR131" i="2" s="1"/>
  <c r="AR132" i="2" s="1"/>
  <c r="AR133" i="2" s="1"/>
  <c r="AR134" i="2" s="1"/>
  <c r="AR135" i="2" s="1"/>
  <c r="AR136" i="2" s="1"/>
  <c r="AR137" i="2" s="1"/>
  <c r="AR138" i="2" s="1"/>
  <c r="AR139" i="2" s="1"/>
  <c r="AR140" i="2" s="1"/>
  <c r="AR141" i="2" s="1"/>
  <c r="AR142" i="2" s="1"/>
  <c r="AR143" i="2" s="1"/>
  <c r="AR144" i="2" s="1"/>
  <c r="AR145" i="2" s="1"/>
  <c r="AR146" i="2" s="1"/>
  <c r="AR147" i="2" s="1"/>
  <c r="AR148" i="2" s="1"/>
  <c r="AR149" i="2" s="1"/>
  <c r="AR150" i="2" s="1"/>
  <c r="AR151" i="2" s="1"/>
  <c r="AR152" i="2" s="1"/>
  <c r="AR153" i="2" s="1"/>
  <c r="AR154" i="2" s="1"/>
  <c r="AR155" i="2" s="1"/>
  <c r="AR156" i="2" s="1"/>
  <c r="AR157" i="2" s="1"/>
  <c r="AR158" i="2" s="1"/>
  <c r="AR159" i="2" s="1"/>
  <c r="AR160" i="2" s="1"/>
  <c r="AR161" i="2" s="1"/>
  <c r="AR162" i="2" s="1"/>
  <c r="AR163" i="2" s="1"/>
  <c r="AR164" i="2" s="1"/>
  <c r="AR165" i="2" s="1"/>
  <c r="AR166" i="2" s="1"/>
  <c r="AR167" i="2" s="1"/>
  <c r="AR168" i="2" s="1"/>
  <c r="AR169" i="2" s="1"/>
  <c r="AR170" i="2" s="1"/>
  <c r="AR171" i="2" s="1"/>
  <c r="AR172" i="2" s="1"/>
  <c r="AR173" i="2" s="1"/>
  <c r="AR174" i="2" s="1"/>
  <c r="AR175" i="2" s="1"/>
  <c r="AR176" i="2" s="1"/>
  <c r="AR177" i="2" s="1"/>
  <c r="AR178" i="2" s="1"/>
  <c r="AR179" i="2" s="1"/>
  <c r="AR180" i="2" s="1"/>
  <c r="AR181" i="2" s="1"/>
  <c r="AR182" i="2" s="1"/>
  <c r="AR183" i="2" s="1"/>
  <c r="AR184" i="2" s="1"/>
  <c r="AR185" i="2" s="1"/>
  <c r="AR186" i="2" s="1"/>
  <c r="AR187" i="2" s="1"/>
  <c r="AR188" i="2" s="1"/>
  <c r="AR189" i="2" s="1"/>
  <c r="AR190" i="2" s="1"/>
  <c r="AR191" i="2" s="1"/>
  <c r="AR192" i="2" s="1"/>
  <c r="AR193" i="2" s="1"/>
  <c r="AR194" i="2" s="1"/>
  <c r="AR195" i="2" s="1"/>
  <c r="AR196" i="2" s="1"/>
  <c r="AR197" i="2" s="1"/>
  <c r="AR198" i="2" s="1"/>
  <c r="AR199" i="2" s="1"/>
  <c r="AR200" i="2" s="1"/>
  <c r="AR201" i="2" s="1"/>
  <c r="AR202" i="2" s="1"/>
  <c r="AR203" i="2" s="1"/>
  <c r="AR204" i="2" s="1"/>
  <c r="AR205" i="2" s="1"/>
  <c r="AR206" i="2" s="1"/>
  <c r="AR207" i="2" s="1"/>
  <c r="AR208" i="2" s="1"/>
  <c r="AR209" i="2" s="1"/>
  <c r="AR210" i="2" s="1"/>
  <c r="AR211" i="2" s="1"/>
  <c r="AR212" i="2" s="1"/>
  <c r="AR213" i="2" s="1"/>
  <c r="AR214" i="2" s="1"/>
  <c r="AR215" i="2" s="1"/>
  <c r="AR216" i="2" s="1"/>
  <c r="AR217" i="2" s="1"/>
  <c r="AR218" i="2" s="1"/>
  <c r="AR219" i="2" s="1"/>
  <c r="AR220" i="2" s="1"/>
  <c r="AR221" i="2" s="1"/>
  <c r="AR222" i="2" s="1"/>
  <c r="AR223" i="2" s="1"/>
  <c r="AR224" i="2" s="1"/>
  <c r="AR225" i="2" s="1"/>
  <c r="AR226" i="2" s="1"/>
  <c r="AR227" i="2" s="1"/>
  <c r="AR228" i="2" s="1"/>
  <c r="AR229" i="2" s="1"/>
  <c r="AR230" i="2" s="1"/>
  <c r="AR231" i="2" s="1"/>
  <c r="AR232" i="2" s="1"/>
  <c r="AR233" i="2" s="1"/>
  <c r="AR234" i="2" s="1"/>
  <c r="AR235" i="2" s="1"/>
  <c r="AR236" i="2" s="1"/>
  <c r="AR237" i="2" s="1"/>
  <c r="AR238" i="2" s="1"/>
  <c r="AR239" i="2" s="1"/>
  <c r="AR240" i="2" s="1"/>
  <c r="AR241" i="2" s="1"/>
  <c r="AR242" i="2" s="1"/>
  <c r="AR243" i="2" s="1"/>
  <c r="AR244" i="2" s="1"/>
  <c r="AR245" i="2" s="1"/>
  <c r="AR246" i="2" s="1"/>
  <c r="AR247" i="2" s="1"/>
  <c r="AR248" i="2" s="1"/>
  <c r="AR249" i="2" s="1"/>
  <c r="AR250" i="2" s="1"/>
  <c r="AR251" i="2" s="1"/>
  <c r="AR252" i="2" s="1"/>
  <c r="AR253" i="2" s="1"/>
  <c r="AR254" i="2" s="1"/>
  <c r="AR255" i="2" s="1"/>
  <c r="AR256" i="2" s="1"/>
  <c r="AR257" i="2" s="1"/>
  <c r="AR258" i="2" s="1"/>
  <c r="AR259" i="2" s="1"/>
  <c r="AR260" i="2" s="1"/>
  <c r="AR261" i="2" s="1"/>
  <c r="AR262" i="2" s="1"/>
  <c r="AR263" i="2" s="1"/>
  <c r="AR264" i="2" s="1"/>
  <c r="AR265" i="2" s="1"/>
  <c r="AR266" i="2" s="1"/>
  <c r="AR267" i="2" s="1"/>
  <c r="AR268" i="2" s="1"/>
  <c r="AR269" i="2" s="1"/>
  <c r="AR270" i="2" s="1"/>
  <c r="AR271" i="2" s="1"/>
  <c r="AR272" i="2" s="1"/>
  <c r="AR273" i="2" s="1"/>
  <c r="AR274" i="2" s="1"/>
  <c r="AR275" i="2" s="1"/>
  <c r="AR276" i="2" s="1"/>
  <c r="AR277" i="2" s="1"/>
  <c r="AR278" i="2" s="1"/>
  <c r="AR279" i="2" s="1"/>
  <c r="AR280" i="2" s="1"/>
  <c r="AR281" i="2" s="1"/>
  <c r="AR282" i="2" s="1"/>
  <c r="AR283" i="2" s="1"/>
  <c r="AR284" i="2" s="1"/>
  <c r="AR285" i="2" s="1"/>
  <c r="AR286" i="2" s="1"/>
  <c r="AR287" i="2" s="1"/>
  <c r="AR288" i="2" s="1"/>
  <c r="AR289" i="2" s="1"/>
  <c r="AR290" i="2" s="1"/>
  <c r="AR291" i="2" s="1"/>
  <c r="AR292" i="2" s="1"/>
  <c r="AR293" i="2" s="1"/>
  <c r="AR294" i="2" s="1"/>
  <c r="AR295" i="2" s="1"/>
  <c r="AR296" i="2" s="1"/>
  <c r="AR297" i="2" s="1"/>
  <c r="AR298" i="2" s="1"/>
  <c r="AR299" i="2" s="1"/>
  <c r="AR300" i="2" s="1"/>
  <c r="AR301" i="2" s="1"/>
  <c r="AR302" i="2" s="1"/>
  <c r="AR303" i="2" s="1"/>
  <c r="AR304" i="2" s="1"/>
  <c r="AR305" i="2" s="1"/>
  <c r="AR306" i="2" s="1"/>
  <c r="AR307" i="2" s="1"/>
  <c r="AR308" i="2" s="1"/>
  <c r="AR309" i="2" s="1"/>
  <c r="AR310" i="2" s="1"/>
  <c r="AR311" i="2" s="1"/>
  <c r="AR312" i="2" s="1"/>
  <c r="C4" i="3" a="1"/>
  <c r="C4" i="3" s="1"/>
  <c r="D4" i="3" a="1"/>
  <c r="D4" i="3" s="1"/>
  <c r="N4" i="3" a="1"/>
  <c r="N4" i="3" s="1"/>
  <c r="M4" i="3" a="1"/>
  <c r="M4" i="3" s="1"/>
  <c r="L4" i="3" a="1"/>
  <c r="L4" i="3" s="1"/>
  <c r="I4" i="3" a="1"/>
  <c r="I4" i="3" s="1"/>
  <c r="K4" i="3" a="1"/>
  <c r="K4" i="3" s="1"/>
  <c r="AP5" i="2"/>
  <c r="AP6" i="2" s="1"/>
  <c r="AP7" i="2" s="1"/>
  <c r="AP8" i="2" s="1"/>
  <c r="AP9" i="2" s="1"/>
  <c r="AP10" i="2" s="1"/>
  <c r="AP11" i="2" s="1"/>
  <c r="AP12" i="2" s="1"/>
  <c r="AP13" i="2" s="1"/>
  <c r="AP14" i="2" s="1"/>
  <c r="AP15" i="2" s="1"/>
  <c r="AP16" i="2" s="1"/>
  <c r="AP17" i="2" s="1"/>
  <c r="AP18" i="2" s="1"/>
  <c r="AP19" i="2" s="1"/>
  <c r="AP20" i="2" s="1"/>
  <c r="AP21" i="2" s="1"/>
  <c r="AP22" i="2" s="1"/>
  <c r="AP23" i="2" s="1"/>
  <c r="AP24" i="2" s="1"/>
  <c r="AP25" i="2" s="1"/>
  <c r="AP26" i="2" s="1"/>
  <c r="AP27" i="2" s="1"/>
  <c r="AP28" i="2" s="1"/>
  <c r="AP29" i="2" s="1"/>
  <c r="AP30" i="2" s="1"/>
  <c r="AP31" i="2" s="1"/>
  <c r="AP32" i="2" s="1"/>
  <c r="AP33" i="2" s="1"/>
  <c r="AP34" i="2" s="1"/>
  <c r="AP35" i="2" s="1"/>
  <c r="AP36" i="2" s="1"/>
  <c r="AP37" i="2" s="1"/>
  <c r="AP38" i="2" s="1"/>
  <c r="AP39" i="2" s="1"/>
  <c r="AP40" i="2" s="1"/>
  <c r="AP41" i="2" s="1"/>
  <c r="AP42" i="2" s="1"/>
  <c r="AP43" i="2" s="1"/>
  <c r="AP44" i="2" s="1"/>
  <c r="AP45" i="2" s="1"/>
  <c r="AP46" i="2" s="1"/>
  <c r="AP47" i="2" s="1"/>
  <c r="AP48" i="2" s="1"/>
  <c r="AP49" i="2" s="1"/>
  <c r="AP50" i="2" s="1"/>
  <c r="AP51" i="2" s="1"/>
  <c r="AP52" i="2" s="1"/>
  <c r="AP53" i="2" s="1"/>
  <c r="AP54" i="2" s="1"/>
  <c r="AP55" i="2" s="1"/>
  <c r="AP56" i="2" s="1"/>
  <c r="AP57" i="2" s="1"/>
  <c r="AP58" i="2" s="1"/>
  <c r="AP59" i="2" s="1"/>
  <c r="AP60" i="2" s="1"/>
  <c r="AP61" i="2" s="1"/>
  <c r="AP62" i="2" s="1"/>
  <c r="AP63" i="2" s="1"/>
  <c r="AP64" i="2" s="1"/>
  <c r="AP65" i="2" s="1"/>
  <c r="AP66" i="2" s="1"/>
  <c r="AP67" i="2" s="1"/>
  <c r="AP68" i="2" s="1"/>
  <c r="AP69" i="2" s="1"/>
  <c r="AP70" i="2" s="1"/>
  <c r="AP71" i="2" s="1"/>
  <c r="AP72" i="2" s="1"/>
  <c r="AP73" i="2" s="1"/>
  <c r="AP74" i="2" s="1"/>
  <c r="AP75" i="2" s="1"/>
  <c r="AP76" i="2" s="1"/>
  <c r="AP77" i="2" s="1"/>
  <c r="AP78" i="2" s="1"/>
  <c r="AP79" i="2" s="1"/>
  <c r="AP80" i="2" s="1"/>
  <c r="AP81" i="2" s="1"/>
  <c r="AP82" i="2" s="1"/>
  <c r="AP83" i="2" s="1"/>
  <c r="AP84" i="2" s="1"/>
  <c r="AP85" i="2" s="1"/>
  <c r="AP86" i="2" s="1"/>
  <c r="AP87" i="2" s="1"/>
  <c r="AP88" i="2" s="1"/>
  <c r="AP89" i="2" s="1"/>
  <c r="AP90" i="2" s="1"/>
  <c r="AP91" i="2" s="1"/>
  <c r="AP92" i="2" s="1"/>
  <c r="AP93" i="2" s="1"/>
  <c r="AP94" i="2" s="1"/>
  <c r="AP95" i="2" s="1"/>
  <c r="AP96" i="2" s="1"/>
  <c r="AP97" i="2" s="1"/>
  <c r="AP98" i="2" s="1"/>
  <c r="AP99" i="2" s="1"/>
  <c r="AP100" i="2" s="1"/>
  <c r="AP101" i="2" s="1"/>
  <c r="AP102" i="2" s="1"/>
  <c r="AP103" i="2" s="1"/>
  <c r="AP104" i="2" s="1"/>
  <c r="AP105" i="2" s="1"/>
  <c r="AP106" i="2" s="1"/>
  <c r="AP107" i="2" s="1"/>
  <c r="AP108" i="2" s="1"/>
  <c r="AP109" i="2" s="1"/>
  <c r="AP110" i="2" s="1"/>
  <c r="AP111" i="2" s="1"/>
  <c r="AP112" i="2" s="1"/>
  <c r="AP113" i="2" s="1"/>
  <c r="AP114" i="2" s="1"/>
  <c r="AP115" i="2" s="1"/>
  <c r="AP116" i="2" s="1"/>
  <c r="AP117" i="2" s="1"/>
  <c r="AP118" i="2" s="1"/>
  <c r="AP119" i="2" s="1"/>
  <c r="AP120" i="2" s="1"/>
  <c r="AP121" i="2" s="1"/>
  <c r="AP122" i="2" s="1"/>
  <c r="AP123" i="2" s="1"/>
  <c r="AP124" i="2" s="1"/>
  <c r="AP125" i="2" s="1"/>
  <c r="AP126" i="2" s="1"/>
  <c r="AP127" i="2" s="1"/>
  <c r="AP128" i="2" s="1"/>
  <c r="AP129" i="2" s="1"/>
  <c r="AP130" i="2" s="1"/>
  <c r="AP131" i="2" s="1"/>
  <c r="AP132" i="2" s="1"/>
  <c r="AP133" i="2" s="1"/>
  <c r="AP134" i="2" s="1"/>
  <c r="AP135" i="2" s="1"/>
  <c r="AP136" i="2" s="1"/>
  <c r="AP137" i="2" s="1"/>
  <c r="AP138" i="2" s="1"/>
  <c r="AP139" i="2" s="1"/>
  <c r="AP140" i="2" s="1"/>
  <c r="AP141" i="2" s="1"/>
  <c r="AP142" i="2" s="1"/>
  <c r="AP143" i="2" s="1"/>
  <c r="AP144" i="2" s="1"/>
  <c r="AP145" i="2" s="1"/>
  <c r="AP146" i="2" s="1"/>
  <c r="AP147" i="2" s="1"/>
  <c r="AP148" i="2" s="1"/>
  <c r="AP149" i="2" s="1"/>
  <c r="AP150" i="2" s="1"/>
  <c r="AP151" i="2" s="1"/>
  <c r="AP152" i="2" s="1"/>
  <c r="AP153" i="2" s="1"/>
  <c r="AP154" i="2" s="1"/>
  <c r="AP155" i="2" s="1"/>
  <c r="AP156" i="2" s="1"/>
  <c r="AP157" i="2" s="1"/>
  <c r="AP158" i="2" s="1"/>
  <c r="AP159" i="2" s="1"/>
  <c r="AP160" i="2" s="1"/>
  <c r="AP161" i="2" s="1"/>
  <c r="AP162" i="2" s="1"/>
  <c r="AP163" i="2" s="1"/>
  <c r="AP164" i="2" s="1"/>
  <c r="AP165" i="2" s="1"/>
  <c r="AP166" i="2" s="1"/>
  <c r="AP167" i="2" s="1"/>
  <c r="AP168" i="2" s="1"/>
  <c r="AP169" i="2" s="1"/>
  <c r="AP170" i="2" s="1"/>
  <c r="AP171" i="2" s="1"/>
  <c r="AP172" i="2" s="1"/>
  <c r="AP173" i="2" s="1"/>
  <c r="AP174" i="2" s="1"/>
  <c r="AP175" i="2" s="1"/>
  <c r="AP176" i="2" s="1"/>
  <c r="AP177" i="2" s="1"/>
  <c r="AP178" i="2" s="1"/>
  <c r="AP179" i="2" s="1"/>
  <c r="AP180" i="2" s="1"/>
  <c r="AP181" i="2" s="1"/>
  <c r="AP182" i="2" s="1"/>
  <c r="AP183" i="2" s="1"/>
  <c r="AP184" i="2" s="1"/>
  <c r="AP185" i="2" s="1"/>
  <c r="AP186" i="2" s="1"/>
  <c r="AP187" i="2" s="1"/>
  <c r="AP188" i="2" s="1"/>
  <c r="AP189" i="2" s="1"/>
  <c r="AP190" i="2" s="1"/>
  <c r="AP191" i="2" s="1"/>
  <c r="AP192" i="2" s="1"/>
  <c r="AP193" i="2" s="1"/>
  <c r="AP194" i="2" s="1"/>
  <c r="AP195" i="2" s="1"/>
  <c r="AP196" i="2" s="1"/>
  <c r="AP197" i="2" s="1"/>
  <c r="AP198" i="2" s="1"/>
  <c r="AP199" i="2" s="1"/>
  <c r="AP200" i="2" s="1"/>
  <c r="AP201" i="2" s="1"/>
  <c r="AP202" i="2" s="1"/>
  <c r="AP203" i="2" s="1"/>
  <c r="AP204" i="2" s="1"/>
  <c r="AP205" i="2" s="1"/>
  <c r="AP206" i="2" s="1"/>
  <c r="AP207" i="2" s="1"/>
  <c r="AP208" i="2" s="1"/>
  <c r="AP209" i="2" s="1"/>
  <c r="AP210" i="2" s="1"/>
  <c r="AP211" i="2" s="1"/>
  <c r="AP212" i="2" s="1"/>
  <c r="AP213" i="2" s="1"/>
  <c r="AP214" i="2" s="1"/>
  <c r="AP215" i="2" s="1"/>
  <c r="AP216" i="2" s="1"/>
  <c r="AP217" i="2" s="1"/>
  <c r="AP218" i="2" s="1"/>
  <c r="AP219" i="2" s="1"/>
  <c r="AP220" i="2" s="1"/>
  <c r="AP221" i="2" s="1"/>
  <c r="AP222" i="2" s="1"/>
  <c r="AP223" i="2" s="1"/>
  <c r="AP224" i="2" s="1"/>
  <c r="AP225" i="2" s="1"/>
  <c r="AP226" i="2" s="1"/>
  <c r="AP227" i="2" s="1"/>
  <c r="AP228" i="2" s="1"/>
  <c r="AP229" i="2" s="1"/>
  <c r="AP230" i="2" s="1"/>
  <c r="AP231" i="2" s="1"/>
  <c r="AP232" i="2" s="1"/>
  <c r="AP233" i="2" s="1"/>
  <c r="AP234" i="2" s="1"/>
  <c r="AP235" i="2" s="1"/>
  <c r="AP236" i="2" s="1"/>
  <c r="AP237" i="2" s="1"/>
  <c r="AP238" i="2" s="1"/>
  <c r="AP239" i="2" s="1"/>
  <c r="AP240" i="2" s="1"/>
  <c r="AP241" i="2" s="1"/>
  <c r="AP242" i="2" s="1"/>
  <c r="AP243" i="2" s="1"/>
  <c r="AP244" i="2" s="1"/>
  <c r="AP245" i="2" s="1"/>
  <c r="AP246" i="2" s="1"/>
  <c r="AP247" i="2" s="1"/>
  <c r="AP248" i="2" s="1"/>
  <c r="AP249" i="2" s="1"/>
  <c r="AP250" i="2" s="1"/>
  <c r="AP251" i="2" s="1"/>
  <c r="AP252" i="2" s="1"/>
  <c r="AP253" i="2" s="1"/>
  <c r="AP254" i="2" s="1"/>
  <c r="AP255" i="2" s="1"/>
  <c r="AP256" i="2" s="1"/>
  <c r="AP257" i="2" s="1"/>
  <c r="AP258" i="2" s="1"/>
  <c r="AP259" i="2" s="1"/>
  <c r="AP260" i="2" s="1"/>
  <c r="AP261" i="2" s="1"/>
  <c r="AP262" i="2" s="1"/>
  <c r="AP263" i="2" s="1"/>
  <c r="AP264" i="2" s="1"/>
  <c r="AP265" i="2" s="1"/>
  <c r="AP266" i="2" s="1"/>
  <c r="AP267" i="2" s="1"/>
  <c r="AP268" i="2" s="1"/>
  <c r="AP269" i="2" s="1"/>
  <c r="AP270" i="2" s="1"/>
  <c r="AP271" i="2" s="1"/>
  <c r="AP272" i="2" s="1"/>
  <c r="AP273" i="2" s="1"/>
  <c r="AP274" i="2" s="1"/>
  <c r="AP275" i="2" s="1"/>
  <c r="AP276" i="2" s="1"/>
  <c r="AP277" i="2" s="1"/>
  <c r="AP278" i="2" s="1"/>
  <c r="AP279" i="2" s="1"/>
  <c r="AP280" i="2" s="1"/>
  <c r="AP281" i="2" s="1"/>
  <c r="AP282" i="2" s="1"/>
  <c r="AP283" i="2" s="1"/>
  <c r="AP284" i="2" s="1"/>
  <c r="AP285" i="2" s="1"/>
  <c r="AP286" i="2" s="1"/>
  <c r="AP287" i="2" s="1"/>
  <c r="AP288" i="2" s="1"/>
  <c r="AP289" i="2" s="1"/>
  <c r="AP290" i="2" s="1"/>
  <c r="AP291" i="2" s="1"/>
  <c r="AP292" i="2" s="1"/>
  <c r="AP293" i="2" s="1"/>
  <c r="AP294" i="2" s="1"/>
  <c r="AP295" i="2" s="1"/>
  <c r="AP296" i="2" s="1"/>
  <c r="AP297" i="2" s="1"/>
  <c r="AP298" i="2" s="1"/>
  <c r="AP299" i="2" s="1"/>
  <c r="AP300" i="2" s="1"/>
  <c r="AP301" i="2" s="1"/>
  <c r="AP302" i="2" s="1"/>
  <c r="AP303" i="2" s="1"/>
  <c r="AP304" i="2" s="1"/>
  <c r="AP305" i="2" s="1"/>
  <c r="AP306" i="2" s="1"/>
  <c r="AP307" i="2" s="1"/>
  <c r="AP308" i="2" s="1"/>
  <c r="AP309" i="2" s="1"/>
  <c r="AP310" i="2" s="1"/>
  <c r="AP311" i="2" s="1"/>
  <c r="AP312" i="2" s="1"/>
  <c r="AQ5" i="2"/>
  <c r="AQ6" i="2" s="1"/>
  <c r="AQ7" i="2" s="1"/>
  <c r="AQ8" i="2" s="1"/>
  <c r="AQ9" i="2" s="1"/>
  <c r="AQ10" i="2" s="1"/>
  <c r="AQ11" i="2" s="1"/>
  <c r="AQ12" i="2" s="1"/>
  <c r="AQ13" i="2" s="1"/>
  <c r="AQ14" i="2" s="1"/>
  <c r="AQ15" i="2" s="1"/>
  <c r="AQ16" i="2" s="1"/>
  <c r="AQ17" i="2" s="1"/>
  <c r="AQ18" i="2" s="1"/>
  <c r="AQ19" i="2" s="1"/>
  <c r="AQ20" i="2" s="1"/>
  <c r="AQ21" i="2" s="1"/>
  <c r="AQ22" i="2" s="1"/>
  <c r="AQ23" i="2" s="1"/>
  <c r="AQ24" i="2" s="1"/>
  <c r="AQ25" i="2" s="1"/>
  <c r="AQ26" i="2" s="1"/>
  <c r="AQ27" i="2" s="1"/>
  <c r="AQ28" i="2" s="1"/>
  <c r="AQ29" i="2" s="1"/>
  <c r="AQ30" i="2" s="1"/>
  <c r="AQ31" i="2" s="1"/>
  <c r="AQ32" i="2" s="1"/>
  <c r="AQ33" i="2" s="1"/>
  <c r="AQ34" i="2" s="1"/>
  <c r="AQ35" i="2" s="1"/>
  <c r="AQ36" i="2" s="1"/>
  <c r="AQ37" i="2" s="1"/>
  <c r="AQ38" i="2" s="1"/>
  <c r="AQ39" i="2" s="1"/>
  <c r="AQ40" i="2" s="1"/>
  <c r="AQ41" i="2" s="1"/>
  <c r="AQ42" i="2" s="1"/>
  <c r="AQ43" i="2" s="1"/>
  <c r="AQ44" i="2" s="1"/>
  <c r="AQ45" i="2" s="1"/>
  <c r="AQ46" i="2" s="1"/>
  <c r="AQ47" i="2" s="1"/>
  <c r="AQ48" i="2" s="1"/>
  <c r="AQ49" i="2" s="1"/>
  <c r="AQ50" i="2" s="1"/>
  <c r="AQ51" i="2" s="1"/>
  <c r="AQ52" i="2" s="1"/>
  <c r="AQ53" i="2" s="1"/>
  <c r="AQ54" i="2" s="1"/>
  <c r="AQ55" i="2" s="1"/>
  <c r="AQ56" i="2" s="1"/>
  <c r="AQ57" i="2" s="1"/>
  <c r="AQ58" i="2" s="1"/>
  <c r="AQ59" i="2" s="1"/>
  <c r="AQ60" i="2" s="1"/>
  <c r="AQ61" i="2" s="1"/>
  <c r="AQ62" i="2" s="1"/>
  <c r="AQ63" i="2" s="1"/>
  <c r="AQ64" i="2" s="1"/>
  <c r="AQ65" i="2" s="1"/>
  <c r="AQ66" i="2" s="1"/>
  <c r="AQ67" i="2" s="1"/>
  <c r="AQ68" i="2" s="1"/>
  <c r="AQ69" i="2" s="1"/>
  <c r="AQ70" i="2" s="1"/>
  <c r="AQ71" i="2" s="1"/>
  <c r="AQ72" i="2" s="1"/>
  <c r="AQ73" i="2" s="1"/>
  <c r="AQ74" i="2" s="1"/>
  <c r="AQ75" i="2" s="1"/>
  <c r="AQ76" i="2" s="1"/>
  <c r="AQ77" i="2" s="1"/>
  <c r="AQ78" i="2" s="1"/>
  <c r="AQ79" i="2" s="1"/>
  <c r="AQ80" i="2" s="1"/>
  <c r="AQ81" i="2" s="1"/>
  <c r="AQ82" i="2" s="1"/>
  <c r="AQ83" i="2" s="1"/>
  <c r="AQ84" i="2" s="1"/>
  <c r="AQ85" i="2" s="1"/>
  <c r="AQ86" i="2" s="1"/>
  <c r="AQ87" i="2" s="1"/>
  <c r="AQ88" i="2" s="1"/>
  <c r="AQ89" i="2" s="1"/>
  <c r="AQ90" i="2" s="1"/>
  <c r="AQ91" i="2" s="1"/>
  <c r="AQ92" i="2" s="1"/>
  <c r="AQ93" i="2" s="1"/>
  <c r="AQ94" i="2" s="1"/>
  <c r="AQ95" i="2" s="1"/>
  <c r="AQ96" i="2" s="1"/>
  <c r="AQ97" i="2" s="1"/>
  <c r="AQ98" i="2" s="1"/>
  <c r="AQ99" i="2" s="1"/>
  <c r="AQ100" i="2" s="1"/>
  <c r="AQ101" i="2" s="1"/>
  <c r="AQ102" i="2" s="1"/>
  <c r="AQ103" i="2" s="1"/>
  <c r="AQ104" i="2" s="1"/>
  <c r="AQ105" i="2" s="1"/>
  <c r="AQ106" i="2" s="1"/>
  <c r="AQ107" i="2" s="1"/>
  <c r="AQ108" i="2" s="1"/>
  <c r="AQ109" i="2" s="1"/>
  <c r="AQ110" i="2" s="1"/>
  <c r="AQ111" i="2" s="1"/>
  <c r="AQ112" i="2" s="1"/>
  <c r="AQ113" i="2" s="1"/>
  <c r="AQ114" i="2" s="1"/>
  <c r="AQ115" i="2" s="1"/>
  <c r="AQ116" i="2" s="1"/>
  <c r="AQ117" i="2" s="1"/>
  <c r="AQ118" i="2" s="1"/>
  <c r="AQ119" i="2" s="1"/>
  <c r="AQ120" i="2" s="1"/>
  <c r="AQ121" i="2" s="1"/>
  <c r="AQ122" i="2" s="1"/>
  <c r="AQ123" i="2" s="1"/>
  <c r="AQ124" i="2" s="1"/>
  <c r="AQ125" i="2" s="1"/>
  <c r="AQ126" i="2" s="1"/>
  <c r="AQ127" i="2" s="1"/>
  <c r="AQ128" i="2" s="1"/>
  <c r="AQ129" i="2" s="1"/>
  <c r="AQ130" i="2" s="1"/>
  <c r="AQ131" i="2" s="1"/>
  <c r="AQ132" i="2" s="1"/>
  <c r="AQ133" i="2" s="1"/>
  <c r="AQ134" i="2" s="1"/>
  <c r="AQ135" i="2" s="1"/>
  <c r="AQ136" i="2" s="1"/>
  <c r="AQ137" i="2" s="1"/>
  <c r="AQ138" i="2" s="1"/>
  <c r="AQ139" i="2" s="1"/>
  <c r="AQ140" i="2" s="1"/>
  <c r="AQ141" i="2" s="1"/>
  <c r="AQ142" i="2" s="1"/>
  <c r="AQ143" i="2" s="1"/>
  <c r="AQ144" i="2" s="1"/>
  <c r="AQ145" i="2" s="1"/>
  <c r="AQ146" i="2" s="1"/>
  <c r="AQ147" i="2" s="1"/>
  <c r="AQ148" i="2" s="1"/>
  <c r="AQ149" i="2" s="1"/>
  <c r="AQ150" i="2" s="1"/>
  <c r="AQ151" i="2" s="1"/>
  <c r="AQ152" i="2" s="1"/>
  <c r="AQ153" i="2" s="1"/>
  <c r="AQ154" i="2" s="1"/>
  <c r="AQ155" i="2" s="1"/>
  <c r="AQ156" i="2" s="1"/>
  <c r="AQ157" i="2" s="1"/>
  <c r="AQ158" i="2" s="1"/>
  <c r="AQ159" i="2" s="1"/>
  <c r="AQ160" i="2" s="1"/>
  <c r="AQ161" i="2" s="1"/>
  <c r="AQ162" i="2" s="1"/>
  <c r="AQ163" i="2" s="1"/>
  <c r="AQ164" i="2" s="1"/>
  <c r="AQ165" i="2" s="1"/>
  <c r="AQ166" i="2" s="1"/>
  <c r="AQ167" i="2" s="1"/>
  <c r="AQ168" i="2" s="1"/>
  <c r="AQ169" i="2" s="1"/>
  <c r="AQ170" i="2" s="1"/>
  <c r="AQ171" i="2" s="1"/>
  <c r="AQ172" i="2" s="1"/>
  <c r="AQ173" i="2" s="1"/>
  <c r="AQ174" i="2" s="1"/>
  <c r="AQ175" i="2" s="1"/>
  <c r="AQ176" i="2" s="1"/>
  <c r="AQ177" i="2" s="1"/>
  <c r="AQ178" i="2" s="1"/>
  <c r="AQ179" i="2" s="1"/>
  <c r="AQ180" i="2" s="1"/>
  <c r="AQ181" i="2" s="1"/>
  <c r="AQ182" i="2" s="1"/>
  <c r="AQ183" i="2" s="1"/>
  <c r="AQ184" i="2" s="1"/>
  <c r="AQ185" i="2" s="1"/>
  <c r="AQ186" i="2" s="1"/>
  <c r="AQ187" i="2" s="1"/>
  <c r="AQ188" i="2" s="1"/>
  <c r="AQ189" i="2" s="1"/>
  <c r="AQ190" i="2" s="1"/>
  <c r="AQ191" i="2" s="1"/>
  <c r="AQ192" i="2" s="1"/>
  <c r="AQ193" i="2" s="1"/>
  <c r="AQ194" i="2" s="1"/>
  <c r="AQ195" i="2" s="1"/>
  <c r="AQ196" i="2" s="1"/>
  <c r="AQ197" i="2" s="1"/>
  <c r="AQ198" i="2" s="1"/>
  <c r="AQ199" i="2" s="1"/>
  <c r="AQ200" i="2" s="1"/>
  <c r="AQ201" i="2" s="1"/>
  <c r="AQ202" i="2" s="1"/>
  <c r="AQ203" i="2" s="1"/>
  <c r="AQ204" i="2" s="1"/>
  <c r="AQ205" i="2" s="1"/>
  <c r="AQ206" i="2" s="1"/>
  <c r="AQ207" i="2" s="1"/>
  <c r="AQ208" i="2" s="1"/>
  <c r="AQ209" i="2" s="1"/>
  <c r="AQ210" i="2" s="1"/>
  <c r="AQ211" i="2" s="1"/>
  <c r="AQ212" i="2" s="1"/>
  <c r="AQ213" i="2" s="1"/>
  <c r="AQ214" i="2" s="1"/>
  <c r="AQ215" i="2" s="1"/>
  <c r="AQ216" i="2" s="1"/>
  <c r="AQ217" i="2" s="1"/>
  <c r="AQ218" i="2" s="1"/>
  <c r="AQ219" i="2" s="1"/>
  <c r="AQ220" i="2" s="1"/>
  <c r="AQ221" i="2" s="1"/>
  <c r="AQ222" i="2" s="1"/>
  <c r="AQ223" i="2" s="1"/>
  <c r="AQ224" i="2" s="1"/>
  <c r="AQ225" i="2" s="1"/>
  <c r="AQ226" i="2" s="1"/>
  <c r="AQ227" i="2" s="1"/>
  <c r="AQ228" i="2" s="1"/>
  <c r="AQ229" i="2" s="1"/>
  <c r="AQ230" i="2" s="1"/>
  <c r="AQ231" i="2" s="1"/>
  <c r="AQ232" i="2" s="1"/>
  <c r="AQ233" i="2" s="1"/>
  <c r="AQ234" i="2" s="1"/>
  <c r="AQ235" i="2" s="1"/>
  <c r="AQ236" i="2" s="1"/>
  <c r="AQ237" i="2" s="1"/>
  <c r="AQ238" i="2" s="1"/>
  <c r="AQ239" i="2" s="1"/>
  <c r="AQ240" i="2" s="1"/>
  <c r="AQ241" i="2" s="1"/>
  <c r="AQ242" i="2" s="1"/>
  <c r="AQ243" i="2" s="1"/>
  <c r="AQ244" i="2" s="1"/>
  <c r="AQ245" i="2" s="1"/>
  <c r="AQ246" i="2" s="1"/>
  <c r="AQ247" i="2" s="1"/>
  <c r="AQ248" i="2" s="1"/>
  <c r="AQ249" i="2" s="1"/>
  <c r="AQ250" i="2" s="1"/>
  <c r="AQ251" i="2" s="1"/>
  <c r="AQ252" i="2" s="1"/>
  <c r="AQ253" i="2" s="1"/>
  <c r="AQ254" i="2" s="1"/>
  <c r="AQ255" i="2" s="1"/>
  <c r="AQ256" i="2" s="1"/>
  <c r="AQ257" i="2" s="1"/>
  <c r="AQ258" i="2" s="1"/>
  <c r="AQ259" i="2" s="1"/>
  <c r="AQ260" i="2" s="1"/>
  <c r="AQ261" i="2" s="1"/>
  <c r="AQ262" i="2" s="1"/>
  <c r="AQ263" i="2" s="1"/>
  <c r="AQ264" i="2" s="1"/>
  <c r="AQ265" i="2" s="1"/>
  <c r="AQ266" i="2" s="1"/>
  <c r="AQ267" i="2" s="1"/>
  <c r="AQ268" i="2" s="1"/>
  <c r="AQ269" i="2" s="1"/>
  <c r="AQ270" i="2" s="1"/>
  <c r="AQ271" i="2" s="1"/>
  <c r="AQ272" i="2" s="1"/>
  <c r="AQ273" i="2" s="1"/>
  <c r="AQ274" i="2" s="1"/>
  <c r="AQ275" i="2" s="1"/>
  <c r="AQ276" i="2" s="1"/>
  <c r="AQ277" i="2" s="1"/>
  <c r="AQ278" i="2" s="1"/>
  <c r="AQ279" i="2" s="1"/>
  <c r="AQ280" i="2" s="1"/>
  <c r="AQ281" i="2" s="1"/>
  <c r="AQ282" i="2" s="1"/>
  <c r="AQ283" i="2" s="1"/>
  <c r="AQ284" i="2" s="1"/>
  <c r="AQ285" i="2" s="1"/>
  <c r="AQ286" i="2" s="1"/>
  <c r="AQ287" i="2" s="1"/>
  <c r="AQ288" i="2" s="1"/>
  <c r="AQ289" i="2" s="1"/>
  <c r="AQ290" i="2" s="1"/>
  <c r="AQ291" i="2" s="1"/>
  <c r="AQ292" i="2" s="1"/>
  <c r="AQ293" i="2" s="1"/>
  <c r="AQ294" i="2" s="1"/>
  <c r="AQ295" i="2" s="1"/>
  <c r="AQ296" i="2" s="1"/>
  <c r="AQ297" i="2" s="1"/>
  <c r="AQ298" i="2" s="1"/>
  <c r="AQ299" i="2" s="1"/>
  <c r="AQ300" i="2" s="1"/>
  <c r="AQ301" i="2" s="1"/>
  <c r="AQ302" i="2" s="1"/>
  <c r="AQ303" i="2" s="1"/>
  <c r="AQ304" i="2" s="1"/>
  <c r="AQ305" i="2" s="1"/>
  <c r="AQ306" i="2" s="1"/>
  <c r="AQ307" i="2" s="1"/>
  <c r="AQ308" i="2" s="1"/>
  <c r="AQ309" i="2" s="1"/>
  <c r="AQ310" i="2" s="1"/>
  <c r="AQ311" i="2" s="1"/>
  <c r="AQ312" i="2" s="1"/>
  <c r="G4" i="3" l="1" a="1"/>
  <c r="G4" i="3" s="1"/>
  <c r="G2" i="3" s="1"/>
  <c r="AD9" i="3"/>
  <c r="S9" i="3"/>
  <c r="AC9" i="3"/>
  <c r="Z9" i="3"/>
  <c r="U9" i="3"/>
  <c r="V9" i="3"/>
  <c r="W9" i="3"/>
  <c r="AB9" i="3"/>
  <c r="AA9" i="3"/>
  <c r="X9" i="3"/>
  <c r="T9" i="3"/>
  <c r="R9" i="3"/>
  <c r="J4" i="3" l="1" a="1"/>
  <c r="J4" i="3" s="1"/>
  <c r="H4" i="3" a="1"/>
  <c r="O17" i="3" s="1"/>
  <c r="O10" i="3" l="1"/>
  <c r="O16" i="3"/>
  <c r="O7" i="3"/>
  <c r="O11" i="3"/>
  <c r="O12" i="3"/>
  <c r="O15" i="3"/>
  <c r="H4" i="3"/>
  <c r="O5" i="3"/>
  <c r="O14" i="3"/>
  <c r="O13" i="3"/>
  <c r="O8" i="3"/>
  <c r="O9" i="3"/>
  <c r="O6" i="3"/>
  <c r="AE303" i="2" l="1" a="1"/>
  <c r="AE303" i="2" s="1"/>
  <c r="AE311" i="2" a="1"/>
  <c r="AE311" i="2" s="1"/>
  <c r="AE302" i="2" a="1"/>
  <c r="AE302" i="2" s="1"/>
  <c r="AE304" i="2" a="1"/>
  <c r="AE304" i="2" s="1"/>
  <c r="AE310" i="2" a="1"/>
  <c r="AE310" i="2" s="1"/>
  <c r="AE308" i="2" a="1"/>
  <c r="AE308" i="2" s="1"/>
  <c r="AE309" i="2" a="1"/>
  <c r="AE309" i="2" s="1"/>
  <c r="AE307" i="2" a="1"/>
  <c r="AE307" i="2" s="1"/>
  <c r="AE306" i="2" a="1"/>
  <c r="AE306" i="2" s="1"/>
  <c r="AE301" i="2" a="1"/>
  <c r="AE301" i="2" s="1"/>
  <c r="AE305" i="2" a="1"/>
  <c r="AE305" i="2" s="1"/>
  <c r="AE68" i="2" a="1"/>
  <c r="AE68" i="2" s="1"/>
  <c r="AE138" i="2" a="1"/>
  <c r="AE138" i="2" s="1"/>
  <c r="AE81" i="2" a="1"/>
  <c r="AE81" i="2" s="1"/>
  <c r="AE272" i="2" a="1"/>
  <c r="AE272" i="2" s="1"/>
  <c r="AE10" i="2" a="1"/>
  <c r="AE10" i="2" s="1"/>
  <c r="AE209" i="2" a="1"/>
  <c r="AE209" i="2" s="1"/>
  <c r="AE202" i="2" a="1"/>
  <c r="AE202" i="2" s="1"/>
  <c r="AE288" i="2" a="1"/>
  <c r="AE288" i="2" s="1"/>
  <c r="AE263" i="2" a="1"/>
  <c r="AE263" i="2" s="1"/>
  <c r="AE244" i="2" a="1"/>
  <c r="AE244" i="2" s="1"/>
  <c r="AE219" i="2" a="1"/>
  <c r="AE219" i="2" s="1"/>
  <c r="AE201" i="2" a="1"/>
  <c r="AE201" i="2" s="1"/>
  <c r="AE53" i="2" a="1"/>
  <c r="AE53" i="2" s="1"/>
  <c r="AE171" i="2" a="1"/>
  <c r="AE171" i="2" s="1"/>
  <c r="AE135" i="2" a="1"/>
  <c r="AE135" i="2" s="1"/>
  <c r="AE188" i="2" a="1"/>
  <c r="AE188" i="2" s="1"/>
  <c r="AE98" i="2" a="1"/>
  <c r="AE98" i="2" s="1"/>
  <c r="AE121" i="2" a="1"/>
  <c r="AE121" i="2" s="1"/>
  <c r="AE185" i="2" a="1"/>
  <c r="AE185" i="2" s="1"/>
  <c r="AE187" i="2" a="1"/>
  <c r="AE187" i="2" s="1"/>
  <c r="AE96" i="2" a="1"/>
  <c r="AE96" i="2" s="1"/>
  <c r="AE90" i="2" a="1"/>
  <c r="AE90" i="2" s="1"/>
  <c r="AE42" i="2" a="1"/>
  <c r="AE42" i="2" s="1"/>
  <c r="AE269" i="2" a="1"/>
  <c r="AE269" i="2" s="1"/>
  <c r="AE181" i="2" a="1"/>
  <c r="AE181" i="2" s="1"/>
  <c r="AE240" i="2" a="1"/>
  <c r="AE240" i="2" s="1"/>
  <c r="AE299" i="2" a="1"/>
  <c r="AE299" i="2" s="1"/>
  <c r="AE149" i="2" a="1"/>
  <c r="AE149" i="2" s="1"/>
  <c r="AE227" i="2" a="1"/>
  <c r="AE227" i="2" s="1"/>
  <c r="AE178" i="2" a="1"/>
  <c r="AE178" i="2" s="1"/>
  <c r="AE248" i="2" a="1"/>
  <c r="AE248" i="2" s="1"/>
  <c r="AE54" i="2" a="1"/>
  <c r="AE54" i="2" s="1"/>
  <c r="AE52" i="2" a="1"/>
  <c r="AE52" i="2" s="1"/>
  <c r="AE260" i="2" a="1"/>
  <c r="AE260" i="2" s="1"/>
  <c r="AE32" i="2" a="1"/>
  <c r="AE32" i="2" s="1"/>
  <c r="AE16" i="2" a="1"/>
  <c r="AE16" i="2" s="1"/>
  <c r="AE287" i="2" a="1"/>
  <c r="AE287" i="2" s="1"/>
  <c r="AE173" i="2" a="1"/>
  <c r="AE173" i="2" s="1"/>
  <c r="AE55" i="2" a="1"/>
  <c r="AE55" i="2" s="1"/>
  <c r="AE218" i="2" a="1"/>
  <c r="AE218" i="2" s="1"/>
  <c r="AE141" i="2" a="1"/>
  <c r="AE141" i="2" s="1"/>
  <c r="AE193" i="2" a="1"/>
  <c r="AE193" i="2" s="1"/>
  <c r="AE211" i="2" a="1"/>
  <c r="AE211" i="2" s="1"/>
  <c r="AE292" i="2" a="1"/>
  <c r="AE292" i="2" s="1"/>
  <c r="AE45" i="2" a="1"/>
  <c r="AE45" i="2" s="1"/>
  <c r="AE208" i="2" a="1"/>
  <c r="AE208" i="2" s="1"/>
  <c r="AE112" i="2" a="1"/>
  <c r="AE112" i="2" s="1"/>
  <c r="AE6" i="2" a="1"/>
  <c r="AE6" i="2" s="1"/>
  <c r="AE268" i="2" a="1"/>
  <c r="AE268" i="2" s="1"/>
  <c r="AE174" i="2" a="1"/>
  <c r="AE174" i="2" s="1"/>
  <c r="AE154" i="2" a="1"/>
  <c r="AE154" i="2" s="1"/>
  <c r="AE153" i="2" a="1"/>
  <c r="AE153" i="2" s="1"/>
  <c r="AE161" i="2" a="1"/>
  <c r="AE161" i="2" s="1"/>
  <c r="AE35" i="2" a="1"/>
  <c r="AE35" i="2" s="1"/>
  <c r="AE73" i="2" a="1"/>
  <c r="AE73" i="2" s="1"/>
  <c r="AE107" i="2" a="1"/>
  <c r="AE107" i="2" s="1"/>
  <c r="AE182" i="2" a="1"/>
  <c r="AE182" i="2" s="1"/>
  <c r="AE254" i="2" a="1"/>
  <c r="AE254" i="2" s="1"/>
  <c r="AE64" i="2" a="1"/>
  <c r="AE64" i="2" s="1"/>
  <c r="AE176" i="2" a="1"/>
  <c r="AE176" i="2" s="1"/>
  <c r="AE3" i="2" a="1"/>
  <c r="AE3" i="2" s="1"/>
  <c r="AE50" i="2" a="1"/>
  <c r="AE50" i="2" s="1"/>
  <c r="AE43" i="2" a="1"/>
  <c r="AE43" i="2" s="1"/>
  <c r="AE192" i="2" a="1"/>
  <c r="AE192" i="2" s="1"/>
  <c r="AE84" i="2" a="1"/>
  <c r="AE84" i="2" s="1"/>
  <c r="AE144" i="2" a="1"/>
  <c r="AE144" i="2" s="1"/>
  <c r="AE183" i="2" a="1"/>
  <c r="AE183" i="2" s="1"/>
  <c r="AE20" i="2" a="1"/>
  <c r="AE20" i="2" s="1"/>
  <c r="AE146" i="2" a="1"/>
  <c r="AE146" i="2" s="1"/>
  <c r="AE289" i="2" a="1"/>
  <c r="AE289" i="2" s="1"/>
  <c r="AE172" i="2" a="1"/>
  <c r="AE172" i="2" s="1"/>
  <c r="AE85" i="2" a="1"/>
  <c r="AE85" i="2" s="1"/>
  <c r="AE133" i="2" a="1"/>
  <c r="AE133" i="2" s="1"/>
  <c r="AE58" i="2" a="1"/>
  <c r="AE58" i="2" s="1"/>
  <c r="AE295" i="2" a="1"/>
  <c r="AE295" i="2" s="1"/>
  <c r="AE12" i="2" a="1"/>
  <c r="AE12" i="2" s="1"/>
  <c r="AE18" i="2" a="1"/>
  <c r="AE18" i="2" s="1"/>
  <c r="AE14" i="2" a="1"/>
  <c r="AE14" i="2" s="1"/>
  <c r="AE83" i="2" a="1"/>
  <c r="AE83" i="2" s="1"/>
  <c r="AE235" i="2" a="1"/>
  <c r="AE235" i="2" s="1"/>
  <c r="AE145" i="2" a="1"/>
  <c r="AE145" i="2" s="1"/>
  <c r="AE36" i="2" a="1"/>
  <c r="AE36" i="2" s="1"/>
  <c r="AE224" i="2" a="1"/>
  <c r="AE224" i="2" s="1"/>
  <c r="AE61" i="2" a="1"/>
  <c r="AE61" i="2" s="1"/>
  <c r="AE234" i="2" a="1"/>
  <c r="AE234" i="2" s="1"/>
  <c r="AE33" i="2" a="1"/>
  <c r="AE33" i="2" s="1"/>
  <c r="AE243" i="2" a="1"/>
  <c r="AE243" i="2" s="1"/>
  <c r="AE4" i="2" a="1"/>
  <c r="AE4" i="2" s="1"/>
  <c r="AE264" i="2" a="1"/>
  <c r="AE264" i="2" s="1"/>
  <c r="AE232" i="2" a="1"/>
  <c r="AE232" i="2" s="1"/>
  <c r="AE189" i="2" a="1"/>
  <c r="AE189" i="2" s="1"/>
  <c r="AE127" i="2" a="1"/>
  <c r="AE127" i="2" s="1"/>
  <c r="AE69" i="2" a="1"/>
  <c r="AE69" i="2" s="1"/>
  <c r="AE59" i="2" a="1"/>
  <c r="AE59" i="2" s="1"/>
  <c r="AE122" i="2" a="1"/>
  <c r="AE122" i="2" s="1"/>
  <c r="AE258" i="2" a="1"/>
  <c r="AE258" i="2" s="1"/>
  <c r="AE216" i="2" a="1"/>
  <c r="AE216" i="2" s="1"/>
  <c r="AE150" i="2" a="1"/>
  <c r="AE150" i="2" s="1"/>
  <c r="AE296" i="2" a="1"/>
  <c r="AE296" i="2" s="1"/>
  <c r="AE44" i="2" a="1"/>
  <c r="AE44" i="2" s="1"/>
  <c r="AE221" i="2" a="1"/>
  <c r="AE221" i="2" s="1"/>
  <c r="AE159" i="2" a="1"/>
  <c r="AE159" i="2" s="1"/>
  <c r="AE297" i="2" a="1"/>
  <c r="AE297" i="2" s="1"/>
  <c r="AE203" i="2" a="1"/>
  <c r="AE203" i="2" s="1"/>
  <c r="AE82" i="2" a="1"/>
  <c r="AE82" i="2" s="1"/>
  <c r="AE111" i="2" a="1"/>
  <c r="AE111" i="2" s="1"/>
  <c r="AE19" i="2" a="1"/>
  <c r="AE19" i="2" s="1"/>
  <c r="AE200" i="2" a="1"/>
  <c r="AE200" i="2" s="1"/>
  <c r="AE63" i="2" a="1"/>
  <c r="AE63" i="2" s="1"/>
  <c r="AE253" i="2" a="1"/>
  <c r="AE253" i="2" s="1"/>
  <c r="AE279" i="2" a="1"/>
  <c r="AE279" i="2" s="1"/>
  <c r="AE139" i="2" a="1"/>
  <c r="AE139" i="2" s="1"/>
  <c r="AE23" i="2" a="1"/>
  <c r="AE23" i="2" s="1"/>
  <c r="AE103" i="2" a="1"/>
  <c r="AE103" i="2" s="1"/>
  <c r="AE5" i="2" a="1"/>
  <c r="AE5" i="2" s="1"/>
  <c r="AE8" i="2" a="1"/>
  <c r="AE8" i="2" s="1"/>
  <c r="AE217" i="2" a="1"/>
  <c r="AE217" i="2" s="1"/>
  <c r="AE233" i="2" a="1"/>
  <c r="AE233" i="2" s="1"/>
  <c r="AE276" i="2" a="1"/>
  <c r="AE276" i="2" s="1"/>
  <c r="AE95" i="2" a="1"/>
  <c r="AE95" i="2" s="1"/>
  <c r="AE238" i="2" a="1"/>
  <c r="AE238" i="2" s="1"/>
  <c r="AE93" i="2" a="1"/>
  <c r="AE93" i="2" s="1"/>
  <c r="AE30" i="2" a="1"/>
  <c r="AE30" i="2" s="1"/>
  <c r="AE134" i="2" a="1"/>
  <c r="AE134" i="2" s="1"/>
  <c r="AE60" i="2" a="1"/>
  <c r="AE60" i="2" s="1"/>
  <c r="AE177" i="2" a="1"/>
  <c r="AE177" i="2" s="1"/>
  <c r="AE118" i="2" a="1"/>
  <c r="AE118" i="2" s="1"/>
  <c r="AE207" i="2" a="1"/>
  <c r="AE207" i="2" s="1"/>
  <c r="AE162" i="2" a="1"/>
  <c r="AE162" i="2" s="1"/>
  <c r="AE143" i="2" a="1"/>
  <c r="AE143" i="2" s="1"/>
  <c r="AE231" i="2" a="1"/>
  <c r="AE231" i="2" s="1"/>
  <c r="AE265" i="2" a="1"/>
  <c r="AE265" i="2" s="1"/>
  <c r="AE67" i="2" a="1"/>
  <c r="AE67" i="2" s="1"/>
  <c r="AE76" i="2" a="1"/>
  <c r="AE76" i="2" s="1"/>
  <c r="AE160" i="2" a="1"/>
  <c r="AE160" i="2" s="1"/>
  <c r="AE26" i="2" a="1"/>
  <c r="AE26" i="2" s="1"/>
  <c r="AE38" i="2" a="1"/>
  <c r="AE38" i="2" s="1"/>
  <c r="AE250" i="2" a="1"/>
  <c r="AE250" i="2" s="1"/>
  <c r="AE275" i="2" a="1"/>
  <c r="AE275" i="2" s="1"/>
  <c r="AE166" i="2" a="1"/>
  <c r="AE166" i="2" s="1"/>
  <c r="AE88" i="2" a="1"/>
  <c r="AE88" i="2" s="1"/>
  <c r="AE180" i="2" a="1"/>
  <c r="AE180" i="2" s="1"/>
  <c r="AE252" i="2" a="1"/>
  <c r="AE252" i="2" s="1"/>
  <c r="AE270" i="2" a="1"/>
  <c r="AE270" i="2" s="1"/>
  <c r="AE27" i="2" a="1"/>
  <c r="AE27" i="2" s="1"/>
  <c r="AE242" i="2" a="1"/>
  <c r="AE242" i="2" s="1"/>
  <c r="AE130" i="2" a="1"/>
  <c r="AE130" i="2" s="1"/>
  <c r="AE151" i="2" a="1"/>
  <c r="AE151" i="2" s="1"/>
  <c r="AE239" i="2" a="1"/>
  <c r="AE239" i="2" s="1"/>
  <c r="AE17" i="2" a="1"/>
  <c r="AE17" i="2" s="1"/>
  <c r="AE241" i="2" a="1"/>
  <c r="AE241" i="2" s="1"/>
  <c r="AE115" i="2" a="1"/>
  <c r="AE115" i="2" s="1"/>
  <c r="AE197" i="2" a="1"/>
  <c r="AE197" i="2" s="1"/>
  <c r="AE34" i="2" a="1"/>
  <c r="AE34" i="2" s="1"/>
  <c r="AE246" i="2" a="1"/>
  <c r="AE246" i="2" s="1"/>
  <c r="AE284" i="2" a="1"/>
  <c r="AE284" i="2" s="1"/>
  <c r="AE28" i="2" a="1"/>
  <c r="AE28" i="2" s="1"/>
  <c r="AE255" i="2" a="1"/>
  <c r="AE255" i="2" s="1"/>
  <c r="AE102" i="2" a="1"/>
  <c r="AE102" i="2" s="1"/>
  <c r="AE29" i="2" a="1"/>
  <c r="AE29" i="2" s="1"/>
  <c r="AE210" i="2" a="1"/>
  <c r="AE210" i="2" s="1"/>
  <c r="AE117" i="2" a="1"/>
  <c r="AE117" i="2" s="1"/>
  <c r="AE222" i="2" a="1"/>
  <c r="AE222" i="2" s="1"/>
  <c r="AE15" i="2" a="1"/>
  <c r="AE15" i="2" s="1"/>
  <c r="AE41" i="2" a="1"/>
  <c r="AE41" i="2" s="1"/>
  <c r="AE286" i="2" a="1"/>
  <c r="AE286" i="2" s="1"/>
  <c r="AE230" i="2" a="1"/>
  <c r="AE230" i="2" s="1"/>
  <c r="AE13" i="2" a="1"/>
  <c r="AE13" i="2" s="1"/>
  <c r="AE40" i="2" a="1"/>
  <c r="AE40" i="2" s="1"/>
  <c r="AE293" i="2" a="1"/>
  <c r="AE293" i="2" s="1"/>
  <c r="AE163" i="2" a="1"/>
  <c r="AE163" i="2" s="1"/>
  <c r="AE282" i="2" a="1"/>
  <c r="AE282" i="2" s="1"/>
  <c r="AE164" i="2" a="1"/>
  <c r="AE164" i="2" s="1"/>
  <c r="AE280" i="2" a="1"/>
  <c r="AE280" i="2" s="1"/>
  <c r="AE168" i="2" a="1"/>
  <c r="AE168" i="2" s="1"/>
  <c r="AE285" i="2" a="1"/>
  <c r="AE285" i="2" s="1"/>
  <c r="AE204" i="2" a="1"/>
  <c r="AE204" i="2" s="1"/>
  <c r="AE140" i="2" a="1"/>
  <c r="AE140" i="2" s="1"/>
  <c r="AE62" i="2" a="1"/>
  <c r="AE62" i="2" s="1"/>
  <c r="AE124" i="2" a="1"/>
  <c r="AE124" i="2" s="1"/>
  <c r="AE215" i="2" a="1"/>
  <c r="AE215" i="2" s="1"/>
  <c r="AE24" i="2" a="1"/>
  <c r="AE24" i="2" s="1"/>
  <c r="AE226" i="2" a="1"/>
  <c r="AE226" i="2" s="1"/>
  <c r="AE37" i="2" a="1"/>
  <c r="AE37" i="2" s="1"/>
  <c r="AE48" i="2" a="1"/>
  <c r="AE48" i="2" s="1"/>
  <c r="AE294" i="2" a="1"/>
  <c r="AE294" i="2" s="1"/>
  <c r="AE290" i="2" a="1"/>
  <c r="AE290" i="2" s="1"/>
  <c r="AE213" i="2" a="1"/>
  <c r="AE213" i="2" s="1"/>
  <c r="AE271" i="2" a="1"/>
  <c r="AE271" i="2" s="1"/>
  <c r="AE136" i="2" a="1"/>
  <c r="AE136" i="2" s="1"/>
  <c r="AE132" i="2" a="1"/>
  <c r="AE132" i="2" s="1"/>
  <c r="AE65" i="2" a="1"/>
  <c r="AE65" i="2" s="1"/>
  <c r="AE49" i="2" a="1"/>
  <c r="AE49" i="2" s="1"/>
  <c r="AE165" i="2" a="1"/>
  <c r="AE165" i="2" s="1"/>
  <c r="AE245" i="2" a="1"/>
  <c r="AE245" i="2" s="1"/>
  <c r="AE126" i="2" a="1"/>
  <c r="AE126" i="2" s="1"/>
  <c r="AE66" i="2" a="1"/>
  <c r="AE66" i="2" s="1"/>
  <c r="AE267" i="2" a="1"/>
  <c r="AE267" i="2" s="1"/>
  <c r="AE104" i="2" a="1"/>
  <c r="AE104" i="2" s="1"/>
  <c r="AE214" i="2" a="1"/>
  <c r="AE214" i="2" s="1"/>
  <c r="AE175" i="2" a="1"/>
  <c r="AE175" i="2" s="1"/>
  <c r="AE225" i="2" a="1"/>
  <c r="AE225" i="2" s="1"/>
  <c r="AE261" i="2" a="1"/>
  <c r="AE261" i="2" s="1"/>
  <c r="AE21" i="2" a="1"/>
  <c r="AE21" i="2" s="1"/>
  <c r="AE205" i="2" a="1"/>
  <c r="AE205" i="2" s="1"/>
  <c r="AE277" i="2" a="1"/>
  <c r="AE277" i="2" s="1"/>
  <c r="AE262" i="2" a="1"/>
  <c r="AE262" i="2" s="1"/>
  <c r="AE190" i="2" a="1"/>
  <c r="AE190" i="2" s="1"/>
  <c r="AE191" i="2" a="1"/>
  <c r="AE191" i="2" s="1"/>
  <c r="AE113" i="2" a="1"/>
  <c r="AE113" i="2" s="1"/>
  <c r="AE212" i="2" a="1"/>
  <c r="AE212" i="2" s="1"/>
  <c r="AE237" i="2" a="1"/>
  <c r="AE237" i="2" s="1"/>
  <c r="AE11" i="2" a="1"/>
  <c r="AE11" i="2" s="1"/>
  <c r="AE101" i="2" a="1"/>
  <c r="AE101" i="2" s="1"/>
  <c r="AE39" i="2" a="1"/>
  <c r="AE39" i="2" s="1"/>
  <c r="AE278" i="2" a="1"/>
  <c r="AE278" i="2" s="1"/>
  <c r="AE89" i="2" a="1"/>
  <c r="AE89" i="2" s="1"/>
  <c r="AE119" i="2" a="1"/>
  <c r="AE119" i="2" s="1"/>
  <c r="AE78" i="2" a="1"/>
  <c r="AE78" i="2" s="1"/>
  <c r="AE86" i="2" a="1"/>
  <c r="AE86" i="2" s="1"/>
  <c r="AE157" i="2" a="1"/>
  <c r="AE157" i="2" s="1"/>
  <c r="AE31" i="2" a="1"/>
  <c r="AE31" i="2" s="1"/>
  <c r="AE249" i="2" a="1"/>
  <c r="AE249" i="2" s="1"/>
  <c r="AE257" i="2" a="1"/>
  <c r="AE257" i="2" s="1"/>
  <c r="AE256" i="2" a="1"/>
  <c r="AE256" i="2" s="1"/>
  <c r="AE228" i="2" a="1"/>
  <c r="AE228" i="2" s="1"/>
  <c r="AE87" i="2" a="1"/>
  <c r="AE87" i="2" s="1"/>
  <c r="AE223" i="2" a="1"/>
  <c r="AE223" i="2" s="1"/>
  <c r="AE152" i="2" a="1"/>
  <c r="AE152" i="2" s="1"/>
  <c r="AE195" i="2" a="1"/>
  <c r="AE195" i="2" s="1"/>
  <c r="AE247" i="2" a="1"/>
  <c r="AE247" i="2" s="1"/>
  <c r="AE92" i="2" a="1"/>
  <c r="AE92" i="2" s="1"/>
  <c r="AE100" i="2" a="1"/>
  <c r="AE100" i="2" s="1"/>
  <c r="AE94" i="2" a="1"/>
  <c r="AE94" i="2" s="1"/>
  <c r="AE220" i="2" a="1"/>
  <c r="AE220" i="2" s="1"/>
  <c r="AE51" i="2" a="1"/>
  <c r="AE51" i="2" s="1"/>
  <c r="AE155" i="2" a="1"/>
  <c r="AE155" i="2" s="1"/>
  <c r="AE99" i="2" a="1"/>
  <c r="AE99" i="2" s="1"/>
  <c r="AE179" i="2" a="1"/>
  <c r="AE179" i="2" s="1"/>
  <c r="AE109" i="2" a="1"/>
  <c r="AE109" i="2" s="1"/>
  <c r="AE57" i="2" a="1"/>
  <c r="AE57" i="2" s="1"/>
  <c r="AE167" i="2" a="1"/>
  <c r="AE167" i="2" s="1"/>
  <c r="AE169" i="2" a="1"/>
  <c r="AE169" i="2" s="1"/>
  <c r="AE194" i="2" a="1"/>
  <c r="AE194" i="2" s="1"/>
  <c r="AE7" i="2" a="1"/>
  <c r="AE7" i="2" s="1"/>
  <c r="AE266" i="2" a="1"/>
  <c r="AE266" i="2" s="1"/>
  <c r="AE106" i="2" a="1"/>
  <c r="AE106" i="2" s="1"/>
  <c r="AE156" i="2" a="1"/>
  <c r="AE156" i="2" s="1"/>
  <c r="AE298" i="2" a="1"/>
  <c r="AE298" i="2" s="1"/>
  <c r="AE110" i="2" a="1"/>
  <c r="AE110" i="2" s="1"/>
  <c r="AE25" i="2" a="1"/>
  <c r="AE25" i="2" s="1"/>
  <c r="AE22" i="2" a="1"/>
  <c r="AE22" i="2" s="1"/>
  <c r="AE46" i="2" a="1"/>
  <c r="AE46" i="2" s="1"/>
  <c r="AE142" i="2" a="1"/>
  <c r="AE142" i="2" s="1"/>
  <c r="AE170" i="2" a="1"/>
  <c r="AE170" i="2" s="1"/>
  <c r="AE108" i="2" a="1"/>
  <c r="AE108" i="2" s="1"/>
  <c r="AE47" i="2" a="1"/>
  <c r="AE47" i="2" s="1"/>
  <c r="AE129" i="2" a="1"/>
  <c r="AE129" i="2" s="1"/>
  <c r="AE80" i="2" a="1"/>
  <c r="AE80" i="2" s="1"/>
  <c r="AE291" i="2" a="1"/>
  <c r="AE291" i="2" s="1"/>
  <c r="AE56" i="2" a="1"/>
  <c r="AE56" i="2" s="1"/>
  <c r="AE147" i="2" a="1"/>
  <c r="AE147" i="2" s="1"/>
  <c r="AE97" i="2" a="1"/>
  <c r="AE97" i="2" s="1"/>
  <c r="AE75" i="2" a="1"/>
  <c r="AE75" i="2" s="1"/>
  <c r="AE199" i="2" a="1"/>
  <c r="AE199" i="2" s="1"/>
  <c r="AE72" i="2" a="1"/>
  <c r="AE72" i="2" s="1"/>
  <c r="AE259" i="2" a="1"/>
  <c r="AE259" i="2" s="1"/>
  <c r="AE206" i="2" a="1"/>
  <c r="AE206" i="2" s="1"/>
  <c r="AE120" i="2" a="1"/>
  <c r="AE120" i="2" s="1"/>
  <c r="AE79" i="2" a="1"/>
  <c r="AE79" i="2" s="1"/>
  <c r="AE251" i="2" a="1"/>
  <c r="AE251" i="2" s="1"/>
  <c r="AE274" i="2" a="1"/>
  <c r="AE274" i="2" s="1"/>
  <c r="AE125" i="2" a="1"/>
  <c r="AE125" i="2" s="1"/>
  <c r="AE71" i="2" a="1"/>
  <c r="AE71" i="2" s="1"/>
  <c r="AE74" i="2" a="1"/>
  <c r="AE74" i="2" s="1"/>
  <c r="AE281" i="2" a="1"/>
  <c r="AE281" i="2" s="1"/>
  <c r="AE131" i="2" a="1"/>
  <c r="AE131" i="2" s="1"/>
  <c r="AE91" i="2" a="1"/>
  <c r="AE91" i="2" s="1"/>
  <c r="AE198" i="2" a="1"/>
  <c r="AE198" i="2" s="1"/>
  <c r="AE196" i="2" a="1"/>
  <c r="AE196" i="2" s="1"/>
  <c r="AE137" i="2" a="1"/>
  <c r="AE137" i="2" s="1"/>
  <c r="AE158" i="2" a="1"/>
  <c r="AE158" i="2" s="1"/>
  <c r="AE283" i="2" a="1"/>
  <c r="AE283" i="2" s="1"/>
  <c r="AE236" i="2" a="1"/>
  <c r="AE236" i="2" s="1"/>
  <c r="AE116" i="2" a="1"/>
  <c r="AE116" i="2" s="1"/>
  <c r="AE186" i="2" a="1"/>
  <c r="AE186" i="2" s="1"/>
  <c r="AE9" i="2" a="1"/>
  <c r="AE9" i="2" s="1"/>
  <c r="AE148" i="2" a="1"/>
  <c r="AE148" i="2" s="1"/>
  <c r="AE300" i="2" a="1"/>
  <c r="AE300" i="2" s="1"/>
  <c r="AE229" i="2" a="1"/>
  <c r="AE229" i="2" s="1"/>
  <c r="AE70" i="2" a="1"/>
  <c r="AE70" i="2" s="1"/>
  <c r="AE273" i="2" a="1"/>
  <c r="AE273" i="2" s="1"/>
  <c r="AE184" i="2" a="1"/>
  <c r="AE184" i="2" s="1"/>
  <c r="AE105" i="2" a="1"/>
  <c r="AE105" i="2" s="1"/>
  <c r="AE123" i="2" a="1"/>
  <c r="AE123" i="2" s="1"/>
  <c r="AE77" i="2" a="1"/>
  <c r="AE77" i="2" s="1"/>
  <c r="AE128" i="2" a="1"/>
  <c r="AE128" i="2" s="1"/>
  <c r="AE114" i="2" a="1"/>
  <c r="AE114" i="2" s="1"/>
  <c r="O4" i="3"/>
  <c r="H2" i="3" s="1"/>
  <c r="AO4" i="2" l="1"/>
  <c r="AO5" i="2" l="1"/>
  <c r="AO6" i="2" s="1"/>
  <c r="AT3" i="2"/>
  <c r="AU3" i="2" s="1"/>
  <c r="Y9" i="3"/>
  <c r="AT4" i="2" l="1"/>
  <c r="AU4" i="2" s="1"/>
  <c r="AT5" i="2"/>
  <c r="AU5" i="2" s="1"/>
  <c r="AO7" i="2"/>
  <c r="AT6" i="2" l="1"/>
  <c r="AU6" i="2" s="1"/>
  <c r="AO8" i="2"/>
  <c r="AT7" i="2" l="1"/>
  <c r="AU7" i="2" s="1"/>
  <c r="AO9" i="2"/>
  <c r="AT8" i="2" l="1"/>
  <c r="AU8" i="2" s="1"/>
  <c r="AO10" i="2"/>
  <c r="AT9" i="2" s="1"/>
  <c r="AU9" i="2" s="1"/>
  <c r="AO11" i="2" l="1"/>
  <c r="AT10" i="2" l="1"/>
  <c r="AU10" i="2" s="1"/>
  <c r="AO12" i="2"/>
  <c r="AT11" i="2" s="1"/>
  <c r="AU11" i="2" s="1"/>
  <c r="AO13" i="2" l="1"/>
  <c r="AT12" i="2" l="1"/>
  <c r="AU12" i="2" s="1"/>
  <c r="AO14" i="2"/>
  <c r="AT13" i="2" s="1"/>
  <c r="AU13" i="2" s="1"/>
  <c r="AO15" i="2" l="1"/>
  <c r="AT14" i="2" s="1"/>
  <c r="AU14" i="2" s="1"/>
  <c r="AO16" i="2" l="1"/>
  <c r="AT15" i="2" s="1"/>
  <c r="AU15" i="2" s="1"/>
  <c r="AO17" i="2" l="1"/>
  <c r="AT16" i="2" s="1"/>
  <c r="AU16" i="2" s="1"/>
  <c r="AO18" i="2" l="1"/>
  <c r="AT17" i="2" s="1"/>
  <c r="AU17" i="2" s="1"/>
  <c r="AO19" i="2" l="1"/>
  <c r="AT18" i="2" s="1"/>
  <c r="AU18" i="2" s="1"/>
  <c r="AO20" i="2" l="1"/>
  <c r="AT19" i="2" s="1"/>
  <c r="AU19" i="2" s="1"/>
  <c r="AO21" i="2" l="1"/>
  <c r="AT20" i="2" s="1"/>
  <c r="AU20" i="2" s="1"/>
  <c r="AO22" i="2" l="1"/>
  <c r="AT21" i="2" s="1"/>
  <c r="AU21" i="2" s="1"/>
  <c r="AO23" i="2" l="1"/>
  <c r="AT22" i="2" s="1"/>
  <c r="AU22" i="2" s="1"/>
  <c r="AO24" i="2" l="1"/>
  <c r="AT23" i="2" s="1"/>
  <c r="AU23" i="2" s="1"/>
  <c r="AO25" i="2" l="1"/>
  <c r="AT24" i="2" s="1"/>
  <c r="AU24" i="2" s="1"/>
  <c r="AO26" i="2" l="1"/>
  <c r="AT25" i="2" s="1"/>
  <c r="AU25" i="2" s="1"/>
  <c r="AO27" i="2" l="1"/>
  <c r="AT26" i="2" s="1"/>
  <c r="AU26" i="2" s="1"/>
  <c r="AO28" i="2" l="1"/>
  <c r="AT27" i="2" s="1"/>
  <c r="AU27" i="2" s="1"/>
  <c r="AO29" i="2" l="1"/>
  <c r="AT28" i="2" s="1"/>
  <c r="AU28" i="2" s="1"/>
  <c r="AO30" i="2" l="1"/>
  <c r="AT29" i="2" s="1"/>
  <c r="AU29" i="2" s="1"/>
  <c r="AO31" i="2" l="1"/>
  <c r="AT30" i="2" s="1"/>
  <c r="AU30" i="2" s="1"/>
  <c r="AO32" i="2" l="1"/>
  <c r="AT31" i="2" s="1"/>
  <c r="AU31" i="2" s="1"/>
  <c r="AO33" i="2" l="1"/>
  <c r="AT32" i="2" s="1"/>
  <c r="AU32" i="2" s="1"/>
  <c r="AO34" i="2" l="1"/>
  <c r="AT33" i="2" s="1"/>
  <c r="AU33" i="2" s="1"/>
  <c r="AO35" i="2" l="1"/>
  <c r="AT34" i="2" s="1"/>
  <c r="AU34" i="2" s="1"/>
  <c r="AO36" i="2" l="1"/>
  <c r="AT35" i="2" s="1"/>
  <c r="AU35" i="2" s="1"/>
  <c r="AO37" i="2" l="1"/>
  <c r="AT36" i="2" s="1"/>
  <c r="AU36" i="2" s="1"/>
  <c r="AO38" i="2" l="1"/>
  <c r="AT37" i="2" s="1"/>
  <c r="AU37" i="2" s="1"/>
  <c r="AO39" i="2" l="1"/>
  <c r="AT38" i="2" s="1"/>
  <c r="AU38" i="2" s="1"/>
  <c r="AO40" i="2" l="1"/>
  <c r="AT39" i="2" s="1"/>
  <c r="AU39" i="2" s="1"/>
  <c r="AO41" i="2" l="1"/>
  <c r="AT40" i="2" s="1"/>
  <c r="AU40" i="2" s="1"/>
  <c r="AO42" i="2" l="1"/>
  <c r="AT41" i="2" s="1"/>
  <c r="AU41" i="2" s="1"/>
  <c r="AO43" i="2" l="1"/>
  <c r="AT42" i="2" s="1"/>
  <c r="AU42" i="2" s="1"/>
  <c r="AO44" i="2" l="1"/>
  <c r="AT43" i="2" s="1"/>
  <c r="AU43" i="2" s="1"/>
  <c r="AO45" i="2" l="1"/>
  <c r="AT44" i="2" s="1"/>
  <c r="AU44" i="2" s="1"/>
  <c r="AO46" i="2" l="1"/>
  <c r="AT45" i="2" s="1"/>
  <c r="AU45" i="2" s="1"/>
  <c r="AO47" i="2" l="1"/>
  <c r="AT46" i="2" s="1"/>
  <c r="AU46" i="2" s="1"/>
  <c r="AO48" i="2" l="1"/>
  <c r="AT47" i="2" s="1"/>
  <c r="AU47" i="2" s="1"/>
  <c r="AO49" i="2" l="1"/>
  <c r="AT48" i="2" s="1"/>
  <c r="AU48" i="2" s="1"/>
  <c r="AO50" i="2" l="1"/>
  <c r="AT49" i="2" s="1"/>
  <c r="AU49" i="2" s="1"/>
  <c r="AO51" i="2" l="1"/>
  <c r="AT50" i="2" s="1"/>
  <c r="AU50" i="2" s="1"/>
  <c r="AO52" i="2" l="1"/>
  <c r="AT51" i="2" s="1"/>
  <c r="AU51" i="2" s="1"/>
  <c r="AO53" i="2" l="1"/>
  <c r="AT52" i="2" s="1"/>
  <c r="AU52" i="2" s="1"/>
  <c r="AO54" i="2" l="1"/>
  <c r="AT53" i="2" s="1"/>
  <c r="AU53" i="2" s="1"/>
  <c r="AO55" i="2" l="1"/>
  <c r="AT54" i="2" s="1"/>
  <c r="AU54" i="2" s="1"/>
  <c r="AO56" i="2" l="1"/>
  <c r="AT55" i="2" s="1"/>
  <c r="AU55" i="2" s="1"/>
  <c r="AO57" i="2" l="1"/>
  <c r="AT56" i="2" s="1"/>
  <c r="AU56" i="2" s="1"/>
  <c r="AO58" i="2" l="1"/>
  <c r="AT57" i="2" s="1"/>
  <c r="AU57" i="2" s="1"/>
  <c r="AO59" i="2" l="1"/>
  <c r="AT58" i="2" s="1"/>
  <c r="AU58" i="2" s="1"/>
  <c r="AO60" i="2" l="1"/>
  <c r="AT59" i="2" s="1"/>
  <c r="AU59" i="2" s="1"/>
  <c r="AO61" i="2" l="1"/>
  <c r="AT60" i="2" s="1"/>
  <c r="AU60" i="2" s="1"/>
  <c r="AO62" i="2" l="1"/>
  <c r="AT61" i="2" s="1"/>
  <c r="AU61" i="2" s="1"/>
  <c r="AO63" i="2" l="1"/>
  <c r="AT62" i="2" s="1"/>
  <c r="AU62" i="2" s="1"/>
  <c r="AO64" i="2" l="1"/>
  <c r="AT63" i="2" s="1"/>
  <c r="AU63" i="2" s="1"/>
  <c r="AO65" i="2" l="1"/>
  <c r="AT64" i="2" s="1"/>
  <c r="AU64" i="2" s="1"/>
  <c r="AO66" i="2" l="1"/>
  <c r="AT65" i="2" s="1"/>
  <c r="AU65" i="2" s="1"/>
  <c r="AO67" i="2" l="1"/>
  <c r="AT66" i="2" s="1"/>
  <c r="AU66" i="2" s="1"/>
  <c r="AO68" i="2" l="1"/>
  <c r="AT67" i="2" s="1"/>
  <c r="AU67" i="2" s="1"/>
  <c r="AO69" i="2" l="1"/>
  <c r="AT68" i="2" s="1"/>
  <c r="AU68" i="2" s="1"/>
  <c r="AO70" i="2" l="1"/>
  <c r="AT69" i="2" s="1"/>
  <c r="AU69" i="2" s="1"/>
  <c r="AO71" i="2" l="1"/>
  <c r="AT70" i="2" s="1"/>
  <c r="AU70" i="2" s="1"/>
  <c r="AO72" i="2" l="1"/>
  <c r="AT71" i="2" s="1"/>
  <c r="AU71" i="2" s="1"/>
  <c r="AO73" i="2" l="1"/>
  <c r="AT72" i="2" s="1"/>
  <c r="AU72" i="2" s="1"/>
  <c r="AO74" i="2" l="1"/>
  <c r="AT73" i="2" s="1"/>
  <c r="AU73" i="2" s="1"/>
  <c r="AO75" i="2" l="1"/>
  <c r="AT74" i="2" s="1"/>
  <c r="AU74" i="2" s="1"/>
  <c r="AO76" i="2" l="1"/>
  <c r="AT75" i="2" s="1"/>
  <c r="AU75" i="2" s="1"/>
  <c r="AO77" i="2" l="1"/>
  <c r="AT76" i="2" s="1"/>
  <c r="AU76" i="2" s="1"/>
  <c r="AO78" i="2" l="1"/>
  <c r="AT77" i="2" s="1"/>
  <c r="AU77" i="2" s="1"/>
  <c r="AO79" i="2" l="1"/>
  <c r="AT78" i="2" s="1"/>
  <c r="AU78" i="2" s="1"/>
  <c r="AO80" i="2" l="1"/>
  <c r="AT79" i="2" s="1"/>
  <c r="AU79" i="2" s="1"/>
  <c r="AO81" i="2" l="1"/>
  <c r="AT80" i="2" s="1"/>
  <c r="AU80" i="2" s="1"/>
  <c r="AO82" i="2" l="1"/>
  <c r="AT81" i="2" s="1"/>
  <c r="AU81" i="2" s="1"/>
  <c r="AO83" i="2" l="1"/>
  <c r="AT82" i="2" s="1"/>
  <c r="AU82" i="2" s="1"/>
  <c r="AO84" i="2" l="1"/>
  <c r="AT83" i="2" s="1"/>
  <c r="AU83" i="2" s="1"/>
  <c r="AO85" i="2" l="1"/>
  <c r="AT84" i="2" s="1"/>
  <c r="AU84" i="2" s="1"/>
  <c r="AO86" i="2" l="1"/>
  <c r="AT85" i="2" s="1"/>
  <c r="AU85" i="2" s="1"/>
  <c r="AO87" i="2" l="1"/>
  <c r="AT86" i="2" s="1"/>
  <c r="AU86" i="2" s="1"/>
  <c r="AO88" i="2" l="1"/>
  <c r="AT87" i="2" s="1"/>
  <c r="AU87" i="2" s="1"/>
  <c r="AO89" i="2" l="1"/>
  <c r="AT88" i="2" s="1"/>
  <c r="AU88" i="2" s="1"/>
  <c r="AO90" i="2" l="1"/>
  <c r="AT89" i="2" s="1"/>
  <c r="AU89" i="2" s="1"/>
  <c r="AO91" i="2" l="1"/>
  <c r="AT90" i="2" s="1"/>
  <c r="AU90" i="2" s="1"/>
  <c r="AO92" i="2" l="1"/>
  <c r="AT91" i="2" s="1"/>
  <c r="AU91" i="2" s="1"/>
  <c r="AO93" i="2" l="1"/>
  <c r="AT92" i="2" s="1"/>
  <c r="AU92" i="2" s="1"/>
  <c r="AO94" i="2" l="1"/>
  <c r="AT93" i="2" s="1"/>
  <c r="AU93" i="2" s="1"/>
  <c r="AO95" i="2" l="1"/>
  <c r="AT94" i="2" s="1"/>
  <c r="AU94" i="2" s="1"/>
  <c r="AO96" i="2" l="1"/>
  <c r="AT95" i="2" s="1"/>
  <c r="AU95" i="2" s="1"/>
  <c r="AO97" i="2" l="1"/>
  <c r="AT96" i="2" s="1"/>
  <c r="AU96" i="2" s="1"/>
  <c r="AO98" i="2" l="1"/>
  <c r="AT97" i="2" s="1"/>
  <c r="AU97" i="2" s="1"/>
  <c r="AO99" i="2" l="1"/>
  <c r="AT98" i="2" s="1"/>
  <c r="AU98" i="2" s="1"/>
  <c r="AO100" i="2" l="1"/>
  <c r="AT99" i="2" s="1"/>
  <c r="AU99" i="2" s="1"/>
  <c r="AO101" i="2" l="1"/>
  <c r="AT100" i="2" s="1"/>
  <c r="AU100" i="2" s="1"/>
  <c r="AO102" i="2" l="1"/>
  <c r="AT101" i="2" s="1"/>
  <c r="AU101" i="2" s="1"/>
  <c r="AO103" i="2" l="1"/>
  <c r="AT102" i="2" s="1"/>
  <c r="AU102" i="2" s="1"/>
  <c r="AO104" i="2" l="1"/>
  <c r="AT103" i="2" s="1"/>
  <c r="AU103" i="2" s="1"/>
  <c r="AO105" i="2" l="1"/>
  <c r="AT104" i="2" s="1"/>
  <c r="AU104" i="2" s="1"/>
  <c r="AO106" i="2" l="1"/>
  <c r="AT105" i="2" s="1"/>
  <c r="AU105" i="2" s="1"/>
  <c r="AO107" i="2" l="1"/>
  <c r="AT106" i="2" s="1"/>
  <c r="AU106" i="2" s="1"/>
  <c r="AO108" i="2" l="1"/>
  <c r="AT107" i="2" s="1"/>
  <c r="AU107" i="2" s="1"/>
  <c r="AO109" i="2" l="1"/>
  <c r="AT108" i="2" s="1"/>
  <c r="AU108" i="2" s="1"/>
  <c r="AO110" i="2" l="1"/>
  <c r="AT109" i="2" s="1"/>
  <c r="AU109" i="2" s="1"/>
  <c r="AO111" i="2" l="1"/>
  <c r="AT110" i="2" s="1"/>
  <c r="AU110" i="2" s="1"/>
  <c r="AO112" i="2" l="1"/>
  <c r="AT111" i="2" s="1"/>
  <c r="AU111" i="2" s="1"/>
  <c r="AO113" i="2" l="1"/>
  <c r="AT112" i="2" s="1"/>
  <c r="AU112" i="2" s="1"/>
  <c r="AO114" i="2" l="1"/>
  <c r="AT113" i="2" s="1"/>
  <c r="AU113" i="2" s="1"/>
  <c r="AO115" i="2" l="1"/>
  <c r="AT114" i="2" s="1"/>
  <c r="AU114" i="2" s="1"/>
  <c r="AO116" i="2" l="1"/>
  <c r="AT115" i="2" s="1"/>
  <c r="AU115" i="2" s="1"/>
  <c r="AO117" i="2" l="1"/>
  <c r="AT116" i="2" s="1"/>
  <c r="AU116" i="2" s="1"/>
  <c r="AO118" i="2" l="1"/>
  <c r="AT117" i="2" s="1"/>
  <c r="AU117" i="2" s="1"/>
  <c r="AO119" i="2" l="1"/>
  <c r="AT118" i="2" s="1"/>
  <c r="AU118" i="2" s="1"/>
  <c r="AO120" i="2" l="1"/>
  <c r="AT119" i="2" s="1"/>
  <c r="AU119" i="2" s="1"/>
  <c r="AO121" i="2" l="1"/>
  <c r="AT120" i="2" s="1"/>
  <c r="AU120" i="2" s="1"/>
  <c r="AO122" i="2" l="1"/>
  <c r="AT121" i="2" s="1"/>
  <c r="AU121" i="2" s="1"/>
  <c r="AO123" i="2" l="1"/>
  <c r="AT122" i="2" s="1"/>
  <c r="AU122" i="2" s="1"/>
  <c r="AO124" i="2" l="1"/>
  <c r="AT123" i="2" s="1"/>
  <c r="AU123" i="2" s="1"/>
  <c r="AO125" i="2" l="1"/>
  <c r="AT124" i="2" s="1"/>
  <c r="AU124" i="2" s="1"/>
  <c r="AO126" i="2" l="1"/>
  <c r="AT125" i="2" s="1"/>
  <c r="AU125" i="2" s="1"/>
  <c r="AO127" i="2" l="1"/>
  <c r="AT126" i="2" s="1"/>
  <c r="AU126" i="2" s="1"/>
  <c r="AO128" i="2" l="1"/>
  <c r="AT127" i="2" s="1"/>
  <c r="AU127" i="2" s="1"/>
  <c r="AO129" i="2" l="1"/>
  <c r="AT128" i="2" s="1"/>
  <c r="AU128" i="2" s="1"/>
  <c r="AO130" i="2" l="1"/>
  <c r="AT129" i="2" s="1"/>
  <c r="AU129" i="2" s="1"/>
  <c r="AO131" i="2" l="1"/>
  <c r="AT130" i="2" s="1"/>
  <c r="AU130" i="2" s="1"/>
  <c r="AO132" i="2" l="1"/>
  <c r="AT131" i="2" s="1"/>
  <c r="AU131" i="2" s="1"/>
  <c r="AO133" i="2" l="1"/>
  <c r="AT132" i="2" s="1"/>
  <c r="AU132" i="2" s="1"/>
  <c r="AO134" i="2" l="1"/>
  <c r="AT133" i="2" s="1"/>
  <c r="AU133" i="2" s="1"/>
  <c r="AO135" i="2" l="1"/>
  <c r="AT134" i="2" s="1"/>
  <c r="AU134" i="2" s="1"/>
  <c r="AO136" i="2" l="1"/>
  <c r="AT135" i="2" s="1"/>
  <c r="AU135" i="2" s="1"/>
  <c r="AO137" i="2" l="1"/>
  <c r="AT136" i="2" s="1"/>
  <c r="AU136" i="2" s="1"/>
  <c r="AO138" i="2" l="1"/>
  <c r="AT137" i="2" s="1"/>
  <c r="AU137" i="2" s="1"/>
  <c r="AO139" i="2" l="1"/>
  <c r="AT138" i="2" s="1"/>
  <c r="AU138" i="2" s="1"/>
  <c r="AO140" i="2" l="1"/>
  <c r="AT139" i="2" s="1"/>
  <c r="AU139" i="2" s="1"/>
  <c r="AO141" i="2" l="1"/>
  <c r="AT140" i="2" s="1"/>
  <c r="AU140" i="2" s="1"/>
  <c r="AO142" i="2" l="1"/>
  <c r="AT141" i="2" s="1"/>
  <c r="AU141" i="2" s="1"/>
  <c r="AO143" i="2" l="1"/>
  <c r="AT142" i="2" s="1"/>
  <c r="AU142" i="2" s="1"/>
  <c r="AO144" i="2" l="1"/>
  <c r="AT143" i="2" s="1"/>
  <c r="AU143" i="2" s="1"/>
  <c r="AO145" i="2" l="1"/>
  <c r="AT144" i="2" s="1"/>
  <c r="AU144" i="2" s="1"/>
  <c r="AO146" i="2" l="1"/>
  <c r="AT145" i="2" s="1"/>
  <c r="AU145" i="2" s="1"/>
  <c r="AO147" i="2" l="1"/>
  <c r="AT146" i="2" s="1"/>
  <c r="AU146" i="2" s="1"/>
  <c r="AO148" i="2" l="1"/>
  <c r="AT147" i="2" s="1"/>
  <c r="AU147" i="2" s="1"/>
  <c r="AO149" i="2" l="1"/>
  <c r="AT148" i="2" s="1"/>
  <c r="AU148" i="2" s="1"/>
  <c r="AO150" i="2" l="1"/>
  <c r="AT149" i="2" s="1"/>
  <c r="AU149" i="2" s="1"/>
  <c r="AO151" i="2" l="1"/>
  <c r="AT150" i="2" s="1"/>
  <c r="AU150" i="2" s="1"/>
  <c r="AO152" i="2" l="1"/>
  <c r="AT151" i="2" s="1"/>
  <c r="AU151" i="2" s="1"/>
  <c r="AO153" i="2" l="1"/>
  <c r="AT152" i="2" s="1"/>
  <c r="AU152" i="2" s="1"/>
  <c r="AO154" i="2" l="1"/>
  <c r="AT153" i="2" s="1"/>
  <c r="AU153" i="2" s="1"/>
  <c r="AO155" i="2" l="1"/>
  <c r="AT154" i="2" s="1"/>
  <c r="AU154" i="2" s="1"/>
  <c r="AO156" i="2" l="1"/>
  <c r="AT155" i="2" s="1"/>
  <c r="AU155" i="2" s="1"/>
  <c r="AO157" i="2" l="1"/>
  <c r="AT156" i="2" s="1"/>
  <c r="AU156" i="2" s="1"/>
  <c r="AO158" i="2" l="1"/>
  <c r="AT157" i="2" s="1"/>
  <c r="AU157" i="2" s="1"/>
  <c r="AO159" i="2" l="1"/>
  <c r="AT158" i="2" s="1"/>
  <c r="AU158" i="2" s="1"/>
  <c r="AO160" i="2" l="1"/>
  <c r="AT159" i="2" s="1"/>
  <c r="AU159" i="2" s="1"/>
  <c r="AO161" i="2" l="1"/>
  <c r="AT160" i="2" s="1"/>
  <c r="AU160" i="2" s="1"/>
  <c r="AO162" i="2" l="1"/>
  <c r="AT161" i="2" s="1"/>
  <c r="AU161" i="2" s="1"/>
  <c r="AO163" i="2" l="1"/>
  <c r="AT162" i="2" s="1"/>
  <c r="AU162" i="2" s="1"/>
  <c r="AO164" i="2" l="1"/>
  <c r="AT163" i="2" s="1"/>
  <c r="AU163" i="2" s="1"/>
  <c r="AO165" i="2" l="1"/>
  <c r="AT164" i="2" s="1"/>
  <c r="AU164" i="2" s="1"/>
  <c r="AO166" i="2" l="1"/>
  <c r="AT165" i="2" s="1"/>
  <c r="AU165" i="2" s="1"/>
  <c r="AO167" i="2" l="1"/>
  <c r="AT166" i="2" s="1"/>
  <c r="AU166" i="2" s="1"/>
  <c r="AO168" i="2" l="1"/>
  <c r="AT167" i="2" s="1"/>
  <c r="AU167" i="2" s="1"/>
  <c r="AO169" i="2" l="1"/>
  <c r="AT168" i="2" s="1"/>
  <c r="AU168" i="2" s="1"/>
  <c r="AO170" i="2" l="1"/>
  <c r="AT169" i="2" s="1"/>
  <c r="AU169" i="2" s="1"/>
  <c r="AO171" i="2" l="1"/>
  <c r="AT170" i="2" s="1"/>
  <c r="AU170" i="2" s="1"/>
  <c r="AO172" i="2" l="1"/>
  <c r="AT171" i="2" s="1"/>
  <c r="AU171" i="2" s="1"/>
  <c r="AO173" i="2" l="1"/>
  <c r="AT172" i="2" s="1"/>
  <c r="AU172" i="2" s="1"/>
  <c r="AO174" i="2" l="1"/>
  <c r="AT173" i="2" s="1"/>
  <c r="AU173" i="2" s="1"/>
  <c r="AO175" i="2" l="1"/>
  <c r="AT174" i="2" s="1"/>
  <c r="AU174" i="2" s="1"/>
  <c r="AO176" i="2" l="1"/>
  <c r="AT175" i="2" s="1"/>
  <c r="AU175" i="2" s="1"/>
  <c r="AO177" i="2" l="1"/>
  <c r="AT176" i="2" s="1"/>
  <c r="AU176" i="2" s="1"/>
  <c r="AO178" i="2" l="1"/>
  <c r="AT177" i="2" s="1"/>
  <c r="AU177" i="2" s="1"/>
  <c r="AO179" i="2" l="1"/>
  <c r="AT178" i="2" s="1"/>
  <c r="AU178" i="2" s="1"/>
  <c r="AO180" i="2" l="1"/>
  <c r="AT179" i="2" s="1"/>
  <c r="AU179" i="2" s="1"/>
  <c r="AO181" i="2" l="1"/>
  <c r="AT180" i="2" s="1"/>
  <c r="AU180" i="2" s="1"/>
  <c r="AO182" i="2" l="1"/>
  <c r="AT181" i="2" s="1"/>
  <c r="AU181" i="2" s="1"/>
  <c r="AO183" i="2" l="1"/>
  <c r="AT182" i="2" s="1"/>
  <c r="AU182" i="2" s="1"/>
  <c r="AO184" i="2" l="1"/>
  <c r="AT183" i="2" s="1"/>
  <c r="AU183" i="2" s="1"/>
  <c r="AO185" i="2" l="1"/>
  <c r="AT184" i="2" s="1"/>
  <c r="AU184" i="2" s="1"/>
  <c r="AO186" i="2" l="1"/>
  <c r="AT185" i="2" s="1"/>
  <c r="AU185" i="2" s="1"/>
  <c r="AO187" i="2" l="1"/>
  <c r="AT186" i="2" s="1"/>
  <c r="AU186" i="2" s="1"/>
  <c r="AO188" i="2" l="1"/>
  <c r="AT187" i="2" s="1"/>
  <c r="AU187" i="2" s="1"/>
  <c r="AO189" i="2" l="1"/>
  <c r="AT188" i="2" s="1"/>
  <c r="AU188" i="2" s="1"/>
  <c r="AO190" i="2" l="1"/>
  <c r="AT189" i="2" s="1"/>
  <c r="AU189" i="2" s="1"/>
  <c r="AO191" i="2" l="1"/>
  <c r="AT190" i="2" s="1"/>
  <c r="AU190" i="2" s="1"/>
  <c r="AO192" i="2" l="1"/>
  <c r="AT191" i="2" s="1"/>
  <c r="AU191" i="2" s="1"/>
  <c r="AO193" i="2" l="1"/>
  <c r="AT192" i="2" s="1"/>
  <c r="AU192" i="2" s="1"/>
  <c r="AO194" i="2" l="1"/>
  <c r="AT193" i="2" s="1"/>
  <c r="AU193" i="2" s="1"/>
  <c r="AO195" i="2" l="1"/>
  <c r="AT194" i="2" s="1"/>
  <c r="AU194" i="2" s="1"/>
  <c r="AO196" i="2" l="1"/>
  <c r="AT195" i="2" s="1"/>
  <c r="AU195" i="2" s="1"/>
  <c r="AO197" i="2" l="1"/>
  <c r="AT196" i="2" s="1"/>
  <c r="AU196" i="2" s="1"/>
  <c r="AO198" i="2" l="1"/>
  <c r="AT197" i="2" s="1"/>
  <c r="AU197" i="2" s="1"/>
  <c r="AO199" i="2" l="1"/>
  <c r="AT198" i="2" s="1"/>
  <c r="AU198" i="2" s="1"/>
  <c r="AO200" i="2" l="1"/>
  <c r="AT199" i="2" s="1"/>
  <c r="AU199" i="2" s="1"/>
  <c r="AO201" i="2" l="1"/>
  <c r="AT200" i="2" s="1"/>
  <c r="AU200" i="2" s="1"/>
  <c r="AO202" i="2" l="1"/>
  <c r="AT201" i="2" s="1"/>
  <c r="AU201" i="2" s="1"/>
  <c r="AO203" i="2" l="1"/>
  <c r="AT202" i="2" s="1"/>
  <c r="AU202" i="2" s="1"/>
  <c r="AO204" i="2" l="1"/>
  <c r="AT203" i="2" s="1"/>
  <c r="AU203" i="2" s="1"/>
  <c r="AO205" i="2" l="1"/>
  <c r="AT204" i="2" s="1"/>
  <c r="AU204" i="2" s="1"/>
  <c r="AO206" i="2" l="1"/>
  <c r="AT205" i="2" s="1"/>
  <c r="AU205" i="2" s="1"/>
  <c r="AO207" i="2" l="1"/>
  <c r="AT206" i="2" s="1"/>
  <c r="AU206" i="2" s="1"/>
  <c r="AO208" i="2" l="1"/>
  <c r="AT207" i="2" s="1"/>
  <c r="AU207" i="2" s="1"/>
  <c r="AO209" i="2" l="1"/>
  <c r="AT208" i="2" s="1"/>
  <c r="AU208" i="2" s="1"/>
  <c r="AO210" i="2" l="1"/>
  <c r="AT209" i="2" s="1"/>
  <c r="AU209" i="2" s="1"/>
  <c r="AO211" i="2" l="1"/>
  <c r="AT210" i="2" s="1"/>
  <c r="AU210" i="2" s="1"/>
  <c r="AO212" i="2" l="1"/>
  <c r="AT211" i="2" s="1"/>
  <c r="AU211" i="2" s="1"/>
  <c r="AO213" i="2" l="1"/>
  <c r="AT212" i="2" s="1"/>
  <c r="AU212" i="2" s="1"/>
  <c r="AO214" i="2" l="1"/>
  <c r="AT213" i="2" s="1"/>
  <c r="AU213" i="2" s="1"/>
  <c r="AO215" i="2" l="1"/>
  <c r="AT214" i="2" s="1"/>
  <c r="AU214" i="2" s="1"/>
  <c r="AO216" i="2" l="1"/>
  <c r="AT215" i="2" s="1"/>
  <c r="AU215" i="2" s="1"/>
  <c r="AO217" i="2" l="1"/>
  <c r="AT216" i="2" s="1"/>
  <c r="AU216" i="2" s="1"/>
  <c r="AO218" i="2" l="1"/>
  <c r="AT217" i="2" s="1"/>
  <c r="AU217" i="2" s="1"/>
  <c r="AO219" i="2" l="1"/>
  <c r="AT218" i="2" s="1"/>
  <c r="AU218" i="2" s="1"/>
  <c r="AO220" i="2" l="1"/>
  <c r="AT219" i="2" s="1"/>
  <c r="AU219" i="2" s="1"/>
  <c r="AO221" i="2" l="1"/>
  <c r="AT220" i="2" s="1"/>
  <c r="AU220" i="2" s="1"/>
  <c r="AO222" i="2" l="1"/>
  <c r="AT221" i="2" s="1"/>
  <c r="AU221" i="2" s="1"/>
  <c r="AO223" i="2" l="1"/>
  <c r="AT222" i="2" s="1"/>
  <c r="AU222" i="2" s="1"/>
  <c r="AO224" i="2" l="1"/>
  <c r="AT223" i="2" s="1"/>
  <c r="AU223" i="2" s="1"/>
  <c r="AO225" i="2" l="1"/>
  <c r="AT224" i="2" s="1"/>
  <c r="AU224" i="2" s="1"/>
  <c r="AO226" i="2" l="1"/>
  <c r="AT225" i="2" s="1"/>
  <c r="AU225" i="2" s="1"/>
  <c r="AO227" i="2" l="1"/>
  <c r="AT226" i="2" s="1"/>
  <c r="AU226" i="2" s="1"/>
  <c r="AO228" i="2" l="1"/>
  <c r="AT227" i="2" s="1"/>
  <c r="AU227" i="2" s="1"/>
  <c r="AO229" i="2" l="1"/>
  <c r="AT228" i="2" s="1"/>
  <c r="AU228" i="2" s="1"/>
  <c r="AO230" i="2" l="1"/>
  <c r="AT229" i="2" s="1"/>
  <c r="AU229" i="2" s="1"/>
  <c r="AO231" i="2" l="1"/>
  <c r="AT230" i="2" s="1"/>
  <c r="AU230" i="2" s="1"/>
  <c r="AO232" i="2" l="1"/>
  <c r="AT231" i="2" s="1"/>
  <c r="AU231" i="2" s="1"/>
  <c r="AO233" i="2" l="1"/>
  <c r="AT232" i="2" s="1"/>
  <c r="AU232" i="2" s="1"/>
  <c r="AO234" i="2" l="1"/>
  <c r="AT233" i="2" s="1"/>
  <c r="AU233" i="2" s="1"/>
  <c r="AO235" i="2" l="1"/>
  <c r="AT234" i="2" s="1"/>
  <c r="AU234" i="2" s="1"/>
  <c r="AO236" i="2" l="1"/>
  <c r="AT235" i="2" s="1"/>
  <c r="AU235" i="2" s="1"/>
  <c r="AO237" i="2" l="1"/>
  <c r="AT236" i="2" s="1"/>
  <c r="AU236" i="2" s="1"/>
  <c r="AO238" i="2" l="1"/>
  <c r="AT237" i="2" s="1"/>
  <c r="AU237" i="2" s="1"/>
  <c r="AO239" i="2" l="1"/>
  <c r="AT238" i="2" s="1"/>
  <c r="AU238" i="2" s="1"/>
  <c r="AO240" i="2" l="1"/>
  <c r="AT239" i="2" s="1"/>
  <c r="AU239" i="2" s="1"/>
  <c r="AO241" i="2" l="1"/>
  <c r="AT240" i="2" s="1"/>
  <c r="AU240" i="2" s="1"/>
  <c r="AO242" i="2" l="1"/>
  <c r="AT241" i="2" s="1"/>
  <c r="AU241" i="2" s="1"/>
  <c r="AO243" i="2" l="1"/>
  <c r="AT242" i="2" s="1"/>
  <c r="AU242" i="2" s="1"/>
  <c r="AO244" i="2" l="1"/>
  <c r="AT243" i="2" s="1"/>
  <c r="AU243" i="2" s="1"/>
  <c r="AO245" i="2" l="1"/>
  <c r="AT244" i="2" s="1"/>
  <c r="AU244" i="2" s="1"/>
  <c r="AO246" i="2" l="1"/>
  <c r="AT245" i="2" s="1"/>
  <c r="AU245" i="2" s="1"/>
  <c r="AO247" i="2" l="1"/>
  <c r="AT246" i="2" s="1"/>
  <c r="AU246" i="2" s="1"/>
  <c r="AO248" i="2" l="1"/>
  <c r="AT247" i="2" s="1"/>
  <c r="AU247" i="2" s="1"/>
  <c r="AO249" i="2" l="1"/>
  <c r="AT248" i="2" s="1"/>
  <c r="AU248" i="2" s="1"/>
  <c r="AO250" i="2" l="1"/>
  <c r="AT249" i="2" s="1"/>
  <c r="AU249" i="2" s="1"/>
  <c r="AO251" i="2" l="1"/>
  <c r="AT250" i="2" s="1"/>
  <c r="AU250" i="2" s="1"/>
  <c r="AO252" i="2" l="1"/>
  <c r="AT251" i="2" s="1"/>
  <c r="AU251" i="2" s="1"/>
  <c r="AO253" i="2" l="1"/>
  <c r="AT252" i="2" s="1"/>
  <c r="AU252" i="2" s="1"/>
  <c r="AO254" i="2" l="1"/>
  <c r="AT253" i="2" s="1"/>
  <c r="AU253" i="2" s="1"/>
  <c r="AO255" i="2" l="1"/>
  <c r="AT254" i="2" s="1"/>
  <c r="AU254" i="2" s="1"/>
  <c r="AO256" i="2" l="1"/>
  <c r="AT255" i="2" s="1"/>
  <c r="AU255" i="2" s="1"/>
  <c r="AO257" i="2" l="1"/>
  <c r="AT256" i="2" s="1"/>
  <c r="AU256" i="2" s="1"/>
  <c r="AO258" i="2" l="1"/>
  <c r="AT257" i="2" s="1"/>
  <c r="AU257" i="2" s="1"/>
  <c r="AO259" i="2" l="1"/>
  <c r="AT258" i="2" s="1"/>
  <c r="AU258" i="2" s="1"/>
  <c r="AO260" i="2" l="1"/>
  <c r="AT259" i="2" s="1"/>
  <c r="AU259" i="2" s="1"/>
  <c r="AO261" i="2" l="1"/>
  <c r="AT260" i="2" s="1"/>
  <c r="AU260" i="2" s="1"/>
  <c r="AO262" i="2" l="1"/>
  <c r="AT261" i="2" s="1"/>
  <c r="AU261" i="2" s="1"/>
  <c r="AO263" i="2" l="1"/>
  <c r="AT262" i="2" s="1"/>
  <c r="AU262" i="2" s="1"/>
  <c r="AO264" i="2" l="1"/>
  <c r="AT263" i="2" s="1"/>
  <c r="AU263" i="2" s="1"/>
  <c r="AO265" i="2" l="1"/>
  <c r="AT264" i="2" s="1"/>
  <c r="AU264" i="2" s="1"/>
  <c r="AO266" i="2" l="1"/>
  <c r="AT265" i="2" s="1"/>
  <c r="AU265" i="2" s="1"/>
  <c r="AO267" i="2" l="1"/>
  <c r="AT266" i="2" s="1"/>
  <c r="AU266" i="2" s="1"/>
  <c r="AO268" i="2" l="1"/>
  <c r="AT267" i="2" s="1"/>
  <c r="AU267" i="2" s="1"/>
  <c r="AO269" i="2" l="1"/>
  <c r="AT268" i="2" s="1"/>
  <c r="AU268" i="2" s="1"/>
  <c r="AV3" i="2" s="1"/>
  <c r="AO270" i="2" l="1"/>
  <c r="AT269" i="2" s="1"/>
  <c r="AU269" i="2" s="1"/>
  <c r="AO271" i="2" l="1"/>
  <c r="AT270" i="2" s="1"/>
  <c r="AU270" i="2" s="1"/>
  <c r="AO272" i="2" l="1"/>
  <c r="AT271" i="2" s="1"/>
  <c r="AU271" i="2" s="1"/>
  <c r="AO273" i="2" l="1"/>
  <c r="AT272" i="2" s="1"/>
  <c r="AU272" i="2" s="1"/>
  <c r="AO274" i="2" l="1"/>
  <c r="AT273" i="2" s="1"/>
  <c r="AU273" i="2" s="1"/>
  <c r="AO275" i="2" l="1"/>
  <c r="AT274" i="2" s="1"/>
  <c r="AU274" i="2" s="1"/>
  <c r="AO276" i="2" l="1"/>
  <c r="AT275" i="2" s="1"/>
  <c r="AU275" i="2" s="1"/>
  <c r="AO277" i="2" l="1"/>
  <c r="AO278" i="2" s="1"/>
  <c r="AO279" i="2" l="1"/>
  <c r="AT278" i="2" s="1"/>
  <c r="AU278" i="2" s="1"/>
  <c r="AT276" i="2"/>
  <c r="AU276" i="2" s="1"/>
  <c r="AT277" i="2"/>
  <c r="AU277" i="2" s="1"/>
  <c r="AO280" i="2" l="1"/>
  <c r="AO281" i="2" s="1"/>
  <c r="AT279" i="2" l="1"/>
  <c r="AU279" i="2" s="1"/>
  <c r="AO282" i="2"/>
  <c r="AT280" i="2"/>
  <c r="AU280" i="2" s="1"/>
  <c r="AO283" i="2" l="1"/>
  <c r="AT281" i="2"/>
  <c r="AU281" i="2" s="1"/>
  <c r="AO284" i="2" l="1"/>
  <c r="AT282" i="2"/>
  <c r="AU282" i="2" s="1"/>
  <c r="AO285" i="2" l="1"/>
  <c r="AT283" i="2"/>
  <c r="AU283" i="2" s="1"/>
  <c r="AO286" i="2" l="1"/>
  <c r="AT284" i="2"/>
  <c r="AU284" i="2" s="1"/>
  <c r="AO287" i="2" l="1"/>
  <c r="AT285" i="2"/>
  <c r="AU285" i="2" s="1"/>
  <c r="AO288" i="2" l="1"/>
  <c r="AO289" i="2" s="1"/>
  <c r="AT286" i="2"/>
  <c r="AU286" i="2" s="1"/>
  <c r="AO290" i="2" l="1"/>
  <c r="AO291" i="2" s="1"/>
  <c r="AT287" i="2"/>
  <c r="AU287" i="2" s="1"/>
  <c r="AT288" i="2"/>
  <c r="AU288" i="2" s="1"/>
  <c r="AT289" i="2" l="1"/>
  <c r="AU289" i="2" s="1"/>
  <c r="AO292" i="2"/>
  <c r="AT290" i="2"/>
  <c r="AU290" i="2" s="1"/>
  <c r="AO293" i="2" l="1"/>
  <c r="AT291" i="2"/>
  <c r="AU291" i="2" s="1"/>
  <c r="AO294" i="2" l="1"/>
  <c r="AT292" i="2"/>
  <c r="AU292" i="2" s="1"/>
  <c r="AO295" i="2" l="1"/>
  <c r="AT293" i="2"/>
  <c r="AU293" i="2" s="1"/>
  <c r="AO296" i="2" l="1"/>
  <c r="AT294" i="2"/>
  <c r="AU294" i="2" s="1"/>
  <c r="AO297" i="2" l="1"/>
  <c r="AT295" i="2"/>
  <c r="AU295" i="2" s="1"/>
  <c r="AO298" i="2" l="1"/>
  <c r="AT296" i="2"/>
  <c r="AU296" i="2" s="1"/>
  <c r="AO299" i="2" l="1"/>
  <c r="AT297" i="2"/>
  <c r="AU297" i="2" s="1"/>
  <c r="AO300" i="2" l="1"/>
  <c r="AT298" i="2"/>
  <c r="AU298" i="2" s="1"/>
  <c r="AO301" i="2" l="1"/>
  <c r="AT299" i="2"/>
  <c r="AU299" i="2" s="1"/>
  <c r="AO302" i="2" l="1"/>
  <c r="AT300" i="2"/>
  <c r="AU300" i="2" s="1"/>
  <c r="AO303" i="2" l="1"/>
  <c r="AT301" i="2"/>
  <c r="AU301" i="2" s="1"/>
  <c r="AO304" i="2" l="1"/>
  <c r="AT302" i="2"/>
  <c r="AU302" i="2" s="1"/>
  <c r="AO305" i="2" l="1"/>
  <c r="AT303" i="2"/>
  <c r="AU303" i="2" s="1"/>
  <c r="AO306" i="2" l="1"/>
  <c r="AT304" i="2"/>
  <c r="AU304" i="2" s="1"/>
  <c r="AO307" i="2" l="1"/>
  <c r="AT305" i="2"/>
  <c r="AU305" i="2" s="1"/>
  <c r="AO308" i="2" l="1"/>
  <c r="AT306" i="2"/>
  <c r="AU306" i="2" s="1"/>
  <c r="AO309" i="2" l="1"/>
  <c r="AT307" i="2"/>
  <c r="AU307" i="2" s="1"/>
  <c r="AO310" i="2" l="1"/>
  <c r="AT308" i="2"/>
  <c r="AU308" i="2" s="1"/>
  <c r="AO311" i="2" l="1"/>
  <c r="AT309" i="2"/>
  <c r="AU309" i="2" s="1"/>
  <c r="AO312" i="2" l="1"/>
  <c r="AT310" i="2"/>
  <c r="AU310" i="2" s="1"/>
  <c r="AT311" i="2" l="1"/>
  <c r="AU311" i="2" s="1"/>
  <c r="AT312" i="2"/>
  <c r="AU31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FA2CCC-0D76-4D80-B6C1-EEE00EAD30F2}" keepAlive="1" name="Query - TableauComparison" description="Connection to the 'TableauComparison' query in the workbook." type="5" refreshedVersion="0" background="1" saveData="1">
    <dbPr connection="Provider=Microsoft.Mashup.OleDb.1;Data Source=$Workbook$;Location=TableauComparison;Extended Properties=&quot;&quot;" command="SELECT * FROM [TableauComparison]"/>
  </connection>
  <connection id="2" xr16:uid="{54D148FF-9E16-4A47-882C-779282924F9C}" keepAlive="1" name="Query - TableauDataPreparation" description="Connection to the 'TableauDataPreparation' query in the workbook." type="5" refreshedVersion="0" background="1" saveData="1">
    <dbPr connection="Provider=Microsoft.Mashup.OleDb.1;Data Source=$Workbook$;Location=TableauDataPreparation;Extended Properties=&quot;&quot;" command="SELECT * FROM [TableauDataPrepara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57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9"/>
        </ext>
      </extLst>
    </bk>
    <bk>
      <extLst>
        <ext uri="{3e2802c4-a4d2-4d8b-9148-e3be6c30e623}">
          <xlrd:rvb i="4562"/>
        </ext>
      </extLst>
    </bk>
    <bk>
      <extLst>
        <ext uri="{3e2802c4-a4d2-4d8b-9148-e3be6c30e623}">
          <xlrd:rvb i="4565"/>
        </ext>
      </extLst>
    </bk>
    <bk>
      <extLst>
        <ext uri="{3e2802c4-a4d2-4d8b-9148-e3be6c30e623}">
          <xlrd:rvb i="4568"/>
        </ext>
      </extLst>
    </bk>
    <bk>
      <extLst>
        <ext uri="{3e2802c4-a4d2-4d8b-9148-e3be6c30e623}">
          <xlrd:rvb i="4571"/>
        </ext>
      </extLst>
    </bk>
    <bk>
      <extLst>
        <ext uri="{3e2802c4-a4d2-4d8b-9148-e3be6c30e623}">
          <xlrd:rvb i="4574"/>
        </ext>
      </extLst>
    </bk>
    <bk>
      <extLst>
        <ext uri="{3e2802c4-a4d2-4d8b-9148-e3be6c30e623}">
          <xlrd:rvb i="4577"/>
        </ext>
      </extLst>
    </bk>
    <bk>
      <extLst>
        <ext uri="{3e2802c4-a4d2-4d8b-9148-e3be6c30e623}">
          <xlrd:rvb i="4580"/>
        </ext>
      </extLst>
    </bk>
    <bk>
      <extLst>
        <ext uri="{3e2802c4-a4d2-4d8b-9148-e3be6c30e623}">
          <xlrd:rvb i="4583"/>
        </ext>
      </extLst>
    </bk>
    <bk>
      <extLst>
        <ext uri="{3e2802c4-a4d2-4d8b-9148-e3be6c30e623}">
          <xlrd:rvb i="4586"/>
        </ext>
      </extLst>
    </bk>
    <bk>
      <extLst>
        <ext uri="{3e2802c4-a4d2-4d8b-9148-e3be6c30e623}">
          <xlrd:rvb i="4593"/>
        </ext>
      </extLst>
    </bk>
    <bk>
      <extLst>
        <ext uri="{3e2802c4-a4d2-4d8b-9148-e3be6c30e623}">
          <xlrd:rvb i="4596"/>
        </ext>
      </extLst>
    </bk>
    <bk>
      <extLst>
        <ext uri="{3e2802c4-a4d2-4d8b-9148-e3be6c30e623}">
          <xlrd:rvb i="4599"/>
        </ext>
      </extLst>
    </bk>
    <bk>
      <extLst>
        <ext uri="{3e2802c4-a4d2-4d8b-9148-e3be6c30e623}">
          <xlrd:rvb i="4602"/>
        </ext>
      </extLst>
    </bk>
    <bk>
      <extLst>
        <ext uri="{3e2802c4-a4d2-4d8b-9148-e3be6c30e623}">
          <xlrd:rvb i="4605"/>
        </ext>
      </extLst>
    </bk>
    <bk>
      <extLst>
        <ext uri="{3e2802c4-a4d2-4d8b-9148-e3be6c30e623}">
          <xlrd:rvb i="4608"/>
        </ext>
      </extLst>
    </bk>
    <bk>
      <extLst>
        <ext uri="{3e2802c4-a4d2-4d8b-9148-e3be6c30e623}">
          <xlrd:rvb i="4611"/>
        </ext>
      </extLst>
    </bk>
    <bk>
      <extLst>
        <ext uri="{3e2802c4-a4d2-4d8b-9148-e3be6c30e623}">
          <xlrd:rvb i="4614"/>
        </ext>
      </extLst>
    </bk>
  </futureMetadata>
  <cellMetadata count="1">
    <bk>
      <rc t="1" v="0"/>
    </bk>
  </cellMetadata>
  <valueMetadata count="457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valueMetadata>
</metadata>
</file>

<file path=xl/sharedStrings.xml><?xml version="1.0" encoding="utf-8"?>
<sst xmlns="http://schemas.openxmlformats.org/spreadsheetml/2006/main" count="132" uniqueCount="54">
  <si>
    <t>Date.</t>
  </si>
  <si>
    <t>Stocks.</t>
  </si>
  <si>
    <t>Ticker.</t>
  </si>
  <si>
    <t>Buy/Sell.</t>
  </si>
  <si>
    <t>Commision.</t>
  </si>
  <si>
    <t>Buy.</t>
  </si>
  <si>
    <t>Sell.</t>
  </si>
  <si>
    <t>Quantity.</t>
  </si>
  <si>
    <t>CurrentPrice.</t>
  </si>
  <si>
    <t>TotalAmount.</t>
  </si>
  <si>
    <t>Industry.</t>
  </si>
  <si>
    <t>MarketValue.</t>
  </si>
  <si>
    <t>%Breakdown.</t>
  </si>
  <si>
    <t>DayChange.</t>
  </si>
  <si>
    <t>G/L.</t>
  </si>
  <si>
    <t>52WeekLow.</t>
  </si>
  <si>
    <t>52WeekHigh.</t>
  </si>
  <si>
    <t>PortfolioValue.</t>
  </si>
  <si>
    <t>Beta.</t>
  </si>
  <si>
    <t>P/E.</t>
  </si>
  <si>
    <t>NVD</t>
  </si>
  <si>
    <t>TSFA</t>
  </si>
  <si>
    <t>3V64</t>
  </si>
  <si>
    <t>AMZ</t>
  </si>
  <si>
    <t>MSF</t>
  </si>
  <si>
    <t>PRG</t>
  </si>
  <si>
    <t>YDX</t>
  </si>
  <si>
    <t>1YD</t>
  </si>
  <si>
    <t>XFRA:CMC</t>
  </si>
  <si>
    <t>CMC</t>
  </si>
  <si>
    <t>ExpectedReturns.</t>
  </si>
  <si>
    <t>Volatility.</t>
  </si>
  <si>
    <t>SharpeRatio.</t>
  </si>
  <si>
    <t>DailyReturns.</t>
  </si>
  <si>
    <t>Tasso Risk-Free.</t>
  </si>
  <si>
    <t>VUSA</t>
  </si>
  <si>
    <t>EXW1</t>
  </si>
  <si>
    <t>DWR.</t>
  </si>
  <si>
    <t>USA</t>
  </si>
  <si>
    <t>World</t>
  </si>
  <si>
    <t>EU</t>
  </si>
  <si>
    <t>IWDA</t>
  </si>
  <si>
    <t>MyP.</t>
  </si>
  <si>
    <t>MaxDrawdown.</t>
  </si>
  <si>
    <t>DailyDrawdown.</t>
  </si>
  <si>
    <t>Peak.</t>
  </si>
  <si>
    <t>Price.</t>
  </si>
  <si>
    <t>FOO</t>
  </si>
  <si>
    <t>0V6</t>
  </si>
  <si>
    <t>XETR:639</t>
  </si>
  <si>
    <t>MHL</t>
  </si>
  <si>
    <t>AMP</t>
  </si>
  <si>
    <t>XMIL:AMP</t>
  </si>
  <si>
    <t>DailyDelta%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</si>
</sst>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0\ &quot;€&quot;;[Red]\-#,##0\ &quot;€&quot;"/>
    <numFmt numFmtId="8" formatCode="#,##0.00\ &quot;€&quot;;[Red]\-#,##0.00\ &quot;€&quot;"/>
    <numFmt numFmtId="44" formatCode="_-* #,##0.00\ &quot;€&quot;_-;\-* #,##0.00\ &quot;€&quot;_-;_-* &quot;-&quot;??\ &quot;€&quot;_-;_-@_-"/>
    <numFmt numFmtId="43" formatCode="_-* #,##0.00_-;\-* #,##0.00_-;_-* &quot;-&quot;??_-;_-@_-"/>
    <numFmt numFmtId="164" formatCode="_([$€-2]\ * #,##0.00_);_([$€-2]\ * \(#,##0.00\);_([$€-2]\ * &quot;-&quot;??_);_(@_)"/>
    <numFmt numFmtId="165" formatCode="_-* #,##0_-;\-* #,##0_-;_-* &quot;-&quot;??_-;_-@_-"/>
  </numFmts>
  <fonts count="8" x14ac:knownFonts="1">
    <font>
      <sz val="11"/>
      <color theme="1"/>
      <name val="Arial"/>
      <family val="2"/>
      <scheme val="minor"/>
    </font>
    <font>
      <sz val="8"/>
      <name val="Arial"/>
      <family val="2"/>
      <scheme val="minor"/>
    </font>
    <font>
      <sz val="11"/>
      <color theme="1"/>
      <name val="Arial"/>
      <family val="2"/>
      <scheme val="minor"/>
    </font>
    <font>
      <b/>
      <sz val="11"/>
      <color theme="1"/>
      <name val="Arial"/>
      <family val="2"/>
      <scheme val="minor"/>
    </font>
    <font>
      <i/>
      <sz val="11"/>
      <color theme="1"/>
      <name val="Arial"/>
      <family val="2"/>
      <scheme val="minor"/>
    </font>
    <font>
      <b/>
      <sz val="11"/>
      <color theme="1"/>
      <name val="Times New Roman"/>
      <family val="1"/>
      <scheme val="major"/>
    </font>
    <font>
      <b/>
      <sz val="12"/>
      <color theme="1"/>
      <name val="Times New Roman"/>
      <family val="1"/>
      <scheme val="major"/>
    </font>
    <font>
      <sz val="11"/>
      <color theme="1"/>
      <name val="Times New Roman"/>
      <family val="1"/>
      <scheme val="major"/>
    </font>
  </fonts>
  <fills count="8">
    <fill>
      <patternFill patternType="none"/>
    </fill>
    <fill>
      <patternFill patternType="gray125"/>
    </fill>
    <fill>
      <patternFill patternType="solid">
        <fgColor theme="4" tint="0.79998168889431442"/>
        <bgColor indexed="64"/>
      </patternFill>
    </fill>
    <fill>
      <patternFill patternType="solid">
        <fgColor theme="7"/>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rgb="FFFF9966"/>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83">
    <xf numFmtId="0" fontId="0" fillId="0" borderId="0" xfId="0"/>
    <xf numFmtId="44" fontId="0" fillId="0" borderId="0" xfId="1" applyFont="1"/>
    <xf numFmtId="10" fontId="0" fillId="0" borderId="0" xfId="3" applyNumberFormat="1" applyFont="1"/>
    <xf numFmtId="0" fontId="3" fillId="0" borderId="0" xfId="0" applyFont="1"/>
    <xf numFmtId="10" fontId="0" fillId="0" borderId="0" xfId="3" applyNumberFormat="1" applyFont="1" applyBorder="1"/>
    <xf numFmtId="44" fontId="0" fillId="0" borderId="0" xfId="1" applyFont="1" applyBorder="1"/>
    <xf numFmtId="43" fontId="0" fillId="0" borderId="0" xfId="2" applyFont="1" applyBorder="1"/>
    <xf numFmtId="0" fontId="3" fillId="2" borderId="0" xfId="0" applyFont="1" applyFill="1"/>
    <xf numFmtId="9" fontId="0" fillId="0" borderId="6" xfId="3" applyFont="1" applyBorder="1"/>
    <xf numFmtId="43" fontId="0" fillId="0" borderId="0" xfId="2" applyFont="1"/>
    <xf numFmtId="0" fontId="0" fillId="0" borderId="0" xfId="2" applyNumberFormat="1" applyFont="1"/>
    <xf numFmtId="44" fontId="3" fillId="2" borderId="0" xfId="1" applyFont="1" applyFill="1" applyBorder="1"/>
    <xf numFmtId="44" fontId="3" fillId="2" borderId="0" xfId="1" applyFont="1" applyFill="1"/>
    <xf numFmtId="44" fontId="0" fillId="0" borderId="0" xfId="1" applyFont="1" applyFill="1"/>
    <xf numFmtId="10" fontId="3" fillId="0" borderId="0" xfId="3" applyNumberFormat="1" applyFont="1" applyFill="1"/>
    <xf numFmtId="0" fontId="3" fillId="2" borderId="2" xfId="0" applyFont="1" applyFill="1" applyBorder="1"/>
    <xf numFmtId="164" fontId="3" fillId="0" borderId="3" xfId="0" applyNumberFormat="1" applyFont="1" applyBorder="1"/>
    <xf numFmtId="10" fontId="3" fillId="2" borderId="0" xfId="3" applyNumberFormat="1" applyFont="1" applyFill="1" applyBorder="1"/>
    <xf numFmtId="10" fontId="3" fillId="2" borderId="0" xfId="3" applyNumberFormat="1" applyFont="1" applyFill="1"/>
    <xf numFmtId="43" fontId="3" fillId="2" borderId="0" xfId="2" applyFont="1" applyFill="1"/>
    <xf numFmtId="10" fontId="0" fillId="2" borderId="0" xfId="3" applyNumberFormat="1" applyFont="1" applyFill="1"/>
    <xf numFmtId="43" fontId="0" fillId="0" borderId="0" xfId="0" applyNumberFormat="1"/>
    <xf numFmtId="9" fontId="0" fillId="0" borderId="0" xfId="3" applyFont="1"/>
    <xf numFmtId="165" fontId="0" fillId="0" borderId="0" xfId="2" applyNumberFormat="1" applyFont="1"/>
    <xf numFmtId="6" fontId="0" fillId="0" borderId="0" xfId="0" applyNumberFormat="1"/>
    <xf numFmtId="8" fontId="0" fillId="0" borderId="0" xfId="0" applyNumberFormat="1"/>
    <xf numFmtId="165" fontId="0" fillId="0" borderId="0" xfId="2" applyNumberFormat="1" applyFont="1" applyFill="1" applyBorder="1"/>
    <xf numFmtId="165" fontId="0" fillId="0" borderId="0" xfId="2" applyNumberFormat="1" applyFont="1" applyBorder="1"/>
    <xf numFmtId="14" fontId="0" fillId="0" borderId="0" xfId="0" applyNumberFormat="1"/>
    <xf numFmtId="43" fontId="0" fillId="0" borderId="0" xfId="2" applyFont="1" applyFill="1" applyBorder="1" applyAlignment="1"/>
    <xf numFmtId="165" fontId="0" fillId="0" borderId="0" xfId="2" applyNumberFormat="1" applyFont="1" applyFill="1"/>
    <xf numFmtId="10" fontId="3" fillId="0" borderId="0" xfId="3" applyNumberFormat="1" applyFont="1" applyFill="1" applyBorder="1"/>
    <xf numFmtId="0" fontId="6" fillId="2" borderId="2" xfId="0" applyFont="1" applyFill="1" applyBorder="1"/>
    <xf numFmtId="0" fontId="6" fillId="2" borderId="7" xfId="0" applyFont="1" applyFill="1" applyBorder="1"/>
    <xf numFmtId="10" fontId="6" fillId="2" borderId="7" xfId="3" applyNumberFormat="1" applyFont="1" applyFill="1" applyBorder="1"/>
    <xf numFmtId="44" fontId="6" fillId="2" borderId="7" xfId="1" applyFont="1" applyFill="1" applyBorder="1"/>
    <xf numFmtId="10" fontId="6" fillId="2" borderId="5" xfId="3" applyNumberFormat="1" applyFont="1" applyFill="1" applyBorder="1"/>
    <xf numFmtId="44" fontId="5" fillId="2" borderId="1" xfId="1" applyFont="1" applyFill="1" applyBorder="1"/>
    <xf numFmtId="0" fontId="5" fillId="2" borderId="1" xfId="0" applyFont="1" applyFill="1" applyBorder="1"/>
    <xf numFmtId="165" fontId="5" fillId="2" borderId="1" xfId="2" applyNumberFormat="1" applyFont="1" applyFill="1" applyBorder="1"/>
    <xf numFmtId="0" fontId="4" fillId="0" borderId="0" xfId="0" applyFont="1" applyAlignment="1">
      <alignment horizontal="center"/>
    </xf>
    <xf numFmtId="0" fontId="5" fillId="3" borderId="9" xfId="0" applyFont="1" applyFill="1" applyBorder="1" applyAlignment="1">
      <alignment horizontal="center"/>
    </xf>
    <xf numFmtId="0" fontId="5" fillId="3" borderId="10" xfId="0" applyFont="1" applyFill="1" applyBorder="1" applyAlignment="1">
      <alignment horizontal="center"/>
    </xf>
    <xf numFmtId="0" fontId="5" fillId="3" borderId="6" xfId="0" applyFont="1" applyFill="1" applyBorder="1" applyAlignment="1">
      <alignment horizontal="center"/>
    </xf>
    <xf numFmtId="0" fontId="5" fillId="3" borderId="11" xfId="0" applyFont="1" applyFill="1" applyBorder="1" applyAlignment="1">
      <alignment horizontal="center"/>
    </xf>
    <xf numFmtId="0" fontId="5" fillId="3" borderId="8" xfId="0" applyFont="1" applyFill="1" applyBorder="1" applyAlignment="1">
      <alignment horizontal="center"/>
    </xf>
    <xf numFmtId="0" fontId="5" fillId="3" borderId="12" xfId="0" applyFont="1" applyFill="1" applyBorder="1" applyAlignment="1">
      <alignment horizontal="center"/>
    </xf>
    <xf numFmtId="10" fontId="7" fillId="0" borderId="1" xfId="3" applyNumberFormat="1" applyFont="1" applyBorder="1"/>
    <xf numFmtId="43" fontId="7" fillId="0" borderId="1" xfId="2" applyFont="1" applyBorder="1"/>
    <xf numFmtId="2" fontId="7" fillId="4" borderId="2" xfId="0" applyNumberFormat="1" applyFont="1" applyFill="1" applyBorder="1"/>
    <xf numFmtId="2" fontId="7" fillId="0" borderId="7" xfId="0" applyNumberFormat="1" applyFont="1" applyBorder="1"/>
    <xf numFmtId="2" fontId="7" fillId="0" borderId="5" xfId="0" applyNumberFormat="1" applyFont="1" applyBorder="1"/>
    <xf numFmtId="2" fontId="7" fillId="5" borderId="13" xfId="0" applyNumberFormat="1" applyFont="1" applyFill="1" applyBorder="1"/>
    <xf numFmtId="2" fontId="7" fillId="4" borderId="0" xfId="0" applyNumberFormat="1" applyFont="1" applyFill="1"/>
    <xf numFmtId="2" fontId="7" fillId="0" borderId="0" xfId="0" applyNumberFormat="1" applyFont="1"/>
    <xf numFmtId="2" fontId="7" fillId="0" borderId="14" xfId="0" applyNumberFormat="1" applyFont="1" applyBorder="1"/>
    <xf numFmtId="2" fontId="7" fillId="5" borderId="0" xfId="0" applyNumberFormat="1" applyFont="1" applyFill="1"/>
    <xf numFmtId="2" fontId="7" fillId="6" borderId="0" xfId="0" applyNumberFormat="1" applyFont="1" applyFill="1"/>
    <xf numFmtId="2" fontId="7" fillId="7" borderId="0" xfId="0" applyNumberFormat="1" applyFont="1" applyFill="1"/>
    <xf numFmtId="2" fontId="7" fillId="5" borderId="3" xfId="0" applyNumberFormat="1" applyFont="1" applyFill="1" applyBorder="1"/>
    <xf numFmtId="2" fontId="7" fillId="5" borderId="15" xfId="0" applyNumberFormat="1" applyFont="1" applyFill="1" applyBorder="1"/>
    <xf numFmtId="2" fontId="7" fillId="6" borderId="15" xfId="0" applyNumberFormat="1" applyFont="1" applyFill="1" applyBorder="1"/>
    <xf numFmtId="2" fontId="7" fillId="7" borderId="15" xfId="0" applyNumberFormat="1" applyFont="1" applyFill="1" applyBorder="1"/>
    <xf numFmtId="2" fontId="7" fillId="4" borderId="4" xfId="0" applyNumberFormat="1" applyFont="1" applyFill="1" applyBorder="1"/>
    <xf numFmtId="0" fontId="0" fillId="0" borderId="2" xfId="0" applyBorder="1"/>
    <xf numFmtId="0" fontId="0" fillId="0" borderId="7" xfId="0" applyBorder="1"/>
    <xf numFmtId="44" fontId="0" fillId="0" borderId="7" xfId="1" applyFont="1" applyBorder="1"/>
    <xf numFmtId="10" fontId="0" fillId="0" borderId="7" xfId="3" applyNumberFormat="1" applyFont="1" applyBorder="1"/>
    <xf numFmtId="43" fontId="0" fillId="0" borderId="7" xfId="2" applyFont="1" applyBorder="1"/>
    <xf numFmtId="4" fontId="0" fillId="0" borderId="7" xfId="0" applyNumberFormat="1" applyBorder="1"/>
    <xf numFmtId="0" fontId="0" fillId="0" borderId="13" xfId="0" applyBorder="1"/>
    <xf numFmtId="4" fontId="0" fillId="0" borderId="0" xfId="0" applyNumberFormat="1"/>
    <xf numFmtId="0" fontId="0" fillId="0" borderId="3" xfId="0" applyBorder="1"/>
    <xf numFmtId="0" fontId="0" fillId="0" borderId="15" xfId="0" applyBorder="1"/>
    <xf numFmtId="44" fontId="0" fillId="0" borderId="15" xfId="1" applyFont="1" applyBorder="1"/>
    <xf numFmtId="10" fontId="0" fillId="0" borderId="15" xfId="3" applyNumberFormat="1" applyFont="1" applyBorder="1"/>
    <xf numFmtId="43" fontId="0" fillId="0" borderId="15" xfId="2" applyFont="1" applyBorder="1"/>
    <xf numFmtId="2" fontId="0" fillId="0" borderId="15" xfId="0" applyNumberFormat="1" applyBorder="1"/>
    <xf numFmtId="0" fontId="3" fillId="2" borderId="9" xfId="0" applyFont="1" applyFill="1" applyBorder="1"/>
    <xf numFmtId="10" fontId="3" fillId="0" borderId="6" xfId="0" applyNumberFormat="1" applyFont="1" applyBorder="1"/>
    <xf numFmtId="10" fontId="0" fillId="0" borderId="5" xfId="3" applyNumberFormat="1" applyFont="1" applyBorder="1"/>
    <xf numFmtId="10" fontId="0" fillId="0" borderId="14" xfId="3" applyNumberFormat="1" applyFont="1" applyBorder="1"/>
    <xf numFmtId="10" fontId="0" fillId="0" borderId="4" xfId="3" applyNumberFormat="1" applyFont="1" applyBorder="1"/>
  </cellXfs>
  <cellStyles count="4">
    <cellStyle name="Comma" xfId="2" builtinId="3"/>
    <cellStyle name="Currency" xfId="1" builtinId="4"/>
    <cellStyle name="Normal" xfId="0" builtinId="0"/>
    <cellStyle name="Percent" xfId="3" builtinId="5"/>
  </cellStyles>
  <dxfs count="10">
    <dxf>
      <numFmt numFmtId="12" formatCode="#,##0.00\ &quot;€&quot;;[Red]\-#,##0.00\ &quot;€&quot;"/>
      <fill>
        <patternFill patternType="none">
          <bgColor auto="1"/>
        </patternFill>
      </fill>
    </dxf>
    <dxf>
      <numFmt numFmtId="165" formatCode="_-* #,##0_-;\-* #,##0_-;_-* &quot;-&quot;??_-;_-@_-"/>
      <fill>
        <patternFill patternType="none">
          <bgColor auto="1"/>
        </patternFill>
      </fill>
    </dxf>
    <dxf>
      <numFmt numFmtId="12" formatCode="#,##0.00\ &quot;€&quot;;[Red]\-#,##0.00\ &quot;€&quot;"/>
      <fill>
        <patternFill patternType="none">
          <bgColor auto="1"/>
        </patternFill>
      </fill>
    </dxf>
    <dxf>
      <numFmt numFmtId="12" formatCode="#,##0.00\ &quot;€&quot;;[Red]\-#,##0.00\ &quot;€&quot;"/>
      <fill>
        <patternFill patternType="none">
          <bgColor auto="1"/>
        </patternFill>
      </fill>
    </dxf>
    <dxf>
      <fill>
        <patternFill patternType="none">
          <bgColor auto="1"/>
        </patternFill>
      </fill>
    </dxf>
    <dxf>
      <numFmt numFmtId="10" formatCode="#,##0\ &quot;€&quot;;[Red]\-#,##0\ &quot;€&quot;"/>
      <fill>
        <patternFill patternType="none">
          <fgColor indexed="64"/>
          <bgColor indexed="65"/>
        </patternFill>
      </fill>
    </dxf>
    <dxf>
      <fill>
        <patternFill patternType="none">
          <bgColor auto="1"/>
        </patternFill>
      </fill>
    </dxf>
    <dxf>
      <numFmt numFmtId="19" formatCode="dd/mm/yyyy"/>
      <fill>
        <patternFill patternType="none">
          <fgColor theme="7" tint="0.79998168889431442"/>
          <bgColor auto="1"/>
        </patternFill>
      </fill>
    </dxf>
    <dxf>
      <fill>
        <patternFill patternType="none">
          <bgColor auto="1"/>
        </patternFill>
      </fill>
    </dxf>
    <dxf>
      <font>
        <b val="0"/>
      </font>
      <fill>
        <patternFill patternType="none">
          <bgColor auto="1"/>
        </patternFill>
      </fill>
    </dxf>
  </dxfs>
  <tableStyles count="0" defaultTableStyle="TableStyleMedium2" defaultPivotStyle="PivotStyleLight16"/>
  <colors>
    <mruColors>
      <color rgb="FFFF9966"/>
      <color rgb="FF1A315E"/>
      <color rgb="FFB71C1C"/>
      <color rgb="FF2E7D32"/>
      <color rgb="FFC0C0C0"/>
      <color rgb="FFA6A6A6"/>
      <color rgb="FFCC0000"/>
      <color rgb="FFFF6600"/>
      <color rgb="FFFF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ichStyles" Target="richData/rich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Array" Target="richData/rdarray.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600" b="1"/>
              <a:t>G/L BreakDown.</a:t>
            </a:r>
          </a:p>
        </c:rich>
      </c:tx>
      <c:layout>
        <c:manualLayout>
          <c:xMode val="edge"/>
          <c:yMode val="edge"/>
          <c:x val="0.3922118464530776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4224867724867724"/>
          <c:y val="0.1956639566395664"/>
          <c:w val="0.82600529100529096"/>
          <c:h val="0.74471544715447158"/>
        </c:manualLayout>
      </c:layout>
      <c:barChart>
        <c:barDir val="col"/>
        <c:grouping val="clustered"/>
        <c:varyColors val="0"/>
        <c:ser>
          <c:idx val="0"/>
          <c:order val="0"/>
          <c:spPr>
            <a:solidFill>
              <a:srgbClr val="2E7D32"/>
            </a:solidFill>
            <a:ln>
              <a:noFill/>
            </a:ln>
            <a:effectLst/>
          </c:spPr>
          <c:invertIfNegative val="1"/>
          <c:cat>
            <c:strRef>
              <c:f>Insights.!$C$4:$C$16</c:f>
              <c:strCache>
                <c:ptCount val="13"/>
                <c:pt idx="0">
                  <c:v>PRG</c:v>
                </c:pt>
                <c:pt idx="1">
                  <c:v>NVD</c:v>
                </c:pt>
                <c:pt idx="2">
                  <c:v>AMZ</c:v>
                </c:pt>
                <c:pt idx="3">
                  <c:v>CMC</c:v>
                </c:pt>
                <c:pt idx="4">
                  <c:v>3V64</c:v>
                </c:pt>
                <c:pt idx="5">
                  <c:v>1YD</c:v>
                </c:pt>
                <c:pt idx="6">
                  <c:v>MSF</c:v>
                </c:pt>
                <c:pt idx="7">
                  <c:v>TSFA</c:v>
                </c:pt>
                <c:pt idx="8">
                  <c:v>YDX</c:v>
                </c:pt>
                <c:pt idx="9">
                  <c:v>FOO</c:v>
                </c:pt>
                <c:pt idx="10">
                  <c:v>0V6</c:v>
                </c:pt>
                <c:pt idx="11">
                  <c:v>639</c:v>
                </c:pt>
                <c:pt idx="12">
                  <c:v>MHL</c:v>
                </c:pt>
              </c:strCache>
            </c:strRef>
          </c:cat>
          <c:val>
            <c:numRef>
              <c:f>Insights.!$J$4:$J$16</c:f>
              <c:numCache>
                <c:formatCode>_("€"* #,##0.00_);_("€"* \(#,##0.00\);_("€"* "-"??_);_(@_)</c:formatCode>
                <c:ptCount val="13"/>
                <c:pt idx="0">
                  <c:v>2.8799999999999955</c:v>
                </c:pt>
                <c:pt idx="1">
                  <c:v>-141.25000000000011</c:v>
                </c:pt>
                <c:pt idx="2">
                  <c:v>-20.95999999999998</c:v>
                </c:pt>
                <c:pt idx="3">
                  <c:v>-9.5499999999999829</c:v>
                </c:pt>
                <c:pt idx="4">
                  <c:v>-43.200000000000045</c:v>
                </c:pt>
                <c:pt idx="5">
                  <c:v>-20.550000000000011</c:v>
                </c:pt>
                <c:pt idx="6">
                  <c:v>-93.599999999999966</c:v>
                </c:pt>
                <c:pt idx="7">
                  <c:v>85</c:v>
                </c:pt>
                <c:pt idx="8">
                  <c:v>40</c:v>
                </c:pt>
                <c:pt idx="9">
                  <c:v>-61.980000000000018</c:v>
                </c:pt>
                <c:pt idx="10">
                  <c:v>3.3000000000000114</c:v>
                </c:pt>
                <c:pt idx="11">
                  <c:v>28.800000000000011</c:v>
                </c:pt>
                <c:pt idx="12">
                  <c:v>-19.170000000000016</c:v>
                </c:pt>
              </c:numCache>
            </c:numRef>
          </c:val>
          <c:extLst>
            <c:ext xmlns:c14="http://schemas.microsoft.com/office/drawing/2007/8/2/chart" uri="{6F2FDCE9-48DA-4B69-8628-5D25D57E5C99}">
              <c14:invertSolidFillFmt>
                <c14:spPr xmlns:c14="http://schemas.microsoft.com/office/drawing/2007/8/2/chart">
                  <a:solidFill>
                    <a:srgbClr val="B71C1C"/>
                  </a:solidFill>
                  <a:ln>
                    <a:noFill/>
                  </a:ln>
                  <a:effectLst/>
                </c14:spPr>
              </c14:invertSolidFillFmt>
            </c:ext>
            <c:ext xmlns:c16="http://schemas.microsoft.com/office/drawing/2014/chart" uri="{C3380CC4-5D6E-409C-BE32-E72D297353CC}">
              <c16:uniqueId val="{00000000-6252-4442-88AA-8E5C3BF4304F}"/>
            </c:ext>
          </c:extLst>
        </c:ser>
        <c:dLbls>
          <c:showLegendKey val="0"/>
          <c:showVal val="0"/>
          <c:showCatName val="0"/>
          <c:showSerName val="0"/>
          <c:showPercent val="0"/>
          <c:showBubbleSize val="0"/>
        </c:dLbls>
        <c:gapWidth val="219"/>
        <c:overlap val="-27"/>
        <c:axId val="1445382560"/>
        <c:axId val="1445380640"/>
      </c:barChart>
      <c:catAx>
        <c:axId val="14453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45380640"/>
        <c:crosses val="autoZero"/>
        <c:auto val="1"/>
        <c:lblAlgn val="ctr"/>
        <c:lblOffset val="100"/>
        <c:noMultiLvlLbl val="0"/>
      </c:catAx>
      <c:valAx>
        <c:axId val="1445380640"/>
        <c:scaling>
          <c:orientation val="minMax"/>
        </c:scaling>
        <c:delete val="1"/>
        <c:axPos val="l"/>
        <c:numFmt formatCode="_(&quot;€&quot;* #,##0.00_);_(&quot;€&quot;* \(#,##0.00\);_(&quot;€&quot;* &quot;-&quot;??_);_(@_)" sourceLinked="1"/>
        <c:majorTickMark val="none"/>
        <c:minorTickMark val="none"/>
        <c:tickLblPos val="nextTo"/>
        <c:crossAx val="14453825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22960725075532E-2"/>
          <c:y val="9.6280753367367536E-2"/>
          <c:w val="0.68609478951082781"/>
          <c:h val="0.83185851768528929"/>
        </c:manualLayout>
      </c:layout>
      <c:barChart>
        <c:barDir val="bar"/>
        <c:grouping val="clustered"/>
        <c:varyColors val="0"/>
        <c:ser>
          <c:idx val="0"/>
          <c:order val="0"/>
          <c:spPr>
            <a:solidFill>
              <a:srgbClr val="1A315E"/>
            </a:solidFill>
            <a:ln w="19050">
              <a:solidFill>
                <a:schemeClr val="lt1"/>
              </a:solidFill>
            </a:ln>
            <a:effectLst/>
          </c:spPr>
          <c:invertIfNegative val="0"/>
          <c:dPt>
            <c:idx val="0"/>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1-F870-48FF-80B0-C4E5FCB5856E}"/>
              </c:ext>
            </c:extLst>
          </c:dPt>
          <c:dPt>
            <c:idx val="1"/>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3-F870-48FF-80B0-C4E5FCB5856E}"/>
              </c:ext>
            </c:extLst>
          </c:dPt>
          <c:dPt>
            <c:idx val="2"/>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5-F870-48FF-80B0-C4E5FCB5856E}"/>
              </c:ext>
            </c:extLst>
          </c:dPt>
          <c:dPt>
            <c:idx val="3"/>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7-F870-48FF-80B0-C4E5FCB5856E}"/>
              </c:ext>
            </c:extLst>
          </c:dPt>
          <c:dPt>
            <c:idx val="4"/>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9-F870-48FF-80B0-C4E5FCB5856E}"/>
              </c:ext>
            </c:extLst>
          </c:dPt>
          <c:dPt>
            <c:idx val="5"/>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B-F870-48FF-80B0-C4E5FCB5856E}"/>
              </c:ext>
            </c:extLst>
          </c:dPt>
          <c:dPt>
            <c:idx val="6"/>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D-F870-48FF-80B0-C4E5FCB5856E}"/>
              </c:ext>
            </c:extLst>
          </c:dPt>
          <c:dPt>
            <c:idx val="7"/>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0F-F870-48FF-80B0-C4E5FCB5856E}"/>
              </c:ext>
            </c:extLst>
          </c:dPt>
          <c:dPt>
            <c:idx val="8"/>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11-F870-48FF-80B0-C4E5FCB5856E}"/>
              </c:ext>
            </c:extLst>
          </c:dPt>
          <c:dPt>
            <c:idx val="9"/>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13-F870-48FF-80B0-C4E5FCB5856E}"/>
              </c:ext>
            </c:extLst>
          </c:dPt>
          <c:dPt>
            <c:idx val="10"/>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15-F870-48FF-80B0-C4E5FCB5856E}"/>
              </c:ext>
            </c:extLst>
          </c:dPt>
          <c:dPt>
            <c:idx val="11"/>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17-F870-48FF-80B0-C4E5FCB5856E}"/>
              </c:ext>
            </c:extLst>
          </c:dPt>
          <c:dPt>
            <c:idx val="12"/>
            <c:invertIfNegative val="0"/>
            <c:bubble3D val="0"/>
            <c:spPr>
              <a:solidFill>
                <a:srgbClr val="1A315E"/>
              </a:solidFill>
              <a:ln w="19050">
                <a:solidFill>
                  <a:schemeClr val="lt1"/>
                </a:solidFill>
              </a:ln>
              <a:effectLst/>
            </c:spPr>
            <c:extLst>
              <c:ext xmlns:c16="http://schemas.microsoft.com/office/drawing/2014/chart" uri="{C3380CC4-5D6E-409C-BE32-E72D297353CC}">
                <c16:uniqueId val="{00000019-F870-48FF-80B0-C4E5FCB5856E}"/>
              </c:ext>
            </c:extLst>
          </c:dPt>
          <c:dLbls>
            <c:spPr>
              <a:noFill/>
              <a:ln>
                <a:noFill/>
              </a:ln>
              <a:effectLst/>
            </c:spPr>
            <c:txPr>
              <a:bodyPr rot="0" spcFirstLastPara="1" vertOverflow="ellipsis" vert="horz" wrap="square" lIns="38100" tIns="19050" rIns="38100" bIns="19050" anchor="ctr" anchorCtr="1">
                <a:spAutoFit/>
              </a:bodyPr>
              <a:lstStyle/>
              <a:p>
                <a:pPr>
                  <a:defRPr sz="750" b="1" i="1" u="none" strike="noStrike" kern="1200" baseline="0">
                    <a:solidFill>
                      <a:schemeClr val="bg2"/>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Insights.!$C$4:$C$16</c:f>
              <c:strCache>
                <c:ptCount val="13"/>
                <c:pt idx="0">
                  <c:v>PRG</c:v>
                </c:pt>
                <c:pt idx="1">
                  <c:v>NVD</c:v>
                </c:pt>
                <c:pt idx="2">
                  <c:v>AMZ</c:v>
                </c:pt>
                <c:pt idx="3">
                  <c:v>CMC</c:v>
                </c:pt>
                <c:pt idx="4">
                  <c:v>3V64</c:v>
                </c:pt>
                <c:pt idx="5">
                  <c:v>1YD</c:v>
                </c:pt>
                <c:pt idx="6">
                  <c:v>MSF</c:v>
                </c:pt>
                <c:pt idx="7">
                  <c:v>TSFA</c:v>
                </c:pt>
                <c:pt idx="8">
                  <c:v>YDX</c:v>
                </c:pt>
                <c:pt idx="9">
                  <c:v>FOO</c:v>
                </c:pt>
                <c:pt idx="10">
                  <c:v>0V6</c:v>
                </c:pt>
                <c:pt idx="11">
                  <c:v>639</c:v>
                </c:pt>
                <c:pt idx="12">
                  <c:v>MHL</c:v>
                </c:pt>
              </c:strCache>
            </c:strRef>
          </c:cat>
          <c:val>
            <c:numRef>
              <c:f>Insights.!$H$4:$H$16</c:f>
              <c:numCache>
                <c:formatCode>0.00%</c:formatCode>
                <c:ptCount val="13"/>
                <c:pt idx="0">
                  <c:v>6.7329530019016565E-2</c:v>
                </c:pt>
                <c:pt idx="1">
                  <c:v>0.11223037218147242</c:v>
                </c:pt>
                <c:pt idx="2">
                  <c:v>6.6452956624105775E-2</c:v>
                </c:pt>
                <c:pt idx="3">
                  <c:v>4.6210268948655257E-2</c:v>
                </c:pt>
                <c:pt idx="4">
                  <c:v>9.5626188535723994E-2</c:v>
                </c:pt>
                <c:pt idx="5">
                  <c:v>5.0058860816807021E-2</c:v>
                </c:pt>
                <c:pt idx="6">
                  <c:v>5.8145431495064751E-2</c:v>
                </c:pt>
                <c:pt idx="7">
                  <c:v>0.10830390292492982</c:v>
                </c:pt>
                <c:pt idx="8">
                  <c:v>7.3892963868513989E-2</c:v>
                </c:pt>
                <c:pt idx="9">
                  <c:v>8.5161640858462381E-2</c:v>
                </c:pt>
                <c:pt idx="10">
                  <c:v>7.2507470795979342E-2</c:v>
                </c:pt>
                <c:pt idx="11">
                  <c:v>7.556823326994476E-2</c:v>
                </c:pt>
                <c:pt idx="12">
                  <c:v>6.4366567056053606E-2</c:v>
                </c:pt>
              </c:numCache>
            </c:numRef>
          </c:val>
          <c:extLst>
            <c:ext xmlns:c16="http://schemas.microsoft.com/office/drawing/2014/chart" uri="{C3380CC4-5D6E-409C-BE32-E72D297353CC}">
              <c16:uniqueId val="{0000001A-F870-48FF-80B0-C4E5FCB5856E}"/>
            </c:ext>
          </c:extLst>
        </c:ser>
        <c:dLbls>
          <c:showLegendKey val="0"/>
          <c:showVal val="0"/>
          <c:showCatName val="0"/>
          <c:showSerName val="0"/>
          <c:showPercent val="0"/>
          <c:showBubbleSize val="0"/>
        </c:dLbls>
        <c:gapWidth val="100"/>
        <c:axId val="823786335"/>
        <c:axId val="823788735"/>
      </c:barChart>
      <c:valAx>
        <c:axId val="82378873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it-IT"/>
          </a:p>
        </c:txPr>
        <c:crossAx val="823786335"/>
        <c:crosses val="autoZero"/>
        <c:crossBetween val="between"/>
      </c:valAx>
      <c:catAx>
        <c:axId val="8237863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cap="none" spc="0" normalizeH="0" baseline="0">
                <a:solidFill>
                  <a:schemeClr val="dk1">
                    <a:lumMod val="65000"/>
                    <a:lumOff val="35000"/>
                  </a:schemeClr>
                </a:solidFill>
                <a:latin typeface="+mn-lt"/>
                <a:ea typeface="+mn-ea"/>
                <a:cs typeface="+mn-cs"/>
              </a:defRPr>
            </a:pPr>
            <a:endParaRPr lang="it-IT"/>
          </a:p>
        </c:txPr>
        <c:crossAx val="823788735"/>
        <c:crosses val="autoZero"/>
        <c:auto val="1"/>
        <c:lblAlgn val="ctr"/>
        <c:lblOffset val="100"/>
        <c:noMultiLvlLbl val="0"/>
      </c:catAx>
      <c:spPr>
        <a:noFill/>
        <a:ln w="25400">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t-IT" b="1"/>
              <a:t>MyP. vs BenchMarks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DataBase.!$AO$2</c:f>
              <c:strCache>
                <c:ptCount val="1"/>
                <c:pt idx="0">
                  <c:v> MyP. </c:v>
                </c:pt>
              </c:strCache>
            </c:strRef>
          </c:tx>
          <c:spPr>
            <a:ln w="28575" cap="rnd">
              <a:solidFill>
                <a:srgbClr val="1A315E"/>
              </a:solidFill>
              <a:round/>
            </a:ln>
            <a:effectLst/>
          </c:spPr>
          <c:marker>
            <c:symbol val="none"/>
          </c:marker>
          <c:cat>
            <c:numRef>
              <c:f>DataBase.!$AG$3:$AG$268</c:f>
              <c:numCache>
                <c:formatCode>m/d/yyyy</c:formatCode>
                <c:ptCount val="266"/>
                <c:pt idx="0">
                  <c:v>45659</c:v>
                </c:pt>
                <c:pt idx="1">
                  <c:v>45660</c:v>
                </c:pt>
                <c:pt idx="2">
                  <c:v>45663</c:v>
                </c:pt>
                <c:pt idx="3">
                  <c:v>45664</c:v>
                </c:pt>
                <c:pt idx="4">
                  <c:v>45665</c:v>
                </c:pt>
                <c:pt idx="5">
                  <c:v>45666</c:v>
                </c:pt>
                <c:pt idx="6">
                  <c:v>45667</c:v>
                </c:pt>
                <c:pt idx="7">
                  <c:v>45670</c:v>
                </c:pt>
                <c:pt idx="8">
                  <c:v>45671</c:v>
                </c:pt>
                <c:pt idx="9">
                  <c:v>45672</c:v>
                </c:pt>
                <c:pt idx="10">
                  <c:v>45673</c:v>
                </c:pt>
                <c:pt idx="11">
                  <c:v>45674</c:v>
                </c:pt>
                <c:pt idx="12">
                  <c:v>45677</c:v>
                </c:pt>
                <c:pt idx="13">
                  <c:v>45678</c:v>
                </c:pt>
                <c:pt idx="14">
                  <c:v>45679</c:v>
                </c:pt>
                <c:pt idx="15">
                  <c:v>45680</c:v>
                </c:pt>
                <c:pt idx="16">
                  <c:v>45681</c:v>
                </c:pt>
                <c:pt idx="17">
                  <c:v>45684</c:v>
                </c:pt>
                <c:pt idx="18">
                  <c:v>45685</c:v>
                </c:pt>
                <c:pt idx="19">
                  <c:v>45686</c:v>
                </c:pt>
                <c:pt idx="20">
                  <c:v>45687</c:v>
                </c:pt>
                <c:pt idx="21">
                  <c:v>45688</c:v>
                </c:pt>
                <c:pt idx="22">
                  <c:v>45691</c:v>
                </c:pt>
                <c:pt idx="23">
                  <c:v>45692</c:v>
                </c:pt>
                <c:pt idx="24">
                  <c:v>45693</c:v>
                </c:pt>
                <c:pt idx="25">
                  <c:v>45694</c:v>
                </c:pt>
                <c:pt idx="26">
                  <c:v>45695</c:v>
                </c:pt>
                <c:pt idx="27">
                  <c:v>45698</c:v>
                </c:pt>
                <c:pt idx="28">
                  <c:v>45699</c:v>
                </c:pt>
                <c:pt idx="29">
                  <c:v>45700</c:v>
                </c:pt>
                <c:pt idx="30">
                  <c:v>45701</c:v>
                </c:pt>
                <c:pt idx="31">
                  <c:v>45702</c:v>
                </c:pt>
                <c:pt idx="32">
                  <c:v>45705</c:v>
                </c:pt>
                <c:pt idx="33">
                  <c:v>45706</c:v>
                </c:pt>
                <c:pt idx="34">
                  <c:v>45707</c:v>
                </c:pt>
                <c:pt idx="35">
                  <c:v>45708</c:v>
                </c:pt>
                <c:pt idx="36">
                  <c:v>45709</c:v>
                </c:pt>
                <c:pt idx="37">
                  <c:v>45712</c:v>
                </c:pt>
                <c:pt idx="38">
                  <c:v>45713</c:v>
                </c:pt>
                <c:pt idx="39">
                  <c:v>45714</c:v>
                </c:pt>
                <c:pt idx="40">
                  <c:v>45715</c:v>
                </c:pt>
                <c:pt idx="41">
                  <c:v>45716</c:v>
                </c:pt>
                <c:pt idx="42">
                  <c:v>45719</c:v>
                </c:pt>
                <c:pt idx="43">
                  <c:v>45720</c:v>
                </c:pt>
                <c:pt idx="44">
                  <c:v>45721</c:v>
                </c:pt>
                <c:pt idx="45">
                  <c:v>45722</c:v>
                </c:pt>
                <c:pt idx="46">
                  <c:v>45723</c:v>
                </c:pt>
                <c:pt idx="47">
                  <c:v>45726</c:v>
                </c:pt>
                <c:pt idx="48">
                  <c:v>45727</c:v>
                </c:pt>
                <c:pt idx="49">
                  <c:v>45728</c:v>
                </c:pt>
                <c:pt idx="50">
                  <c:v>45729</c:v>
                </c:pt>
                <c:pt idx="51">
                  <c:v>45730</c:v>
                </c:pt>
                <c:pt idx="52">
                  <c:v>45733</c:v>
                </c:pt>
                <c:pt idx="53">
                  <c:v>45734</c:v>
                </c:pt>
                <c:pt idx="54">
                  <c:v>45735</c:v>
                </c:pt>
                <c:pt idx="55">
                  <c:v>45736</c:v>
                </c:pt>
                <c:pt idx="56">
                  <c:v>45737</c:v>
                </c:pt>
                <c:pt idx="57">
                  <c:v>45740</c:v>
                </c:pt>
                <c:pt idx="58">
                  <c:v>45741</c:v>
                </c:pt>
                <c:pt idx="59">
                  <c:v>45742</c:v>
                </c:pt>
                <c:pt idx="60">
                  <c:v>45743</c:v>
                </c:pt>
                <c:pt idx="61">
                  <c:v>45744</c:v>
                </c:pt>
                <c:pt idx="62">
                  <c:v>45747</c:v>
                </c:pt>
                <c:pt idx="63">
                  <c:v>45748</c:v>
                </c:pt>
                <c:pt idx="64">
                  <c:v>45749</c:v>
                </c:pt>
                <c:pt idx="65">
                  <c:v>45750</c:v>
                </c:pt>
                <c:pt idx="66">
                  <c:v>45751</c:v>
                </c:pt>
                <c:pt idx="67">
                  <c:v>45754</c:v>
                </c:pt>
                <c:pt idx="68">
                  <c:v>45755</c:v>
                </c:pt>
                <c:pt idx="69">
                  <c:v>45756</c:v>
                </c:pt>
                <c:pt idx="70">
                  <c:v>45757</c:v>
                </c:pt>
                <c:pt idx="71">
                  <c:v>45758</c:v>
                </c:pt>
                <c:pt idx="72">
                  <c:v>45761</c:v>
                </c:pt>
                <c:pt idx="73">
                  <c:v>45762</c:v>
                </c:pt>
                <c:pt idx="74">
                  <c:v>45763</c:v>
                </c:pt>
                <c:pt idx="75">
                  <c:v>45764</c:v>
                </c:pt>
                <c:pt idx="76">
                  <c:v>45769</c:v>
                </c:pt>
                <c:pt idx="77">
                  <c:v>45770</c:v>
                </c:pt>
                <c:pt idx="78">
                  <c:v>45771</c:v>
                </c:pt>
                <c:pt idx="79">
                  <c:v>45772</c:v>
                </c:pt>
                <c:pt idx="80">
                  <c:v>45775</c:v>
                </c:pt>
                <c:pt idx="81">
                  <c:v>45776</c:v>
                </c:pt>
                <c:pt idx="82">
                  <c:v>45777</c:v>
                </c:pt>
                <c:pt idx="83">
                  <c:v>45779</c:v>
                </c:pt>
                <c:pt idx="84">
                  <c:v>45782</c:v>
                </c:pt>
                <c:pt idx="85">
                  <c:v>45783</c:v>
                </c:pt>
                <c:pt idx="86">
                  <c:v>45784</c:v>
                </c:pt>
                <c:pt idx="87">
                  <c:v>45785</c:v>
                </c:pt>
                <c:pt idx="88">
                  <c:v>45786</c:v>
                </c:pt>
                <c:pt idx="89">
                  <c:v>45789</c:v>
                </c:pt>
                <c:pt idx="90">
                  <c:v>45790</c:v>
                </c:pt>
                <c:pt idx="91">
                  <c:v>45791</c:v>
                </c:pt>
                <c:pt idx="92">
                  <c:v>45792</c:v>
                </c:pt>
                <c:pt idx="93">
                  <c:v>45793</c:v>
                </c:pt>
                <c:pt idx="94">
                  <c:v>45796</c:v>
                </c:pt>
                <c:pt idx="95">
                  <c:v>45797</c:v>
                </c:pt>
                <c:pt idx="96">
                  <c:v>45798</c:v>
                </c:pt>
                <c:pt idx="97">
                  <c:v>45799</c:v>
                </c:pt>
                <c:pt idx="98">
                  <c:v>45800</c:v>
                </c:pt>
                <c:pt idx="99">
                  <c:v>45803</c:v>
                </c:pt>
                <c:pt idx="100">
                  <c:v>45804</c:v>
                </c:pt>
                <c:pt idx="101">
                  <c:v>45805</c:v>
                </c:pt>
                <c:pt idx="102">
                  <c:v>45806</c:v>
                </c:pt>
                <c:pt idx="103">
                  <c:v>45807</c:v>
                </c:pt>
                <c:pt idx="104">
                  <c:v>45810</c:v>
                </c:pt>
                <c:pt idx="105">
                  <c:v>45811</c:v>
                </c:pt>
                <c:pt idx="106">
                  <c:v>45812</c:v>
                </c:pt>
                <c:pt idx="107">
                  <c:v>45813</c:v>
                </c:pt>
                <c:pt idx="108">
                  <c:v>45814</c:v>
                </c:pt>
                <c:pt idx="109">
                  <c:v>45817</c:v>
                </c:pt>
                <c:pt idx="110">
                  <c:v>45818</c:v>
                </c:pt>
                <c:pt idx="111">
                  <c:v>45819</c:v>
                </c:pt>
                <c:pt idx="112">
                  <c:v>45820</c:v>
                </c:pt>
                <c:pt idx="113">
                  <c:v>45821</c:v>
                </c:pt>
                <c:pt idx="114">
                  <c:v>45824</c:v>
                </c:pt>
                <c:pt idx="115">
                  <c:v>45825</c:v>
                </c:pt>
                <c:pt idx="116">
                  <c:v>45826</c:v>
                </c:pt>
                <c:pt idx="117">
                  <c:v>45827</c:v>
                </c:pt>
                <c:pt idx="118">
                  <c:v>45828</c:v>
                </c:pt>
                <c:pt idx="119">
                  <c:v>45831</c:v>
                </c:pt>
                <c:pt idx="120">
                  <c:v>45832</c:v>
                </c:pt>
                <c:pt idx="121">
                  <c:v>45833</c:v>
                </c:pt>
                <c:pt idx="122">
                  <c:v>45834</c:v>
                </c:pt>
                <c:pt idx="123">
                  <c:v>45835</c:v>
                </c:pt>
                <c:pt idx="124">
                  <c:v>45838</c:v>
                </c:pt>
                <c:pt idx="125">
                  <c:v>45839</c:v>
                </c:pt>
                <c:pt idx="126">
                  <c:v>45840</c:v>
                </c:pt>
                <c:pt idx="127">
                  <c:v>45841</c:v>
                </c:pt>
                <c:pt idx="128">
                  <c:v>45842</c:v>
                </c:pt>
                <c:pt idx="129">
                  <c:v>45845</c:v>
                </c:pt>
                <c:pt idx="130">
                  <c:v>45846</c:v>
                </c:pt>
                <c:pt idx="131">
                  <c:v>45847</c:v>
                </c:pt>
                <c:pt idx="132">
                  <c:v>45848</c:v>
                </c:pt>
                <c:pt idx="133">
                  <c:v>45849</c:v>
                </c:pt>
                <c:pt idx="134">
                  <c:v>45852</c:v>
                </c:pt>
                <c:pt idx="135">
                  <c:v>45853</c:v>
                </c:pt>
                <c:pt idx="136">
                  <c:v>45854</c:v>
                </c:pt>
                <c:pt idx="137">
                  <c:v>45855</c:v>
                </c:pt>
                <c:pt idx="138">
                  <c:v>45856</c:v>
                </c:pt>
                <c:pt idx="139">
                  <c:v>45859</c:v>
                </c:pt>
                <c:pt idx="140">
                  <c:v>45860</c:v>
                </c:pt>
                <c:pt idx="141">
                  <c:v>45861</c:v>
                </c:pt>
                <c:pt idx="142">
                  <c:v>45862</c:v>
                </c:pt>
                <c:pt idx="143">
                  <c:v>45863</c:v>
                </c:pt>
                <c:pt idx="144">
                  <c:v>45866</c:v>
                </c:pt>
                <c:pt idx="145">
                  <c:v>45867</c:v>
                </c:pt>
                <c:pt idx="146">
                  <c:v>45868</c:v>
                </c:pt>
                <c:pt idx="147">
                  <c:v>45869</c:v>
                </c:pt>
                <c:pt idx="148">
                  <c:v>45870</c:v>
                </c:pt>
                <c:pt idx="149">
                  <c:v>45873</c:v>
                </c:pt>
                <c:pt idx="150">
                  <c:v>45874</c:v>
                </c:pt>
                <c:pt idx="151">
                  <c:v>45875</c:v>
                </c:pt>
                <c:pt idx="152">
                  <c:v>45876</c:v>
                </c:pt>
                <c:pt idx="153">
                  <c:v>45877</c:v>
                </c:pt>
                <c:pt idx="154">
                  <c:v>45880</c:v>
                </c:pt>
                <c:pt idx="155">
                  <c:v>45881</c:v>
                </c:pt>
                <c:pt idx="156">
                  <c:v>45882</c:v>
                </c:pt>
                <c:pt idx="157">
                  <c:v>45883</c:v>
                </c:pt>
                <c:pt idx="158">
                  <c:v>45884</c:v>
                </c:pt>
                <c:pt idx="159">
                  <c:v>45887</c:v>
                </c:pt>
                <c:pt idx="160">
                  <c:v>45888</c:v>
                </c:pt>
                <c:pt idx="161">
                  <c:v>45889</c:v>
                </c:pt>
                <c:pt idx="162">
                  <c:v>45890</c:v>
                </c:pt>
                <c:pt idx="163">
                  <c:v>45891</c:v>
                </c:pt>
                <c:pt idx="164">
                  <c:v>45894</c:v>
                </c:pt>
                <c:pt idx="165">
                  <c:v>45895</c:v>
                </c:pt>
                <c:pt idx="166">
                  <c:v>45896</c:v>
                </c:pt>
                <c:pt idx="167">
                  <c:v>45897</c:v>
                </c:pt>
                <c:pt idx="168">
                  <c:v>45898</c:v>
                </c:pt>
                <c:pt idx="169">
                  <c:v>45901</c:v>
                </c:pt>
                <c:pt idx="170">
                  <c:v>45902</c:v>
                </c:pt>
                <c:pt idx="171">
                  <c:v>45903</c:v>
                </c:pt>
                <c:pt idx="172">
                  <c:v>45904</c:v>
                </c:pt>
                <c:pt idx="173">
                  <c:v>45905</c:v>
                </c:pt>
                <c:pt idx="174">
                  <c:v>45908</c:v>
                </c:pt>
                <c:pt idx="175">
                  <c:v>45909</c:v>
                </c:pt>
                <c:pt idx="176">
                  <c:v>45910</c:v>
                </c:pt>
                <c:pt idx="177">
                  <c:v>45911</c:v>
                </c:pt>
                <c:pt idx="178">
                  <c:v>45912</c:v>
                </c:pt>
                <c:pt idx="179">
                  <c:v>45915</c:v>
                </c:pt>
                <c:pt idx="180">
                  <c:v>45916</c:v>
                </c:pt>
                <c:pt idx="181">
                  <c:v>45917</c:v>
                </c:pt>
                <c:pt idx="182">
                  <c:v>45918</c:v>
                </c:pt>
                <c:pt idx="183">
                  <c:v>45919</c:v>
                </c:pt>
                <c:pt idx="184">
                  <c:v>45922</c:v>
                </c:pt>
                <c:pt idx="185">
                  <c:v>45923</c:v>
                </c:pt>
                <c:pt idx="186">
                  <c:v>45924</c:v>
                </c:pt>
                <c:pt idx="187">
                  <c:v>45925</c:v>
                </c:pt>
                <c:pt idx="188">
                  <c:v>45926</c:v>
                </c:pt>
                <c:pt idx="189">
                  <c:v>45929</c:v>
                </c:pt>
                <c:pt idx="190">
                  <c:v>45930</c:v>
                </c:pt>
                <c:pt idx="191">
                  <c:v>45931</c:v>
                </c:pt>
                <c:pt idx="192">
                  <c:v>45932</c:v>
                </c:pt>
                <c:pt idx="193">
                  <c:v>45933</c:v>
                </c:pt>
                <c:pt idx="194">
                  <c:v>45936</c:v>
                </c:pt>
                <c:pt idx="195">
                  <c:v>45937</c:v>
                </c:pt>
                <c:pt idx="196">
                  <c:v>45938</c:v>
                </c:pt>
                <c:pt idx="197">
                  <c:v>45939</c:v>
                </c:pt>
                <c:pt idx="198">
                  <c:v>45940</c:v>
                </c:pt>
                <c:pt idx="199">
                  <c:v>45943</c:v>
                </c:pt>
                <c:pt idx="200">
                  <c:v>45944</c:v>
                </c:pt>
                <c:pt idx="201">
                  <c:v>45945</c:v>
                </c:pt>
                <c:pt idx="202">
                  <c:v>45946</c:v>
                </c:pt>
                <c:pt idx="203">
                  <c:v>45947</c:v>
                </c:pt>
                <c:pt idx="204">
                  <c:v>45950</c:v>
                </c:pt>
                <c:pt idx="205">
                  <c:v>45951</c:v>
                </c:pt>
                <c:pt idx="206">
                  <c:v>45952</c:v>
                </c:pt>
                <c:pt idx="207">
                  <c:v>45953</c:v>
                </c:pt>
                <c:pt idx="208">
                  <c:v>45954</c:v>
                </c:pt>
                <c:pt idx="209">
                  <c:v>45957</c:v>
                </c:pt>
                <c:pt idx="210">
                  <c:v>45958</c:v>
                </c:pt>
                <c:pt idx="211">
                  <c:v>45959</c:v>
                </c:pt>
                <c:pt idx="212">
                  <c:v>45960</c:v>
                </c:pt>
                <c:pt idx="213">
                  <c:v>45961</c:v>
                </c:pt>
                <c:pt idx="214">
                  <c:v>45964</c:v>
                </c:pt>
                <c:pt idx="215">
                  <c:v>45965</c:v>
                </c:pt>
                <c:pt idx="216">
                  <c:v>45966</c:v>
                </c:pt>
                <c:pt idx="217">
                  <c:v>45967</c:v>
                </c:pt>
                <c:pt idx="218">
                  <c:v>45968</c:v>
                </c:pt>
                <c:pt idx="219">
                  <c:v>45971</c:v>
                </c:pt>
                <c:pt idx="220">
                  <c:v>45972</c:v>
                </c:pt>
                <c:pt idx="221">
                  <c:v>45973</c:v>
                </c:pt>
                <c:pt idx="222">
                  <c:v>45974</c:v>
                </c:pt>
                <c:pt idx="223">
                  <c:v>45975</c:v>
                </c:pt>
                <c:pt idx="224">
                  <c:v>45978</c:v>
                </c:pt>
                <c:pt idx="225">
                  <c:v>45979</c:v>
                </c:pt>
                <c:pt idx="226">
                  <c:v>45980</c:v>
                </c:pt>
                <c:pt idx="227">
                  <c:v>45981</c:v>
                </c:pt>
                <c:pt idx="228">
                  <c:v>45982</c:v>
                </c:pt>
                <c:pt idx="229">
                  <c:v>45985</c:v>
                </c:pt>
                <c:pt idx="230">
                  <c:v>45986</c:v>
                </c:pt>
                <c:pt idx="231">
                  <c:v>45987</c:v>
                </c:pt>
                <c:pt idx="232">
                  <c:v>45988</c:v>
                </c:pt>
                <c:pt idx="233">
                  <c:v>45989</c:v>
                </c:pt>
                <c:pt idx="234">
                  <c:v>45992</c:v>
                </c:pt>
                <c:pt idx="235">
                  <c:v>45993</c:v>
                </c:pt>
                <c:pt idx="236">
                  <c:v>45994</c:v>
                </c:pt>
                <c:pt idx="237">
                  <c:v>45995</c:v>
                </c:pt>
                <c:pt idx="238">
                  <c:v>45996</c:v>
                </c:pt>
                <c:pt idx="239">
                  <c:v>45999</c:v>
                </c:pt>
                <c:pt idx="240">
                  <c:v>46000</c:v>
                </c:pt>
                <c:pt idx="241">
                  <c:v>46001</c:v>
                </c:pt>
                <c:pt idx="242">
                  <c:v>46002</c:v>
                </c:pt>
                <c:pt idx="243">
                  <c:v>46003</c:v>
                </c:pt>
                <c:pt idx="244">
                  <c:v>46006</c:v>
                </c:pt>
                <c:pt idx="245">
                  <c:v>46007</c:v>
                </c:pt>
                <c:pt idx="246">
                  <c:v>46008</c:v>
                </c:pt>
                <c:pt idx="247">
                  <c:v>46009</c:v>
                </c:pt>
                <c:pt idx="248">
                  <c:v>46010</c:v>
                </c:pt>
                <c:pt idx="249">
                  <c:v>46013</c:v>
                </c:pt>
                <c:pt idx="250">
                  <c:v>46014</c:v>
                </c:pt>
                <c:pt idx="251">
                  <c:v>46020</c:v>
                </c:pt>
                <c:pt idx="252">
                  <c:v>46021</c:v>
                </c:pt>
                <c:pt idx="253">
                  <c:v>46024</c:v>
                </c:pt>
                <c:pt idx="254">
                  <c:v>46027</c:v>
                </c:pt>
                <c:pt idx="255">
                  <c:v>46028</c:v>
                </c:pt>
                <c:pt idx="256">
                  <c:v>46029</c:v>
                </c:pt>
                <c:pt idx="257">
                  <c:v>46030</c:v>
                </c:pt>
                <c:pt idx="258">
                  <c:v>46031</c:v>
                </c:pt>
                <c:pt idx="259">
                  <c:v>46034</c:v>
                </c:pt>
                <c:pt idx="260">
                  <c:v>46035</c:v>
                </c:pt>
                <c:pt idx="261">
                  <c:v>46036</c:v>
                </c:pt>
                <c:pt idx="262">
                  <c:v>46037</c:v>
                </c:pt>
                <c:pt idx="263">
                  <c:v>46038</c:v>
                </c:pt>
                <c:pt idx="264">
                  <c:v>46041</c:v>
                </c:pt>
                <c:pt idx="265">
                  <c:v>46042</c:v>
                </c:pt>
              </c:numCache>
            </c:numRef>
          </c:cat>
          <c:val>
            <c:numRef>
              <c:f>DataBase.!$AO$3:$AO$268</c:f>
              <c:numCache>
                <c:formatCode>_(* #,##0.00_);_(* \(#,##0.00\);_(* "-"??_);_(@_)</c:formatCode>
                <c:ptCount val="266"/>
                <c:pt idx="0">
                  <c:v>100</c:v>
                </c:pt>
                <c:pt idx="1">
                  <c:v>100.60698178333946</c:v>
                </c:pt>
                <c:pt idx="2">
                  <c:v>100.5455268889135</c:v>
                </c:pt>
                <c:pt idx="3">
                  <c:v>100.14538204708762</c:v>
                </c:pt>
                <c:pt idx="4">
                  <c:v>100.12318749193668</c:v>
                </c:pt>
                <c:pt idx="5">
                  <c:v>100.68919292022927</c:v>
                </c:pt>
                <c:pt idx="6">
                  <c:v>99.357568804360596</c:v>
                </c:pt>
                <c:pt idx="7">
                  <c:v>99.453571424523446</c:v>
                </c:pt>
                <c:pt idx="8">
                  <c:v>99.784041385749362</c:v>
                </c:pt>
                <c:pt idx="9">
                  <c:v>101.3852163934383</c:v>
                </c:pt>
                <c:pt idx="10">
                  <c:v>102.13420510347768</c:v>
                </c:pt>
                <c:pt idx="11">
                  <c:v>102.77023438184038</c:v>
                </c:pt>
                <c:pt idx="12">
                  <c:v>102.8097273728464</c:v>
                </c:pt>
                <c:pt idx="13">
                  <c:v>102.9597305664437</c:v>
                </c:pt>
                <c:pt idx="14">
                  <c:v>104.43767400386308</c:v>
                </c:pt>
                <c:pt idx="15">
                  <c:v>104.53003359860865</c:v>
                </c:pt>
                <c:pt idx="16">
                  <c:v>104.09236538327478</c:v>
                </c:pt>
                <c:pt idx="17">
                  <c:v>100.43386872891776</c:v>
                </c:pt>
                <c:pt idx="18">
                  <c:v>102.70539927951562</c:v>
                </c:pt>
                <c:pt idx="19">
                  <c:v>103.31132566837857</c:v>
                </c:pt>
                <c:pt idx="20">
                  <c:v>104.37717111274421</c:v>
                </c:pt>
                <c:pt idx="21">
                  <c:v>104.75736701182812</c:v>
                </c:pt>
                <c:pt idx="22">
                  <c:v>104.39318208284504</c:v>
                </c:pt>
                <c:pt idx="23">
                  <c:v>104.88377561931192</c:v>
                </c:pt>
                <c:pt idx="24">
                  <c:v>105.77968751301171</c:v>
                </c:pt>
                <c:pt idx="25">
                  <c:v>106.00450820158521</c:v>
                </c:pt>
                <c:pt idx="26">
                  <c:v>106.3354569838924</c:v>
                </c:pt>
                <c:pt idx="27">
                  <c:v>106.96839029133979</c:v>
                </c:pt>
                <c:pt idx="28">
                  <c:v>106.63454895552657</c:v>
                </c:pt>
                <c:pt idx="29">
                  <c:v>106.4646583281382</c:v>
                </c:pt>
                <c:pt idx="30">
                  <c:v>106.29563161498564</c:v>
                </c:pt>
                <c:pt idx="31">
                  <c:v>105.91630760387174</c:v>
                </c:pt>
                <c:pt idx="32">
                  <c:v>106.3798649817586</c:v>
                </c:pt>
                <c:pt idx="33">
                  <c:v>105.9736093433728</c:v>
                </c:pt>
                <c:pt idx="34">
                  <c:v>106.25869884043915</c:v>
                </c:pt>
                <c:pt idx="35">
                  <c:v>104.33954732988623</c:v>
                </c:pt>
                <c:pt idx="36">
                  <c:v>103.08971594769922</c:v>
                </c:pt>
                <c:pt idx="37">
                  <c:v>101.47799737941115</c:v>
                </c:pt>
                <c:pt idx="38">
                  <c:v>99.256032213874846</c:v>
                </c:pt>
                <c:pt idx="39">
                  <c:v>101.23638983926612</c:v>
                </c:pt>
                <c:pt idx="40">
                  <c:v>100.13124030028473</c:v>
                </c:pt>
                <c:pt idx="41">
                  <c:v>99.866950786827616</c:v>
                </c:pt>
                <c:pt idx="42">
                  <c:v>97.821555204086536</c:v>
                </c:pt>
                <c:pt idx="43">
                  <c:v>95.681162634986705</c:v>
                </c:pt>
                <c:pt idx="44">
                  <c:v>94.830340597857827</c:v>
                </c:pt>
                <c:pt idx="45">
                  <c:v>91.520061739814437</c:v>
                </c:pt>
                <c:pt idx="46">
                  <c:v>90.304753817967466</c:v>
                </c:pt>
                <c:pt idx="47">
                  <c:v>88.347511031871306</c:v>
                </c:pt>
                <c:pt idx="48">
                  <c:v>88.284757632360638</c:v>
                </c:pt>
                <c:pt idx="49">
                  <c:v>90.022767799928488</c:v>
                </c:pt>
                <c:pt idx="50">
                  <c:v>88.846314699002079</c:v>
                </c:pt>
                <c:pt idx="51">
                  <c:v>90.544264516319487</c:v>
                </c:pt>
                <c:pt idx="52">
                  <c:v>90.820995402356814</c:v>
                </c:pt>
                <c:pt idx="53">
                  <c:v>89.761893486014117</c:v>
                </c:pt>
                <c:pt idx="54">
                  <c:v>91.116809821387193</c:v>
                </c:pt>
                <c:pt idx="55">
                  <c:v>91.547751539127631</c:v>
                </c:pt>
                <c:pt idx="56">
                  <c:v>91.935688633374411</c:v>
                </c:pt>
                <c:pt idx="57">
                  <c:v>93.372664608441326</c:v>
                </c:pt>
                <c:pt idx="58">
                  <c:v>93.639881836308959</c:v>
                </c:pt>
                <c:pt idx="59">
                  <c:v>92.163458278730218</c:v>
                </c:pt>
                <c:pt idx="60">
                  <c:v>91.295273085112981</c:v>
                </c:pt>
                <c:pt idx="61">
                  <c:v>89.358077151956664</c:v>
                </c:pt>
                <c:pt idx="62">
                  <c:v>88.025495046174328</c:v>
                </c:pt>
                <c:pt idx="63">
                  <c:v>89.419497967992598</c:v>
                </c:pt>
                <c:pt idx="64">
                  <c:v>89.750938521584672</c:v>
                </c:pt>
                <c:pt idx="65">
                  <c:v>84.933179608001851</c:v>
                </c:pt>
                <c:pt idx="66">
                  <c:v>80.31972463112335</c:v>
                </c:pt>
                <c:pt idx="67">
                  <c:v>80.654740951227836</c:v>
                </c:pt>
                <c:pt idx="68">
                  <c:v>81.915146536628228</c:v>
                </c:pt>
                <c:pt idx="69">
                  <c:v>85.643739479642619</c:v>
                </c:pt>
                <c:pt idx="70">
                  <c:v>83.896300341033609</c:v>
                </c:pt>
                <c:pt idx="71">
                  <c:v>84.081264922170774</c:v>
                </c:pt>
                <c:pt idx="72">
                  <c:v>84.225201371306838</c:v>
                </c:pt>
                <c:pt idx="73">
                  <c:v>84.700356594487872</c:v>
                </c:pt>
                <c:pt idx="74">
                  <c:v>82.263060891348516</c:v>
                </c:pt>
                <c:pt idx="75">
                  <c:v>82.348705491723081</c:v>
                </c:pt>
                <c:pt idx="76">
                  <c:v>81.26458930376387</c:v>
                </c:pt>
                <c:pt idx="77">
                  <c:v>84.62291006991228</c:v>
                </c:pt>
                <c:pt idx="78">
                  <c:v>85.610328671616131</c:v>
                </c:pt>
                <c:pt idx="79">
                  <c:v>86.605316410128125</c:v>
                </c:pt>
                <c:pt idx="80">
                  <c:v>86.34648995887386</c:v>
                </c:pt>
                <c:pt idx="81">
                  <c:v>86.277789212131012</c:v>
                </c:pt>
                <c:pt idx="82">
                  <c:v>86.750610710786944</c:v>
                </c:pt>
                <c:pt idx="83">
                  <c:v>90.735123599152686</c:v>
                </c:pt>
                <c:pt idx="84">
                  <c:v>90.805352654167734</c:v>
                </c:pt>
                <c:pt idx="85">
                  <c:v>90.55812399598959</c:v>
                </c:pt>
                <c:pt idx="86">
                  <c:v>91.442964062951731</c:v>
                </c:pt>
                <c:pt idx="87">
                  <c:v>93.104527014042446</c:v>
                </c:pt>
                <c:pt idx="88">
                  <c:v>92.086417840612228</c:v>
                </c:pt>
                <c:pt idx="89">
                  <c:v>96.061011002728961</c:v>
                </c:pt>
                <c:pt idx="90">
                  <c:v>97.055088077539267</c:v>
                </c:pt>
                <c:pt idx="91">
                  <c:v>97.308620228791284</c:v>
                </c:pt>
                <c:pt idx="92">
                  <c:v>97.459685209384986</c:v>
                </c:pt>
                <c:pt idx="93">
                  <c:v>97.969065859517912</c:v>
                </c:pt>
                <c:pt idx="94">
                  <c:v>97.609994232159877</c:v>
                </c:pt>
                <c:pt idx="95">
                  <c:v>97.0296440360503</c:v>
                </c:pt>
                <c:pt idx="96">
                  <c:v>95.791080933862375</c:v>
                </c:pt>
                <c:pt idx="97">
                  <c:v>96.045468492528997</c:v>
                </c:pt>
                <c:pt idx="98">
                  <c:v>94.96437426210106</c:v>
                </c:pt>
                <c:pt idx="99">
                  <c:v>95.869523757074361</c:v>
                </c:pt>
                <c:pt idx="100">
                  <c:v>96.621720376575936</c:v>
                </c:pt>
                <c:pt idx="101">
                  <c:v>96.942648633046602</c:v>
                </c:pt>
                <c:pt idx="102">
                  <c:v>96.103768827470006</c:v>
                </c:pt>
                <c:pt idx="103">
                  <c:v>96.231616523088476</c:v>
                </c:pt>
                <c:pt idx="104">
                  <c:v>96.292065093223627</c:v>
                </c:pt>
                <c:pt idx="105">
                  <c:v>97.750661751627504</c:v>
                </c:pt>
                <c:pt idx="106">
                  <c:v>98.302241828781433</c:v>
                </c:pt>
                <c:pt idx="107">
                  <c:v>98.328516189231991</c:v>
                </c:pt>
                <c:pt idx="108">
                  <c:v>98.806615290010285</c:v>
                </c:pt>
                <c:pt idx="109">
                  <c:v>98.34568693629933</c:v>
                </c:pt>
                <c:pt idx="110">
                  <c:v>97.758136306026145</c:v>
                </c:pt>
                <c:pt idx="111">
                  <c:v>98.085388161902003</c:v>
                </c:pt>
                <c:pt idx="112">
                  <c:v>97.651825920392383</c:v>
                </c:pt>
                <c:pt idx="113">
                  <c:v>96.468754855548809</c:v>
                </c:pt>
                <c:pt idx="114">
                  <c:v>97.701219711106617</c:v>
                </c:pt>
                <c:pt idx="115">
                  <c:v>97.859160226975533</c:v>
                </c:pt>
                <c:pt idx="116">
                  <c:v>97.682623422063301</c:v>
                </c:pt>
                <c:pt idx="117">
                  <c:v>96.760617011389286</c:v>
                </c:pt>
                <c:pt idx="118">
                  <c:v>97.15930960507653</c:v>
                </c:pt>
                <c:pt idx="119">
                  <c:v>97.52719171036351</c:v>
                </c:pt>
                <c:pt idx="120">
                  <c:v>99.498987337240663</c:v>
                </c:pt>
                <c:pt idx="121">
                  <c:v>99.466900851848848</c:v>
                </c:pt>
                <c:pt idx="122">
                  <c:v>99.637176745924592</c:v>
                </c:pt>
                <c:pt idx="123">
                  <c:v>100.03933374887654</c:v>
                </c:pt>
                <c:pt idx="124">
                  <c:v>99.989150390712311</c:v>
                </c:pt>
                <c:pt idx="125">
                  <c:v>98.575857505796762</c:v>
                </c:pt>
                <c:pt idx="126">
                  <c:v>98.663776427057542</c:v>
                </c:pt>
                <c:pt idx="127">
                  <c:v>100.12411088443069</c:v>
                </c:pt>
                <c:pt idx="128">
                  <c:v>99.845207857285757</c:v>
                </c:pt>
                <c:pt idx="129">
                  <c:v>100.10610928068512</c:v>
                </c:pt>
                <c:pt idx="130">
                  <c:v>99.677291007402303</c:v>
                </c:pt>
                <c:pt idx="131">
                  <c:v>100.12179999838376</c:v>
                </c:pt>
                <c:pt idx="132">
                  <c:v>100.26879057866147</c:v>
                </c:pt>
                <c:pt idx="133">
                  <c:v>99.181171946845225</c:v>
                </c:pt>
                <c:pt idx="134">
                  <c:v>99.682594187311238</c:v>
                </c:pt>
                <c:pt idx="135">
                  <c:v>100.22156250322728</c:v>
                </c:pt>
                <c:pt idx="136">
                  <c:v>99.330003280324306</c:v>
                </c:pt>
                <c:pt idx="137">
                  <c:v>100.52737080728397</c:v>
                </c:pt>
                <c:pt idx="138">
                  <c:v>100.62202795806633</c:v>
                </c:pt>
                <c:pt idx="139">
                  <c:v>100.63605218270534</c:v>
                </c:pt>
                <c:pt idx="140">
                  <c:v>99.763114850380873</c:v>
                </c:pt>
                <c:pt idx="141">
                  <c:v>100.08662873984163</c:v>
                </c:pt>
                <c:pt idx="142">
                  <c:v>100.71824911011298</c:v>
                </c:pt>
                <c:pt idx="143">
                  <c:v>101.49856976488365</c:v>
                </c:pt>
                <c:pt idx="144">
                  <c:v>102.48181485418593</c:v>
                </c:pt>
                <c:pt idx="145">
                  <c:v>101.98986898113911</c:v>
                </c:pt>
                <c:pt idx="146">
                  <c:v>101.50509263346632</c:v>
                </c:pt>
                <c:pt idx="147">
                  <c:v>101.96016267266128</c:v>
                </c:pt>
                <c:pt idx="148">
                  <c:v>99.145688541519661</c:v>
                </c:pt>
                <c:pt idx="149">
                  <c:v>100.29249788447396</c:v>
                </c:pt>
                <c:pt idx="150">
                  <c:v>99.565704706856195</c:v>
                </c:pt>
                <c:pt idx="151">
                  <c:v>99.519574516329172</c:v>
                </c:pt>
                <c:pt idx="152">
                  <c:v>99.623993359641076</c:v>
                </c:pt>
                <c:pt idx="153">
                  <c:v>99.791203102580397</c:v>
                </c:pt>
                <c:pt idx="154">
                  <c:v>99.675168063515855</c:v>
                </c:pt>
                <c:pt idx="155">
                  <c:v>99.541188810127053</c:v>
                </c:pt>
                <c:pt idx="156">
                  <c:v>99.45098703856867</c:v>
                </c:pt>
                <c:pt idx="157">
                  <c:v>100.12451400959567</c:v>
                </c:pt>
                <c:pt idx="158">
                  <c:v>100.21821794001316</c:v>
                </c:pt>
                <c:pt idx="159">
                  <c:v>100.21126383266807</c:v>
                </c:pt>
                <c:pt idx="160">
                  <c:v>99.948099861136185</c:v>
                </c:pt>
                <c:pt idx="161">
                  <c:v>99.021551092236152</c:v>
                </c:pt>
                <c:pt idx="162">
                  <c:v>99.47069535324313</c:v>
                </c:pt>
                <c:pt idx="163">
                  <c:v>99.832532339402178</c:v>
                </c:pt>
                <c:pt idx="164">
                  <c:v>100.01356070325321</c:v>
                </c:pt>
                <c:pt idx="165">
                  <c:v>100.13878671975218</c:v>
                </c:pt>
                <c:pt idx="166">
                  <c:v>100.77870259722015</c:v>
                </c:pt>
                <c:pt idx="167">
                  <c:v>100.94364207702478</c:v>
                </c:pt>
                <c:pt idx="168">
                  <c:v>99.919722539965008</c:v>
                </c:pt>
                <c:pt idx="169">
                  <c:v>99.847738802616263</c:v>
                </c:pt>
                <c:pt idx="170">
                  <c:v>99.246619296277871</c:v>
                </c:pt>
                <c:pt idx="171">
                  <c:v>99.671191408147138</c:v>
                </c:pt>
                <c:pt idx="172">
                  <c:v>100.11281523871463</c:v>
                </c:pt>
                <c:pt idx="173">
                  <c:v>99.7703720101279</c:v>
                </c:pt>
                <c:pt idx="174">
                  <c:v>100.30875284674617</c:v>
                </c:pt>
                <c:pt idx="175">
                  <c:v>100.89277600922593</c:v>
                </c:pt>
                <c:pt idx="176">
                  <c:v>101.75352500760388</c:v>
                </c:pt>
                <c:pt idx="177">
                  <c:v>101.83848884365214</c:v>
                </c:pt>
                <c:pt idx="178">
                  <c:v>101.49276342562212</c:v>
                </c:pt>
                <c:pt idx="179">
                  <c:v>101.51069075565383</c:v>
                </c:pt>
                <c:pt idx="180">
                  <c:v>100.56597223038017</c:v>
                </c:pt>
                <c:pt idx="181">
                  <c:v>100.6968807528449</c:v>
                </c:pt>
                <c:pt idx="182">
                  <c:v>101.44398311144718</c:v>
                </c:pt>
                <c:pt idx="183">
                  <c:v>101.23642816091029</c:v>
                </c:pt>
                <c:pt idx="184">
                  <c:v>101.36144922604139</c:v>
                </c:pt>
                <c:pt idx="185">
                  <c:v>99.890210183014261</c:v>
                </c:pt>
                <c:pt idx="186">
                  <c:v>99.52620386959444</c:v>
                </c:pt>
                <c:pt idx="187">
                  <c:v>99.29507792687906</c:v>
                </c:pt>
                <c:pt idx="188">
                  <c:v>99.658474477462846</c:v>
                </c:pt>
                <c:pt idx="189">
                  <c:v>99.757203346217736</c:v>
                </c:pt>
                <c:pt idx="190">
                  <c:v>99.008098962847399</c:v>
                </c:pt>
                <c:pt idx="191">
                  <c:v>99.762395902117476</c:v>
                </c:pt>
                <c:pt idx="192">
                  <c:v>99.979934146585435</c:v>
                </c:pt>
                <c:pt idx="193">
                  <c:v>99.91732728272909</c:v>
                </c:pt>
                <c:pt idx="194">
                  <c:v>100.46229677991876</c:v>
                </c:pt>
                <c:pt idx="195">
                  <c:v>100.38908533877617</c:v>
                </c:pt>
                <c:pt idx="196">
                  <c:v>100.86939996074017</c:v>
                </c:pt>
                <c:pt idx="197">
                  <c:v>101.72782872059069</c:v>
                </c:pt>
                <c:pt idx="198">
                  <c:v>100.02320172583377</c:v>
                </c:pt>
                <c:pt idx="199">
                  <c:v>101.51870032453547</c:v>
                </c:pt>
                <c:pt idx="200">
                  <c:v>100.52149611784463</c:v>
                </c:pt>
                <c:pt idx="201">
                  <c:v>100.76698504169237</c:v>
                </c:pt>
                <c:pt idx="202">
                  <c:v>99.78434676406907</c:v>
                </c:pt>
                <c:pt idx="203">
                  <c:v>99.74354683441922</c:v>
                </c:pt>
                <c:pt idx="204">
                  <c:v>100.87194638151365</c:v>
                </c:pt>
                <c:pt idx="205">
                  <c:v>101.49355826199294</c:v>
                </c:pt>
                <c:pt idx="206">
                  <c:v>100.21872520784257</c:v>
                </c:pt>
                <c:pt idx="207">
                  <c:v>100.95246165407768</c:v>
                </c:pt>
                <c:pt idx="208">
                  <c:v>101.8985378169824</c:v>
                </c:pt>
                <c:pt idx="209">
                  <c:v>102.20769426597739</c:v>
                </c:pt>
                <c:pt idx="210">
                  <c:v>102.53232021387223</c:v>
                </c:pt>
                <c:pt idx="211">
                  <c:v>102.85844810554828</c:v>
                </c:pt>
                <c:pt idx="212">
                  <c:v>103.82219836400976</c:v>
                </c:pt>
                <c:pt idx="213">
                  <c:v>103.42845242031082</c:v>
                </c:pt>
                <c:pt idx="214">
                  <c:v>103.59220730436996</c:v>
                </c:pt>
                <c:pt idx="215">
                  <c:v>102.91989004530305</c:v>
                </c:pt>
                <c:pt idx="216">
                  <c:v>102.60728573622052</c:v>
                </c:pt>
                <c:pt idx="217">
                  <c:v>100.19965342561233</c:v>
                </c:pt>
                <c:pt idx="218">
                  <c:v>99.653695608633313</c:v>
                </c:pt>
                <c:pt idx="219">
                  <c:v>101.44057944203365</c:v>
                </c:pt>
                <c:pt idx="220">
                  <c:v>101.04478049908708</c:v>
                </c:pt>
                <c:pt idx="221">
                  <c:v>101.41353318998763</c:v>
                </c:pt>
                <c:pt idx="222">
                  <c:v>99.526268592885188</c:v>
                </c:pt>
                <c:pt idx="223">
                  <c:v>98.905917445968143</c:v>
                </c:pt>
                <c:pt idx="224">
                  <c:v>98.374526718778398</c:v>
                </c:pt>
                <c:pt idx="225">
                  <c:v>97.256638586688851</c:v>
                </c:pt>
                <c:pt idx="226">
                  <c:v>97.860694857047662</c:v>
                </c:pt>
                <c:pt idx="227">
                  <c:v>97.44935415572148</c:v>
                </c:pt>
                <c:pt idx="228">
                  <c:v>96.705056321099974</c:v>
                </c:pt>
                <c:pt idx="229">
                  <c:v>97.761946713544518</c:v>
                </c:pt>
                <c:pt idx="230">
                  <c:v>98.355071438312805</c:v>
                </c:pt>
                <c:pt idx="231">
                  <c:v>98.838470281423</c:v>
                </c:pt>
                <c:pt idx="232">
                  <c:v>99.170305146125528</c:v>
                </c:pt>
                <c:pt idx="233">
                  <c:v>99.669145436826923</c:v>
                </c:pt>
                <c:pt idx="234">
                  <c:v>98.932590670587516</c:v>
                </c:pt>
                <c:pt idx="235">
                  <c:v>98.543839121092589</c:v>
                </c:pt>
                <c:pt idx="236">
                  <c:v>98.053066075264368</c:v>
                </c:pt>
                <c:pt idx="237">
                  <c:v>98.94705987928684</c:v>
                </c:pt>
                <c:pt idx="238">
                  <c:v>99.67625104750158</c:v>
                </c:pt>
                <c:pt idx="239">
                  <c:v>99.38061812605514</c:v>
                </c:pt>
                <c:pt idx="240">
                  <c:v>99.305927793504921</c:v>
                </c:pt>
                <c:pt idx="241">
                  <c:v>99.236295022663356</c:v>
                </c:pt>
                <c:pt idx="242">
                  <c:v>99.775414540370548</c:v>
                </c:pt>
                <c:pt idx="243">
                  <c:v>99.575122672212217</c:v>
                </c:pt>
                <c:pt idx="244">
                  <c:v>98.149057155740849</c:v>
                </c:pt>
                <c:pt idx="245">
                  <c:v>97.78703491317215</c:v>
                </c:pt>
                <c:pt idx="246">
                  <c:v>97.243186542611255</c:v>
                </c:pt>
                <c:pt idx="247">
                  <c:v>97.7940777873428</c:v>
                </c:pt>
                <c:pt idx="248">
                  <c:v>98.468991300846298</c:v>
                </c:pt>
                <c:pt idx="249">
                  <c:v>98.79826042090842</c:v>
                </c:pt>
                <c:pt idx="250">
                  <c:v>99.270819671166919</c:v>
                </c:pt>
                <c:pt idx="251">
                  <c:v>100.05493372606061</c:v>
                </c:pt>
                <c:pt idx="252">
                  <c:v>99.973721285684704</c:v>
                </c:pt>
                <c:pt idx="253">
                  <c:v>99.224903704534825</c:v>
                </c:pt>
                <c:pt idx="254">
                  <c:v>100.36228905607494</c:v>
                </c:pt>
                <c:pt idx="255">
                  <c:v>100.91893525994608</c:v>
                </c:pt>
                <c:pt idx="256">
                  <c:v>100.42537650369864</c:v>
                </c:pt>
                <c:pt idx="257">
                  <c:v>99.757452940664095</c:v>
                </c:pt>
                <c:pt idx="258">
                  <c:v>100.58667498461546</c:v>
                </c:pt>
                <c:pt idx="259">
                  <c:v>100.38967258029156</c:v>
                </c:pt>
                <c:pt idx="260">
                  <c:v>99.018805457290739</c:v>
                </c:pt>
                <c:pt idx="261">
                  <c:v>97.687083581972431</c:v>
                </c:pt>
                <c:pt idx="262">
                  <c:v>98.47919683544734</c:v>
                </c:pt>
                <c:pt idx="263">
                  <c:v>97.485729026595095</c:v>
                </c:pt>
                <c:pt idx="264">
                  <c:v>96.403635040936848</c:v>
                </c:pt>
                <c:pt idx="265">
                  <c:v>95.042248155129485</c:v>
                </c:pt>
              </c:numCache>
            </c:numRef>
          </c:val>
          <c:smooth val="0"/>
          <c:extLst>
            <c:ext xmlns:c16="http://schemas.microsoft.com/office/drawing/2014/chart" uri="{C3380CC4-5D6E-409C-BE32-E72D297353CC}">
              <c16:uniqueId val="{00000000-58B4-46CA-A52A-40917A4EFA64}"/>
            </c:ext>
          </c:extLst>
        </c:ser>
        <c:ser>
          <c:idx val="1"/>
          <c:order val="1"/>
          <c:tx>
            <c:strRef>
              <c:f>DataBase.!$AP$2</c:f>
              <c:strCache>
                <c:ptCount val="1"/>
                <c:pt idx="0">
                  <c:v>VUSA</c:v>
                </c:pt>
              </c:strCache>
            </c:strRef>
          </c:tx>
          <c:spPr>
            <a:ln w="12700" cap="rnd">
              <a:solidFill>
                <a:srgbClr val="A6A6A6"/>
              </a:solidFill>
              <a:prstDash val="lgDashDotDot"/>
              <a:round/>
            </a:ln>
            <a:effectLst/>
          </c:spPr>
          <c:marker>
            <c:symbol val="none"/>
          </c:marker>
          <c:cat>
            <c:numRef>
              <c:f>DataBase.!$AG$3:$AG$268</c:f>
              <c:numCache>
                <c:formatCode>m/d/yyyy</c:formatCode>
                <c:ptCount val="266"/>
                <c:pt idx="0">
                  <c:v>45659</c:v>
                </c:pt>
                <c:pt idx="1">
                  <c:v>45660</c:v>
                </c:pt>
                <c:pt idx="2">
                  <c:v>45663</c:v>
                </c:pt>
                <c:pt idx="3">
                  <c:v>45664</c:v>
                </c:pt>
                <c:pt idx="4">
                  <c:v>45665</c:v>
                </c:pt>
                <c:pt idx="5">
                  <c:v>45666</c:v>
                </c:pt>
                <c:pt idx="6">
                  <c:v>45667</c:v>
                </c:pt>
                <c:pt idx="7">
                  <c:v>45670</c:v>
                </c:pt>
                <c:pt idx="8">
                  <c:v>45671</c:v>
                </c:pt>
                <c:pt idx="9">
                  <c:v>45672</c:v>
                </c:pt>
                <c:pt idx="10">
                  <c:v>45673</c:v>
                </c:pt>
                <c:pt idx="11">
                  <c:v>45674</c:v>
                </c:pt>
                <c:pt idx="12">
                  <c:v>45677</c:v>
                </c:pt>
                <c:pt idx="13">
                  <c:v>45678</c:v>
                </c:pt>
                <c:pt idx="14">
                  <c:v>45679</c:v>
                </c:pt>
                <c:pt idx="15">
                  <c:v>45680</c:v>
                </c:pt>
                <c:pt idx="16">
                  <c:v>45681</c:v>
                </c:pt>
                <c:pt idx="17">
                  <c:v>45684</c:v>
                </c:pt>
                <c:pt idx="18">
                  <c:v>45685</c:v>
                </c:pt>
                <c:pt idx="19">
                  <c:v>45686</c:v>
                </c:pt>
                <c:pt idx="20">
                  <c:v>45687</c:v>
                </c:pt>
                <c:pt idx="21">
                  <c:v>45688</c:v>
                </c:pt>
                <c:pt idx="22">
                  <c:v>45691</c:v>
                </c:pt>
                <c:pt idx="23">
                  <c:v>45692</c:v>
                </c:pt>
                <c:pt idx="24">
                  <c:v>45693</c:v>
                </c:pt>
                <c:pt idx="25">
                  <c:v>45694</c:v>
                </c:pt>
                <c:pt idx="26">
                  <c:v>45695</c:v>
                </c:pt>
                <c:pt idx="27">
                  <c:v>45698</c:v>
                </c:pt>
                <c:pt idx="28">
                  <c:v>45699</c:v>
                </c:pt>
                <c:pt idx="29">
                  <c:v>45700</c:v>
                </c:pt>
                <c:pt idx="30">
                  <c:v>45701</c:v>
                </c:pt>
                <c:pt idx="31">
                  <c:v>45702</c:v>
                </c:pt>
                <c:pt idx="32">
                  <c:v>45705</c:v>
                </c:pt>
                <c:pt idx="33">
                  <c:v>45706</c:v>
                </c:pt>
                <c:pt idx="34">
                  <c:v>45707</c:v>
                </c:pt>
                <c:pt idx="35">
                  <c:v>45708</c:v>
                </c:pt>
                <c:pt idx="36">
                  <c:v>45709</c:v>
                </c:pt>
                <c:pt idx="37">
                  <c:v>45712</c:v>
                </c:pt>
                <c:pt idx="38">
                  <c:v>45713</c:v>
                </c:pt>
                <c:pt idx="39">
                  <c:v>45714</c:v>
                </c:pt>
                <c:pt idx="40">
                  <c:v>45715</c:v>
                </c:pt>
                <c:pt idx="41">
                  <c:v>45716</c:v>
                </c:pt>
                <c:pt idx="42">
                  <c:v>45719</c:v>
                </c:pt>
                <c:pt idx="43">
                  <c:v>45720</c:v>
                </c:pt>
                <c:pt idx="44">
                  <c:v>45721</c:v>
                </c:pt>
                <c:pt idx="45">
                  <c:v>45722</c:v>
                </c:pt>
                <c:pt idx="46">
                  <c:v>45723</c:v>
                </c:pt>
                <c:pt idx="47">
                  <c:v>45726</c:v>
                </c:pt>
                <c:pt idx="48">
                  <c:v>45727</c:v>
                </c:pt>
                <c:pt idx="49">
                  <c:v>45728</c:v>
                </c:pt>
                <c:pt idx="50">
                  <c:v>45729</c:v>
                </c:pt>
                <c:pt idx="51">
                  <c:v>45730</c:v>
                </c:pt>
                <c:pt idx="52">
                  <c:v>45733</c:v>
                </c:pt>
                <c:pt idx="53">
                  <c:v>45734</c:v>
                </c:pt>
                <c:pt idx="54">
                  <c:v>45735</c:v>
                </c:pt>
                <c:pt idx="55">
                  <c:v>45736</c:v>
                </c:pt>
                <c:pt idx="56">
                  <c:v>45737</c:v>
                </c:pt>
                <c:pt idx="57">
                  <c:v>45740</c:v>
                </c:pt>
                <c:pt idx="58">
                  <c:v>45741</c:v>
                </c:pt>
                <c:pt idx="59">
                  <c:v>45742</c:v>
                </c:pt>
                <c:pt idx="60">
                  <c:v>45743</c:v>
                </c:pt>
                <c:pt idx="61">
                  <c:v>45744</c:v>
                </c:pt>
                <c:pt idx="62">
                  <c:v>45747</c:v>
                </c:pt>
                <c:pt idx="63">
                  <c:v>45748</c:v>
                </c:pt>
                <c:pt idx="64">
                  <c:v>45749</c:v>
                </c:pt>
                <c:pt idx="65">
                  <c:v>45750</c:v>
                </c:pt>
                <c:pt idx="66">
                  <c:v>45751</c:v>
                </c:pt>
                <c:pt idx="67">
                  <c:v>45754</c:v>
                </c:pt>
                <c:pt idx="68">
                  <c:v>45755</c:v>
                </c:pt>
                <c:pt idx="69">
                  <c:v>45756</c:v>
                </c:pt>
                <c:pt idx="70">
                  <c:v>45757</c:v>
                </c:pt>
                <c:pt idx="71">
                  <c:v>45758</c:v>
                </c:pt>
                <c:pt idx="72">
                  <c:v>45761</c:v>
                </c:pt>
                <c:pt idx="73">
                  <c:v>45762</c:v>
                </c:pt>
                <c:pt idx="74">
                  <c:v>45763</c:v>
                </c:pt>
                <c:pt idx="75">
                  <c:v>45764</c:v>
                </c:pt>
                <c:pt idx="76">
                  <c:v>45769</c:v>
                </c:pt>
                <c:pt idx="77">
                  <c:v>45770</c:v>
                </c:pt>
                <c:pt idx="78">
                  <c:v>45771</c:v>
                </c:pt>
                <c:pt idx="79">
                  <c:v>45772</c:v>
                </c:pt>
                <c:pt idx="80">
                  <c:v>45775</c:v>
                </c:pt>
                <c:pt idx="81">
                  <c:v>45776</c:v>
                </c:pt>
                <c:pt idx="82">
                  <c:v>45777</c:v>
                </c:pt>
                <c:pt idx="83">
                  <c:v>45779</c:v>
                </c:pt>
                <c:pt idx="84">
                  <c:v>45782</c:v>
                </c:pt>
                <c:pt idx="85">
                  <c:v>45783</c:v>
                </c:pt>
                <c:pt idx="86">
                  <c:v>45784</c:v>
                </c:pt>
                <c:pt idx="87">
                  <c:v>45785</c:v>
                </c:pt>
                <c:pt idx="88">
                  <c:v>45786</c:v>
                </c:pt>
                <c:pt idx="89">
                  <c:v>45789</c:v>
                </c:pt>
                <c:pt idx="90">
                  <c:v>45790</c:v>
                </c:pt>
                <c:pt idx="91">
                  <c:v>45791</c:v>
                </c:pt>
                <c:pt idx="92">
                  <c:v>45792</c:v>
                </c:pt>
                <c:pt idx="93">
                  <c:v>45793</c:v>
                </c:pt>
                <c:pt idx="94">
                  <c:v>45796</c:v>
                </c:pt>
                <c:pt idx="95">
                  <c:v>45797</c:v>
                </c:pt>
                <c:pt idx="96">
                  <c:v>45798</c:v>
                </c:pt>
                <c:pt idx="97">
                  <c:v>45799</c:v>
                </c:pt>
                <c:pt idx="98">
                  <c:v>45800</c:v>
                </c:pt>
                <c:pt idx="99">
                  <c:v>45803</c:v>
                </c:pt>
                <c:pt idx="100">
                  <c:v>45804</c:v>
                </c:pt>
                <c:pt idx="101">
                  <c:v>45805</c:v>
                </c:pt>
                <c:pt idx="102">
                  <c:v>45806</c:v>
                </c:pt>
                <c:pt idx="103">
                  <c:v>45807</c:v>
                </c:pt>
                <c:pt idx="104">
                  <c:v>45810</c:v>
                </c:pt>
                <c:pt idx="105">
                  <c:v>45811</c:v>
                </c:pt>
                <c:pt idx="106">
                  <c:v>45812</c:v>
                </c:pt>
                <c:pt idx="107">
                  <c:v>45813</c:v>
                </c:pt>
                <c:pt idx="108">
                  <c:v>45814</c:v>
                </c:pt>
                <c:pt idx="109">
                  <c:v>45817</c:v>
                </c:pt>
                <c:pt idx="110">
                  <c:v>45818</c:v>
                </c:pt>
                <c:pt idx="111">
                  <c:v>45819</c:v>
                </c:pt>
                <c:pt idx="112">
                  <c:v>45820</c:v>
                </c:pt>
                <c:pt idx="113">
                  <c:v>45821</c:v>
                </c:pt>
                <c:pt idx="114">
                  <c:v>45824</c:v>
                </c:pt>
                <c:pt idx="115">
                  <c:v>45825</c:v>
                </c:pt>
                <c:pt idx="116">
                  <c:v>45826</c:v>
                </c:pt>
                <c:pt idx="117">
                  <c:v>45827</c:v>
                </c:pt>
                <c:pt idx="118">
                  <c:v>45828</c:v>
                </c:pt>
                <c:pt idx="119">
                  <c:v>45831</c:v>
                </c:pt>
                <c:pt idx="120">
                  <c:v>45832</c:v>
                </c:pt>
                <c:pt idx="121">
                  <c:v>45833</c:v>
                </c:pt>
                <c:pt idx="122">
                  <c:v>45834</c:v>
                </c:pt>
                <c:pt idx="123">
                  <c:v>45835</c:v>
                </c:pt>
                <c:pt idx="124">
                  <c:v>45838</c:v>
                </c:pt>
                <c:pt idx="125">
                  <c:v>45839</c:v>
                </c:pt>
                <c:pt idx="126">
                  <c:v>45840</c:v>
                </c:pt>
                <c:pt idx="127">
                  <c:v>45841</c:v>
                </c:pt>
                <c:pt idx="128">
                  <c:v>45842</c:v>
                </c:pt>
                <c:pt idx="129">
                  <c:v>45845</c:v>
                </c:pt>
                <c:pt idx="130">
                  <c:v>45846</c:v>
                </c:pt>
                <c:pt idx="131">
                  <c:v>45847</c:v>
                </c:pt>
                <c:pt idx="132">
                  <c:v>45848</c:v>
                </c:pt>
                <c:pt idx="133">
                  <c:v>45849</c:v>
                </c:pt>
                <c:pt idx="134">
                  <c:v>45852</c:v>
                </c:pt>
                <c:pt idx="135">
                  <c:v>45853</c:v>
                </c:pt>
                <c:pt idx="136">
                  <c:v>45854</c:v>
                </c:pt>
                <c:pt idx="137">
                  <c:v>45855</c:v>
                </c:pt>
                <c:pt idx="138">
                  <c:v>45856</c:v>
                </c:pt>
                <c:pt idx="139">
                  <c:v>45859</c:v>
                </c:pt>
                <c:pt idx="140">
                  <c:v>45860</c:v>
                </c:pt>
                <c:pt idx="141">
                  <c:v>45861</c:v>
                </c:pt>
                <c:pt idx="142">
                  <c:v>45862</c:v>
                </c:pt>
                <c:pt idx="143">
                  <c:v>45863</c:v>
                </c:pt>
                <c:pt idx="144">
                  <c:v>45866</c:v>
                </c:pt>
                <c:pt idx="145">
                  <c:v>45867</c:v>
                </c:pt>
                <c:pt idx="146">
                  <c:v>45868</c:v>
                </c:pt>
                <c:pt idx="147">
                  <c:v>45869</c:v>
                </c:pt>
                <c:pt idx="148">
                  <c:v>45870</c:v>
                </c:pt>
                <c:pt idx="149">
                  <c:v>45873</c:v>
                </c:pt>
                <c:pt idx="150">
                  <c:v>45874</c:v>
                </c:pt>
                <c:pt idx="151">
                  <c:v>45875</c:v>
                </c:pt>
                <c:pt idx="152">
                  <c:v>45876</c:v>
                </c:pt>
                <c:pt idx="153">
                  <c:v>45877</c:v>
                </c:pt>
                <c:pt idx="154">
                  <c:v>45880</c:v>
                </c:pt>
                <c:pt idx="155">
                  <c:v>45881</c:v>
                </c:pt>
                <c:pt idx="156">
                  <c:v>45882</c:v>
                </c:pt>
                <c:pt idx="157">
                  <c:v>45883</c:v>
                </c:pt>
                <c:pt idx="158">
                  <c:v>45884</c:v>
                </c:pt>
                <c:pt idx="159">
                  <c:v>45887</c:v>
                </c:pt>
                <c:pt idx="160">
                  <c:v>45888</c:v>
                </c:pt>
                <c:pt idx="161">
                  <c:v>45889</c:v>
                </c:pt>
                <c:pt idx="162">
                  <c:v>45890</c:v>
                </c:pt>
                <c:pt idx="163">
                  <c:v>45891</c:v>
                </c:pt>
                <c:pt idx="164">
                  <c:v>45894</c:v>
                </c:pt>
                <c:pt idx="165">
                  <c:v>45895</c:v>
                </c:pt>
                <c:pt idx="166">
                  <c:v>45896</c:v>
                </c:pt>
                <c:pt idx="167">
                  <c:v>45897</c:v>
                </c:pt>
                <c:pt idx="168">
                  <c:v>45898</c:v>
                </c:pt>
                <c:pt idx="169">
                  <c:v>45901</c:v>
                </c:pt>
                <c:pt idx="170">
                  <c:v>45902</c:v>
                </c:pt>
                <c:pt idx="171">
                  <c:v>45903</c:v>
                </c:pt>
                <c:pt idx="172">
                  <c:v>45904</c:v>
                </c:pt>
                <c:pt idx="173">
                  <c:v>45905</c:v>
                </c:pt>
                <c:pt idx="174">
                  <c:v>45908</c:v>
                </c:pt>
                <c:pt idx="175">
                  <c:v>45909</c:v>
                </c:pt>
                <c:pt idx="176">
                  <c:v>45910</c:v>
                </c:pt>
                <c:pt idx="177">
                  <c:v>45911</c:v>
                </c:pt>
                <c:pt idx="178">
                  <c:v>45912</c:v>
                </c:pt>
                <c:pt idx="179">
                  <c:v>45915</c:v>
                </c:pt>
                <c:pt idx="180">
                  <c:v>45916</c:v>
                </c:pt>
                <c:pt idx="181">
                  <c:v>45917</c:v>
                </c:pt>
                <c:pt idx="182">
                  <c:v>45918</c:v>
                </c:pt>
                <c:pt idx="183">
                  <c:v>45919</c:v>
                </c:pt>
                <c:pt idx="184">
                  <c:v>45922</c:v>
                </c:pt>
                <c:pt idx="185">
                  <c:v>45923</c:v>
                </c:pt>
                <c:pt idx="186">
                  <c:v>45924</c:v>
                </c:pt>
                <c:pt idx="187">
                  <c:v>45925</c:v>
                </c:pt>
                <c:pt idx="188">
                  <c:v>45926</c:v>
                </c:pt>
                <c:pt idx="189">
                  <c:v>45929</c:v>
                </c:pt>
                <c:pt idx="190">
                  <c:v>45930</c:v>
                </c:pt>
                <c:pt idx="191">
                  <c:v>45931</c:v>
                </c:pt>
                <c:pt idx="192">
                  <c:v>45932</c:v>
                </c:pt>
                <c:pt idx="193">
                  <c:v>45933</c:v>
                </c:pt>
                <c:pt idx="194">
                  <c:v>45936</c:v>
                </c:pt>
                <c:pt idx="195">
                  <c:v>45937</c:v>
                </c:pt>
                <c:pt idx="196">
                  <c:v>45938</c:v>
                </c:pt>
                <c:pt idx="197">
                  <c:v>45939</c:v>
                </c:pt>
                <c:pt idx="198">
                  <c:v>45940</c:v>
                </c:pt>
                <c:pt idx="199">
                  <c:v>45943</c:v>
                </c:pt>
                <c:pt idx="200">
                  <c:v>45944</c:v>
                </c:pt>
                <c:pt idx="201">
                  <c:v>45945</c:v>
                </c:pt>
                <c:pt idx="202">
                  <c:v>45946</c:v>
                </c:pt>
                <c:pt idx="203">
                  <c:v>45947</c:v>
                </c:pt>
                <c:pt idx="204">
                  <c:v>45950</c:v>
                </c:pt>
                <c:pt idx="205">
                  <c:v>45951</c:v>
                </c:pt>
                <c:pt idx="206">
                  <c:v>45952</c:v>
                </c:pt>
                <c:pt idx="207">
                  <c:v>45953</c:v>
                </c:pt>
                <c:pt idx="208">
                  <c:v>45954</c:v>
                </c:pt>
                <c:pt idx="209">
                  <c:v>45957</c:v>
                </c:pt>
                <c:pt idx="210">
                  <c:v>45958</c:v>
                </c:pt>
                <c:pt idx="211">
                  <c:v>45959</c:v>
                </c:pt>
                <c:pt idx="212">
                  <c:v>45960</c:v>
                </c:pt>
                <c:pt idx="213">
                  <c:v>45961</c:v>
                </c:pt>
                <c:pt idx="214">
                  <c:v>45964</c:v>
                </c:pt>
                <c:pt idx="215">
                  <c:v>45965</c:v>
                </c:pt>
                <c:pt idx="216">
                  <c:v>45966</c:v>
                </c:pt>
                <c:pt idx="217">
                  <c:v>45967</c:v>
                </c:pt>
                <c:pt idx="218">
                  <c:v>45968</c:v>
                </c:pt>
                <c:pt idx="219">
                  <c:v>45971</c:v>
                </c:pt>
                <c:pt idx="220">
                  <c:v>45972</c:v>
                </c:pt>
                <c:pt idx="221">
                  <c:v>45973</c:v>
                </c:pt>
                <c:pt idx="222">
                  <c:v>45974</c:v>
                </c:pt>
                <c:pt idx="223">
                  <c:v>45975</c:v>
                </c:pt>
                <c:pt idx="224">
                  <c:v>45978</c:v>
                </c:pt>
                <c:pt idx="225">
                  <c:v>45979</c:v>
                </c:pt>
                <c:pt idx="226">
                  <c:v>45980</c:v>
                </c:pt>
                <c:pt idx="227">
                  <c:v>45981</c:v>
                </c:pt>
                <c:pt idx="228">
                  <c:v>45982</c:v>
                </c:pt>
                <c:pt idx="229">
                  <c:v>45985</c:v>
                </c:pt>
                <c:pt idx="230">
                  <c:v>45986</c:v>
                </c:pt>
                <c:pt idx="231">
                  <c:v>45987</c:v>
                </c:pt>
                <c:pt idx="232">
                  <c:v>45988</c:v>
                </c:pt>
                <c:pt idx="233">
                  <c:v>45989</c:v>
                </c:pt>
                <c:pt idx="234">
                  <c:v>45992</c:v>
                </c:pt>
                <c:pt idx="235">
                  <c:v>45993</c:v>
                </c:pt>
                <c:pt idx="236">
                  <c:v>45994</c:v>
                </c:pt>
                <c:pt idx="237">
                  <c:v>45995</c:v>
                </c:pt>
                <c:pt idx="238">
                  <c:v>45996</c:v>
                </c:pt>
                <c:pt idx="239">
                  <c:v>45999</c:v>
                </c:pt>
                <c:pt idx="240">
                  <c:v>46000</c:v>
                </c:pt>
                <c:pt idx="241">
                  <c:v>46001</c:v>
                </c:pt>
                <c:pt idx="242">
                  <c:v>46002</c:v>
                </c:pt>
                <c:pt idx="243">
                  <c:v>46003</c:v>
                </c:pt>
                <c:pt idx="244">
                  <c:v>46006</c:v>
                </c:pt>
                <c:pt idx="245">
                  <c:v>46007</c:v>
                </c:pt>
                <c:pt idx="246">
                  <c:v>46008</c:v>
                </c:pt>
                <c:pt idx="247">
                  <c:v>46009</c:v>
                </c:pt>
                <c:pt idx="248">
                  <c:v>46010</c:v>
                </c:pt>
                <c:pt idx="249">
                  <c:v>46013</c:v>
                </c:pt>
                <c:pt idx="250">
                  <c:v>46014</c:v>
                </c:pt>
                <c:pt idx="251">
                  <c:v>46020</c:v>
                </c:pt>
                <c:pt idx="252">
                  <c:v>46021</c:v>
                </c:pt>
                <c:pt idx="253">
                  <c:v>46024</c:v>
                </c:pt>
                <c:pt idx="254">
                  <c:v>46027</c:v>
                </c:pt>
                <c:pt idx="255">
                  <c:v>46028</c:v>
                </c:pt>
                <c:pt idx="256">
                  <c:v>46029</c:v>
                </c:pt>
                <c:pt idx="257">
                  <c:v>46030</c:v>
                </c:pt>
                <c:pt idx="258">
                  <c:v>46031</c:v>
                </c:pt>
                <c:pt idx="259">
                  <c:v>46034</c:v>
                </c:pt>
                <c:pt idx="260">
                  <c:v>46035</c:v>
                </c:pt>
                <c:pt idx="261">
                  <c:v>46036</c:v>
                </c:pt>
                <c:pt idx="262">
                  <c:v>46037</c:v>
                </c:pt>
                <c:pt idx="263">
                  <c:v>46038</c:v>
                </c:pt>
                <c:pt idx="264">
                  <c:v>46041</c:v>
                </c:pt>
                <c:pt idx="265">
                  <c:v>46042</c:v>
                </c:pt>
              </c:numCache>
            </c:numRef>
          </c:cat>
          <c:val>
            <c:numRef>
              <c:f>DataBase.!$AP$3:$AP$268</c:f>
              <c:numCache>
                <c:formatCode>General</c:formatCode>
                <c:ptCount val="266"/>
                <c:pt idx="0">
                  <c:v>100</c:v>
                </c:pt>
                <c:pt idx="1">
                  <c:v>101.37240356083086</c:v>
                </c:pt>
                <c:pt idx="2">
                  <c:v>101.1081231454006</c:v>
                </c:pt>
                <c:pt idx="3">
                  <c:v>100.39873887240357</c:v>
                </c:pt>
                <c:pt idx="4">
                  <c:v>100.74183976261129</c:v>
                </c:pt>
                <c:pt idx="5">
                  <c:v>100.7882047477745</c:v>
                </c:pt>
                <c:pt idx="6">
                  <c:v>100.6305637982196</c:v>
                </c:pt>
                <c:pt idx="7">
                  <c:v>100.0649109792285</c:v>
                </c:pt>
                <c:pt idx="8">
                  <c:v>99.680081602373903</c:v>
                </c:pt>
                <c:pt idx="9">
                  <c:v>101.55322700296736</c:v>
                </c:pt>
                <c:pt idx="10">
                  <c:v>101.39558605341246</c:v>
                </c:pt>
                <c:pt idx="11">
                  <c:v>102.70771513353115</c:v>
                </c:pt>
                <c:pt idx="12">
                  <c:v>101.78041543026706</c:v>
                </c:pt>
                <c:pt idx="13">
                  <c:v>101.88241839762611</c:v>
                </c:pt>
                <c:pt idx="14">
                  <c:v>102.88853857566765</c:v>
                </c:pt>
                <c:pt idx="15">
                  <c:v>102.89317507418397</c:v>
                </c:pt>
                <c:pt idx="16">
                  <c:v>102.19306379821958</c:v>
                </c:pt>
                <c:pt idx="17">
                  <c:v>100.51465133531157</c:v>
                </c:pt>
                <c:pt idx="18">
                  <c:v>102.11887982195846</c:v>
                </c:pt>
                <c:pt idx="19">
                  <c:v>101.87314540059347</c:v>
                </c:pt>
                <c:pt idx="20">
                  <c:v>102.19306379821958</c:v>
                </c:pt>
                <c:pt idx="21">
                  <c:v>103.18527448071218</c:v>
                </c:pt>
                <c:pt idx="22">
                  <c:v>102.50370919881307</c:v>
                </c:pt>
                <c:pt idx="23">
                  <c:v>102.07715133531158</c:v>
                </c:pt>
                <c:pt idx="24">
                  <c:v>102.0122403560831</c:v>
                </c:pt>
                <c:pt idx="25">
                  <c:v>102.84681008902078</c:v>
                </c:pt>
                <c:pt idx="26">
                  <c:v>102.77726261127597</c:v>
                </c:pt>
                <c:pt idx="27">
                  <c:v>103.40318991097925</c:v>
                </c:pt>
                <c:pt idx="28">
                  <c:v>103.09254451038578</c:v>
                </c:pt>
                <c:pt idx="29">
                  <c:v>102.37388724035611</c:v>
                </c:pt>
                <c:pt idx="30">
                  <c:v>102.81899109792288</c:v>
                </c:pt>
                <c:pt idx="31">
                  <c:v>102.41561572700299</c:v>
                </c:pt>
                <c:pt idx="32">
                  <c:v>102.85144658753713</c:v>
                </c:pt>
                <c:pt idx="33">
                  <c:v>103.04154302670625</c:v>
                </c:pt>
                <c:pt idx="34">
                  <c:v>103.73701780415432</c:v>
                </c:pt>
                <c:pt idx="35">
                  <c:v>102.19770029673592</c:v>
                </c:pt>
                <c:pt idx="36">
                  <c:v>101.55786350148369</c:v>
                </c:pt>
                <c:pt idx="37">
                  <c:v>101.1730341246291</c:v>
                </c:pt>
                <c:pt idx="38">
                  <c:v>99.916543026706236</c:v>
                </c:pt>
                <c:pt idx="39">
                  <c:v>99.744992581602375</c:v>
                </c:pt>
                <c:pt idx="40">
                  <c:v>99.48998516320475</c:v>
                </c:pt>
                <c:pt idx="41">
                  <c:v>99.332344213649847</c:v>
                </c:pt>
                <c:pt idx="42">
                  <c:v>98.933605341246277</c:v>
                </c:pt>
                <c:pt idx="43">
                  <c:v>95.956973293768527</c:v>
                </c:pt>
                <c:pt idx="44">
                  <c:v>94.73757418397625</c:v>
                </c:pt>
                <c:pt idx="45">
                  <c:v>93.314169139465847</c:v>
                </c:pt>
                <c:pt idx="46">
                  <c:v>93.634087537091958</c:v>
                </c:pt>
                <c:pt idx="47">
                  <c:v>90.719584569732902</c:v>
                </c:pt>
                <c:pt idx="48">
                  <c:v>89.91097922848661</c:v>
                </c:pt>
                <c:pt idx="49">
                  <c:v>90.413575667655749</c:v>
                </c:pt>
                <c:pt idx="50">
                  <c:v>89.883160237388694</c:v>
                </c:pt>
                <c:pt idx="51">
                  <c:v>91.103486646884235</c:v>
                </c:pt>
                <c:pt idx="52">
                  <c:v>91.876854599406485</c:v>
                </c:pt>
                <c:pt idx="53">
                  <c:v>90.37648367952518</c:v>
                </c:pt>
                <c:pt idx="54">
                  <c:v>91.747032640949499</c:v>
                </c:pt>
                <c:pt idx="55">
                  <c:v>91.487388724035554</c:v>
                </c:pt>
                <c:pt idx="56">
                  <c:v>91.596810089020735</c:v>
                </c:pt>
                <c:pt idx="57">
                  <c:v>93.467173590504416</c:v>
                </c:pt>
                <c:pt idx="58">
                  <c:v>93.736090504450999</c:v>
                </c:pt>
                <c:pt idx="59">
                  <c:v>93.304896142433208</c:v>
                </c:pt>
                <c:pt idx="60">
                  <c:v>92.831973293768513</c:v>
                </c:pt>
                <c:pt idx="61">
                  <c:v>90.654673590504416</c:v>
                </c:pt>
                <c:pt idx="62">
                  <c:v>90.189169139465847</c:v>
                </c:pt>
                <c:pt idx="63">
                  <c:v>91.454005934718069</c:v>
                </c:pt>
                <c:pt idx="64">
                  <c:v>91.932492581602332</c:v>
                </c:pt>
                <c:pt idx="65">
                  <c:v>86.952893175074138</c:v>
                </c:pt>
                <c:pt idx="66">
                  <c:v>82.492581602373846</c:v>
                </c:pt>
                <c:pt idx="67">
                  <c:v>80.851261127596402</c:v>
                </c:pt>
                <c:pt idx="68">
                  <c:v>79.538204747774444</c:v>
                </c:pt>
                <c:pt idx="69">
                  <c:v>87.665059347180971</c:v>
                </c:pt>
                <c:pt idx="70">
                  <c:v>82.188427299703235</c:v>
                </c:pt>
                <c:pt idx="71">
                  <c:v>83.228857566765541</c:v>
                </c:pt>
                <c:pt idx="72">
                  <c:v>83.477373887240333</c:v>
                </c:pt>
                <c:pt idx="73">
                  <c:v>84.050445103857527</c:v>
                </c:pt>
                <c:pt idx="74">
                  <c:v>81.04599406528186</c:v>
                </c:pt>
                <c:pt idx="75">
                  <c:v>81.585682492581554</c:v>
                </c:pt>
                <c:pt idx="76">
                  <c:v>81.016320474777402</c:v>
                </c:pt>
                <c:pt idx="77">
                  <c:v>83.683234421364944</c:v>
                </c:pt>
                <c:pt idx="78">
                  <c:v>84.499258160237346</c:v>
                </c:pt>
                <c:pt idx="79">
                  <c:v>85.320845697329347</c:v>
                </c:pt>
                <c:pt idx="80">
                  <c:v>84.304525222551888</c:v>
                </c:pt>
                <c:pt idx="81">
                  <c:v>85.495178041542971</c:v>
                </c:pt>
                <c:pt idx="82">
                  <c:v>85.369065281899054</c:v>
                </c:pt>
                <c:pt idx="83">
                  <c:v>88.507047477744749</c:v>
                </c:pt>
                <c:pt idx="84">
                  <c:v>88.210311572700249</c:v>
                </c:pt>
                <c:pt idx="85">
                  <c:v>86.776706231453943</c:v>
                </c:pt>
                <c:pt idx="86">
                  <c:v>87.049332344213582</c:v>
                </c:pt>
                <c:pt idx="87">
                  <c:v>89.360163204747707</c:v>
                </c:pt>
                <c:pt idx="88">
                  <c:v>88.245548961424277</c:v>
                </c:pt>
                <c:pt idx="89">
                  <c:v>92.533382789317457</c:v>
                </c:pt>
                <c:pt idx="90">
                  <c:v>92.850519287833791</c:v>
                </c:pt>
                <c:pt idx="91">
                  <c:v>92.487017804154277</c:v>
                </c:pt>
                <c:pt idx="92">
                  <c:v>93.100890207715125</c:v>
                </c:pt>
                <c:pt idx="93">
                  <c:v>93.861275964391666</c:v>
                </c:pt>
                <c:pt idx="94">
                  <c:v>93.221439169139444</c:v>
                </c:pt>
                <c:pt idx="95">
                  <c:v>92.496290801186916</c:v>
                </c:pt>
                <c:pt idx="96">
                  <c:v>91.298219584569708</c:v>
                </c:pt>
                <c:pt idx="97">
                  <c:v>91.502225519287819</c:v>
                </c:pt>
                <c:pt idx="98">
                  <c:v>90.092729970326403</c:v>
                </c:pt>
                <c:pt idx="99">
                  <c:v>90.83456973293768</c:v>
                </c:pt>
                <c:pt idx="100">
                  <c:v>91.787833827893166</c:v>
                </c:pt>
                <c:pt idx="101">
                  <c:v>92.077151335311569</c:v>
                </c:pt>
                <c:pt idx="102">
                  <c:v>91.394658753709194</c:v>
                </c:pt>
                <c:pt idx="103">
                  <c:v>90.906899109792278</c:v>
                </c:pt>
                <c:pt idx="104">
                  <c:v>91.053412462907986</c:v>
                </c:pt>
                <c:pt idx="105">
                  <c:v>92.427670623145374</c:v>
                </c:pt>
                <c:pt idx="106">
                  <c:v>92.090133531157235</c:v>
                </c:pt>
                <c:pt idx="107">
                  <c:v>91.906528189910944</c:v>
                </c:pt>
                <c:pt idx="108">
                  <c:v>92.576038575667638</c:v>
                </c:pt>
                <c:pt idx="109">
                  <c:v>92.691023738872374</c:v>
                </c:pt>
                <c:pt idx="110">
                  <c:v>92.873701780415402</c:v>
                </c:pt>
                <c:pt idx="111">
                  <c:v>92.33308605341243</c:v>
                </c:pt>
                <c:pt idx="112">
                  <c:v>91.884272997032596</c:v>
                </c:pt>
                <c:pt idx="113">
                  <c:v>91.541172106824888</c:v>
                </c:pt>
                <c:pt idx="114">
                  <c:v>91.834198813056346</c:v>
                </c:pt>
                <c:pt idx="115">
                  <c:v>91.849035608308569</c:v>
                </c:pt>
                <c:pt idx="116">
                  <c:v>91.778560830860513</c:v>
                </c:pt>
                <c:pt idx="117">
                  <c:v>90.797477744807097</c:v>
                </c:pt>
                <c:pt idx="118">
                  <c:v>90.602744807121638</c:v>
                </c:pt>
                <c:pt idx="119">
                  <c:v>91.058976261127555</c:v>
                </c:pt>
                <c:pt idx="120">
                  <c:v>91.945474777448027</c:v>
                </c:pt>
                <c:pt idx="121">
                  <c:v>91.960311572700249</c:v>
                </c:pt>
                <c:pt idx="122">
                  <c:v>91.880563798219526</c:v>
                </c:pt>
                <c:pt idx="123">
                  <c:v>92.602002967358985</c:v>
                </c:pt>
                <c:pt idx="124">
                  <c:v>92.314540059347124</c:v>
                </c:pt>
                <c:pt idx="125">
                  <c:v>92.509272997032582</c:v>
                </c:pt>
                <c:pt idx="126">
                  <c:v>92.607566765578568</c:v>
                </c:pt>
                <c:pt idx="127">
                  <c:v>93.722181008902012</c:v>
                </c:pt>
                <c:pt idx="128">
                  <c:v>93.031342729970277</c:v>
                </c:pt>
                <c:pt idx="129">
                  <c:v>93.430081602373832</c:v>
                </c:pt>
                <c:pt idx="130">
                  <c:v>93.397626112759596</c:v>
                </c:pt>
                <c:pt idx="131">
                  <c:v>93.717544510385721</c:v>
                </c:pt>
                <c:pt idx="132">
                  <c:v>94.464020771513319</c:v>
                </c:pt>
                <c:pt idx="133">
                  <c:v>94.176557863501444</c:v>
                </c:pt>
                <c:pt idx="134">
                  <c:v>94.431565281899054</c:v>
                </c:pt>
                <c:pt idx="135">
                  <c:v>94.834940652818943</c:v>
                </c:pt>
                <c:pt idx="136">
                  <c:v>94.283197329376804</c:v>
                </c:pt>
                <c:pt idx="137">
                  <c:v>95.391320474777416</c:v>
                </c:pt>
                <c:pt idx="138">
                  <c:v>95.071402077151305</c:v>
                </c:pt>
                <c:pt idx="139">
                  <c:v>95.229043026706194</c:v>
                </c:pt>
                <c:pt idx="140">
                  <c:v>94.297106824925777</c:v>
                </c:pt>
                <c:pt idx="141">
                  <c:v>94.705118694361971</c:v>
                </c:pt>
                <c:pt idx="142">
                  <c:v>95.191951038575624</c:v>
                </c:pt>
                <c:pt idx="143">
                  <c:v>95.715875370919846</c:v>
                </c:pt>
                <c:pt idx="144">
                  <c:v>96.759087537091958</c:v>
                </c:pt>
                <c:pt idx="145">
                  <c:v>97.060459940652791</c:v>
                </c:pt>
                <c:pt idx="146">
                  <c:v>97.718842729970305</c:v>
                </c:pt>
                <c:pt idx="147">
                  <c:v>97.871847181008874</c:v>
                </c:pt>
                <c:pt idx="148">
                  <c:v>94.723664688427277</c:v>
                </c:pt>
                <c:pt idx="149">
                  <c:v>96.012611275964375</c:v>
                </c:pt>
                <c:pt idx="150">
                  <c:v>95.794695845697305</c:v>
                </c:pt>
                <c:pt idx="151">
                  <c:v>95.697329376854569</c:v>
                </c:pt>
                <c:pt idx="152">
                  <c:v>95.539688427299666</c:v>
                </c:pt>
                <c:pt idx="153">
                  <c:v>96.235163204747735</c:v>
                </c:pt>
                <c:pt idx="154">
                  <c:v>96.791543026706179</c:v>
                </c:pt>
                <c:pt idx="155">
                  <c:v>97.028004451038541</c:v>
                </c:pt>
                <c:pt idx="156">
                  <c:v>97.014094955489583</c:v>
                </c:pt>
                <c:pt idx="157">
                  <c:v>97.746661721068207</c:v>
                </c:pt>
                <c:pt idx="158">
                  <c:v>97.055823442136472</c:v>
                </c:pt>
                <c:pt idx="159">
                  <c:v>97.199554896142402</c:v>
                </c:pt>
                <c:pt idx="160">
                  <c:v>96.754451038575638</c:v>
                </c:pt>
                <c:pt idx="161">
                  <c:v>96.19807121661718</c:v>
                </c:pt>
                <c:pt idx="162">
                  <c:v>96.267618694362</c:v>
                </c:pt>
                <c:pt idx="163">
                  <c:v>97.046550445103847</c:v>
                </c:pt>
                <c:pt idx="164">
                  <c:v>97.714206231454</c:v>
                </c:pt>
                <c:pt idx="165">
                  <c:v>97.491654302670625</c:v>
                </c:pt>
                <c:pt idx="166">
                  <c:v>97.955304154302667</c:v>
                </c:pt>
                <c:pt idx="167">
                  <c:v>97.728115727002958</c:v>
                </c:pt>
                <c:pt idx="168">
                  <c:v>97.148553412462903</c:v>
                </c:pt>
                <c:pt idx="169">
                  <c:v>97.287648367952528</c:v>
                </c:pt>
                <c:pt idx="170">
                  <c:v>96.490170623145403</c:v>
                </c:pt>
                <c:pt idx="171">
                  <c:v>96.939910979228486</c:v>
                </c:pt>
                <c:pt idx="172">
                  <c:v>97.983123145400597</c:v>
                </c:pt>
                <c:pt idx="173">
                  <c:v>97.014094955489625</c:v>
                </c:pt>
                <c:pt idx="174">
                  <c:v>97.347922848664695</c:v>
                </c:pt>
                <c:pt idx="175">
                  <c:v>97.704933234421361</c:v>
                </c:pt>
                <c:pt idx="176">
                  <c:v>98.233494065281903</c:v>
                </c:pt>
                <c:pt idx="177">
                  <c:v>98.734235905044514</c:v>
                </c:pt>
                <c:pt idx="178">
                  <c:v>98.817692878338292</c:v>
                </c:pt>
                <c:pt idx="179">
                  <c:v>98.83160237388725</c:v>
                </c:pt>
                <c:pt idx="180">
                  <c:v>97.99703264094957</c:v>
                </c:pt>
                <c:pt idx="181">
                  <c:v>98.126854599406528</c:v>
                </c:pt>
                <c:pt idx="182">
                  <c:v>98.919695845697319</c:v>
                </c:pt>
                <c:pt idx="183">
                  <c:v>99.434347181008889</c:v>
                </c:pt>
                <c:pt idx="184">
                  <c:v>99.698627596439138</c:v>
                </c:pt>
                <c:pt idx="185">
                  <c:v>99.156157270029652</c:v>
                </c:pt>
                <c:pt idx="186">
                  <c:v>99.360163204747764</c:v>
                </c:pt>
                <c:pt idx="187">
                  <c:v>99.591988130563792</c:v>
                </c:pt>
                <c:pt idx="188">
                  <c:v>99.698627596439152</c:v>
                </c:pt>
                <c:pt idx="189">
                  <c:v>99.624443620178027</c:v>
                </c:pt>
                <c:pt idx="190">
                  <c:v>99.285979228486624</c:v>
                </c:pt>
                <c:pt idx="191">
                  <c:v>100.44974035608308</c:v>
                </c:pt>
                <c:pt idx="192">
                  <c:v>100.61201780415431</c:v>
                </c:pt>
                <c:pt idx="193">
                  <c:v>100.70474777448072</c:v>
                </c:pt>
                <c:pt idx="194">
                  <c:v>101.16839762611278</c:v>
                </c:pt>
                <c:pt idx="195">
                  <c:v>100.98293768545997</c:v>
                </c:pt>
                <c:pt idx="196">
                  <c:v>102.05860534124633</c:v>
                </c:pt>
                <c:pt idx="197">
                  <c:v>102.08178783382793</c:v>
                </c:pt>
                <c:pt idx="198">
                  <c:v>99.137611275964431</c:v>
                </c:pt>
                <c:pt idx="199">
                  <c:v>100.98293768546</c:v>
                </c:pt>
                <c:pt idx="200">
                  <c:v>100.94584569732943</c:v>
                </c:pt>
                <c:pt idx="201">
                  <c:v>100.12982195845703</c:v>
                </c:pt>
                <c:pt idx="202">
                  <c:v>100.04636498516327</c:v>
                </c:pt>
                <c:pt idx="203">
                  <c:v>99.948998516320529</c:v>
                </c:pt>
                <c:pt idx="204">
                  <c:v>101.70159495548967</c:v>
                </c:pt>
                <c:pt idx="205">
                  <c:v>102.14669881305643</c:v>
                </c:pt>
                <c:pt idx="206">
                  <c:v>100.87166172106831</c:v>
                </c:pt>
                <c:pt idx="207">
                  <c:v>102.09569732937692</c:v>
                </c:pt>
                <c:pt idx="208">
                  <c:v>102.77262611275971</c:v>
                </c:pt>
                <c:pt idx="209">
                  <c:v>103.63965133531164</c:v>
                </c:pt>
                <c:pt idx="210">
                  <c:v>104.02448071216624</c:v>
                </c:pt>
                <c:pt idx="211">
                  <c:v>104.23312314540065</c:v>
                </c:pt>
                <c:pt idx="212">
                  <c:v>104.02911721068254</c:v>
                </c:pt>
                <c:pt idx="213">
                  <c:v>104.34903560830867</c:v>
                </c:pt>
                <c:pt idx="214">
                  <c:v>104.66895400593479</c:v>
                </c:pt>
                <c:pt idx="215">
                  <c:v>103.65819732937692</c:v>
                </c:pt>
                <c:pt idx="216">
                  <c:v>104.41858308605349</c:v>
                </c:pt>
                <c:pt idx="217">
                  <c:v>102.47589020771521</c:v>
                </c:pt>
                <c:pt idx="218">
                  <c:v>102.13278931750749</c:v>
                </c:pt>
                <c:pt idx="219">
                  <c:v>103.69992581602381</c:v>
                </c:pt>
                <c:pt idx="220">
                  <c:v>103.86683976261135</c:v>
                </c:pt>
                <c:pt idx="221">
                  <c:v>103.96420623145407</c:v>
                </c:pt>
                <c:pt idx="222">
                  <c:v>101.74332344213657</c:v>
                </c:pt>
                <c:pt idx="223">
                  <c:v>102.1327893175075</c:v>
                </c:pt>
                <c:pt idx="224">
                  <c:v>100.85775222551938</c:v>
                </c:pt>
                <c:pt idx="225">
                  <c:v>100.7279302670624</c:v>
                </c:pt>
                <c:pt idx="226">
                  <c:v>101.52077151335321</c:v>
                </c:pt>
                <c:pt idx="227">
                  <c:v>100.56101632047486</c:v>
                </c:pt>
                <c:pt idx="228">
                  <c:v>100.95511869436211</c:v>
                </c:pt>
                <c:pt idx="229">
                  <c:v>102.21160979228496</c:v>
                </c:pt>
                <c:pt idx="230">
                  <c:v>102.58716617210693</c:v>
                </c:pt>
                <c:pt idx="231">
                  <c:v>103.44955489614254</c:v>
                </c:pt>
                <c:pt idx="232">
                  <c:v>103.38464391691406</c:v>
                </c:pt>
                <c:pt idx="233">
                  <c:v>103.76947329376867</c:v>
                </c:pt>
                <c:pt idx="234">
                  <c:v>103.58864985163216</c:v>
                </c:pt>
                <c:pt idx="235">
                  <c:v>103.50519287833839</c:v>
                </c:pt>
                <c:pt idx="236">
                  <c:v>103.22700296735914</c:v>
                </c:pt>
                <c:pt idx="237">
                  <c:v>103.41709940652829</c:v>
                </c:pt>
                <c:pt idx="238">
                  <c:v>103.97811572700307</c:v>
                </c:pt>
                <c:pt idx="239">
                  <c:v>103.41709940652831</c:v>
                </c:pt>
                <c:pt idx="240">
                  <c:v>103.71847181008913</c:v>
                </c:pt>
                <c:pt idx="241">
                  <c:v>103.76483679525234</c:v>
                </c:pt>
                <c:pt idx="242">
                  <c:v>103.42173590504463</c:v>
                </c:pt>
                <c:pt idx="243">
                  <c:v>102.37852373887252</c:v>
                </c:pt>
                <c:pt idx="244">
                  <c:v>102.03542284866479</c:v>
                </c:pt>
                <c:pt idx="245">
                  <c:v>101.57177299703274</c:v>
                </c:pt>
                <c:pt idx="246">
                  <c:v>101.04784866468853</c:v>
                </c:pt>
                <c:pt idx="247">
                  <c:v>101.95196587537102</c:v>
                </c:pt>
                <c:pt idx="248">
                  <c:v>102.3738872403562</c:v>
                </c:pt>
                <c:pt idx="249">
                  <c:v>102.74944362017816</c:v>
                </c:pt>
                <c:pt idx="250">
                  <c:v>102.99517804154313</c:v>
                </c:pt>
                <c:pt idx="251">
                  <c:v>103.11572700296747</c:v>
                </c:pt>
                <c:pt idx="252">
                  <c:v>103.13427299703275</c:v>
                </c:pt>
                <c:pt idx="253">
                  <c:v>102.83290059347192</c:v>
                </c:pt>
                <c:pt idx="254">
                  <c:v>103.45882789317518</c:v>
                </c:pt>
                <c:pt idx="255">
                  <c:v>104.20530415430278</c:v>
                </c:pt>
                <c:pt idx="256">
                  <c:v>104.43249258160247</c:v>
                </c:pt>
                <c:pt idx="257">
                  <c:v>104.48813056379831</c:v>
                </c:pt>
                <c:pt idx="258">
                  <c:v>105.18360534124638</c:v>
                </c:pt>
                <c:pt idx="259">
                  <c:v>105.20215133531164</c:v>
                </c:pt>
                <c:pt idx="260">
                  <c:v>104.97959940652825</c:v>
                </c:pt>
                <c:pt idx="261">
                  <c:v>104.33512611275972</c:v>
                </c:pt>
                <c:pt idx="262">
                  <c:v>105.51279673590513</c:v>
                </c:pt>
                <c:pt idx="263">
                  <c:v>105.40152077151345</c:v>
                </c:pt>
                <c:pt idx="264">
                  <c:v>103.77874629080128</c:v>
                </c:pt>
                <c:pt idx="265">
                  <c:v>102.12351632047486</c:v>
                </c:pt>
              </c:numCache>
            </c:numRef>
          </c:val>
          <c:smooth val="0"/>
          <c:extLst>
            <c:ext xmlns:c16="http://schemas.microsoft.com/office/drawing/2014/chart" uri="{C3380CC4-5D6E-409C-BE32-E72D297353CC}">
              <c16:uniqueId val="{00000001-58B4-46CA-A52A-40917A4EFA64}"/>
            </c:ext>
          </c:extLst>
        </c:ser>
        <c:ser>
          <c:idx val="2"/>
          <c:order val="2"/>
          <c:tx>
            <c:strRef>
              <c:f>DataBase.!$AQ$2</c:f>
              <c:strCache>
                <c:ptCount val="1"/>
                <c:pt idx="0">
                  <c:v>IWDA</c:v>
                </c:pt>
              </c:strCache>
            </c:strRef>
          </c:tx>
          <c:spPr>
            <a:ln w="12700" cap="rnd">
              <a:solidFill>
                <a:srgbClr val="C0C0C0"/>
              </a:solidFill>
              <a:prstDash val="lgDashDotDot"/>
              <a:round/>
            </a:ln>
            <a:effectLst/>
          </c:spPr>
          <c:marker>
            <c:symbol val="none"/>
          </c:marker>
          <c:cat>
            <c:numRef>
              <c:f>DataBase.!$AG$3:$AG$268</c:f>
              <c:numCache>
                <c:formatCode>m/d/yyyy</c:formatCode>
                <c:ptCount val="266"/>
                <c:pt idx="0">
                  <c:v>45659</c:v>
                </c:pt>
                <c:pt idx="1">
                  <c:v>45660</c:v>
                </c:pt>
                <c:pt idx="2">
                  <c:v>45663</c:v>
                </c:pt>
                <c:pt idx="3">
                  <c:v>45664</c:v>
                </c:pt>
                <c:pt idx="4">
                  <c:v>45665</c:v>
                </c:pt>
                <c:pt idx="5">
                  <c:v>45666</c:v>
                </c:pt>
                <c:pt idx="6">
                  <c:v>45667</c:v>
                </c:pt>
                <c:pt idx="7">
                  <c:v>45670</c:v>
                </c:pt>
                <c:pt idx="8">
                  <c:v>45671</c:v>
                </c:pt>
                <c:pt idx="9">
                  <c:v>45672</c:v>
                </c:pt>
                <c:pt idx="10">
                  <c:v>45673</c:v>
                </c:pt>
                <c:pt idx="11">
                  <c:v>45674</c:v>
                </c:pt>
                <c:pt idx="12">
                  <c:v>45677</c:v>
                </c:pt>
                <c:pt idx="13">
                  <c:v>45678</c:v>
                </c:pt>
                <c:pt idx="14">
                  <c:v>45679</c:v>
                </c:pt>
                <c:pt idx="15">
                  <c:v>45680</c:v>
                </c:pt>
                <c:pt idx="16">
                  <c:v>45681</c:v>
                </c:pt>
                <c:pt idx="17">
                  <c:v>45684</c:v>
                </c:pt>
                <c:pt idx="18">
                  <c:v>45685</c:v>
                </c:pt>
                <c:pt idx="19">
                  <c:v>45686</c:v>
                </c:pt>
                <c:pt idx="20">
                  <c:v>45687</c:v>
                </c:pt>
                <c:pt idx="21">
                  <c:v>45688</c:v>
                </c:pt>
                <c:pt idx="22">
                  <c:v>45691</c:v>
                </c:pt>
                <c:pt idx="23">
                  <c:v>45692</c:v>
                </c:pt>
                <c:pt idx="24">
                  <c:v>45693</c:v>
                </c:pt>
                <c:pt idx="25">
                  <c:v>45694</c:v>
                </c:pt>
                <c:pt idx="26">
                  <c:v>45695</c:v>
                </c:pt>
                <c:pt idx="27">
                  <c:v>45698</c:v>
                </c:pt>
                <c:pt idx="28">
                  <c:v>45699</c:v>
                </c:pt>
                <c:pt idx="29">
                  <c:v>45700</c:v>
                </c:pt>
                <c:pt idx="30">
                  <c:v>45701</c:v>
                </c:pt>
                <c:pt idx="31">
                  <c:v>45702</c:v>
                </c:pt>
                <c:pt idx="32">
                  <c:v>45705</c:v>
                </c:pt>
                <c:pt idx="33">
                  <c:v>45706</c:v>
                </c:pt>
                <c:pt idx="34">
                  <c:v>45707</c:v>
                </c:pt>
                <c:pt idx="35">
                  <c:v>45708</c:v>
                </c:pt>
                <c:pt idx="36">
                  <c:v>45709</c:v>
                </c:pt>
                <c:pt idx="37">
                  <c:v>45712</c:v>
                </c:pt>
                <c:pt idx="38">
                  <c:v>45713</c:v>
                </c:pt>
                <c:pt idx="39">
                  <c:v>45714</c:v>
                </c:pt>
                <c:pt idx="40">
                  <c:v>45715</c:v>
                </c:pt>
                <c:pt idx="41">
                  <c:v>45716</c:v>
                </c:pt>
                <c:pt idx="42">
                  <c:v>45719</c:v>
                </c:pt>
                <c:pt idx="43">
                  <c:v>45720</c:v>
                </c:pt>
                <c:pt idx="44">
                  <c:v>45721</c:v>
                </c:pt>
                <c:pt idx="45">
                  <c:v>45722</c:v>
                </c:pt>
                <c:pt idx="46">
                  <c:v>45723</c:v>
                </c:pt>
                <c:pt idx="47">
                  <c:v>45726</c:v>
                </c:pt>
                <c:pt idx="48">
                  <c:v>45727</c:v>
                </c:pt>
                <c:pt idx="49">
                  <c:v>45728</c:v>
                </c:pt>
                <c:pt idx="50">
                  <c:v>45729</c:v>
                </c:pt>
                <c:pt idx="51">
                  <c:v>45730</c:v>
                </c:pt>
                <c:pt idx="52">
                  <c:v>45733</c:v>
                </c:pt>
                <c:pt idx="53">
                  <c:v>45734</c:v>
                </c:pt>
                <c:pt idx="54">
                  <c:v>45735</c:v>
                </c:pt>
                <c:pt idx="55">
                  <c:v>45736</c:v>
                </c:pt>
                <c:pt idx="56">
                  <c:v>45737</c:v>
                </c:pt>
                <c:pt idx="57">
                  <c:v>45740</c:v>
                </c:pt>
                <c:pt idx="58">
                  <c:v>45741</c:v>
                </c:pt>
                <c:pt idx="59">
                  <c:v>45742</c:v>
                </c:pt>
                <c:pt idx="60">
                  <c:v>45743</c:v>
                </c:pt>
                <c:pt idx="61">
                  <c:v>45744</c:v>
                </c:pt>
                <c:pt idx="62">
                  <c:v>45747</c:v>
                </c:pt>
                <c:pt idx="63">
                  <c:v>45748</c:v>
                </c:pt>
                <c:pt idx="64">
                  <c:v>45749</c:v>
                </c:pt>
                <c:pt idx="65">
                  <c:v>45750</c:v>
                </c:pt>
                <c:pt idx="66">
                  <c:v>45751</c:v>
                </c:pt>
                <c:pt idx="67">
                  <c:v>45754</c:v>
                </c:pt>
                <c:pt idx="68">
                  <c:v>45755</c:v>
                </c:pt>
                <c:pt idx="69">
                  <c:v>45756</c:v>
                </c:pt>
                <c:pt idx="70">
                  <c:v>45757</c:v>
                </c:pt>
                <c:pt idx="71">
                  <c:v>45758</c:v>
                </c:pt>
                <c:pt idx="72">
                  <c:v>45761</c:v>
                </c:pt>
                <c:pt idx="73">
                  <c:v>45762</c:v>
                </c:pt>
                <c:pt idx="74">
                  <c:v>45763</c:v>
                </c:pt>
                <c:pt idx="75">
                  <c:v>45764</c:v>
                </c:pt>
                <c:pt idx="76">
                  <c:v>45769</c:v>
                </c:pt>
                <c:pt idx="77">
                  <c:v>45770</c:v>
                </c:pt>
                <c:pt idx="78">
                  <c:v>45771</c:v>
                </c:pt>
                <c:pt idx="79">
                  <c:v>45772</c:v>
                </c:pt>
                <c:pt idx="80">
                  <c:v>45775</c:v>
                </c:pt>
                <c:pt idx="81">
                  <c:v>45776</c:v>
                </c:pt>
                <c:pt idx="82">
                  <c:v>45777</c:v>
                </c:pt>
                <c:pt idx="83">
                  <c:v>45779</c:v>
                </c:pt>
                <c:pt idx="84">
                  <c:v>45782</c:v>
                </c:pt>
                <c:pt idx="85">
                  <c:v>45783</c:v>
                </c:pt>
                <c:pt idx="86">
                  <c:v>45784</c:v>
                </c:pt>
                <c:pt idx="87">
                  <c:v>45785</c:v>
                </c:pt>
                <c:pt idx="88">
                  <c:v>45786</c:v>
                </c:pt>
                <c:pt idx="89">
                  <c:v>45789</c:v>
                </c:pt>
                <c:pt idx="90">
                  <c:v>45790</c:v>
                </c:pt>
                <c:pt idx="91">
                  <c:v>45791</c:v>
                </c:pt>
                <c:pt idx="92">
                  <c:v>45792</c:v>
                </c:pt>
                <c:pt idx="93">
                  <c:v>45793</c:v>
                </c:pt>
                <c:pt idx="94">
                  <c:v>45796</c:v>
                </c:pt>
                <c:pt idx="95">
                  <c:v>45797</c:v>
                </c:pt>
                <c:pt idx="96">
                  <c:v>45798</c:v>
                </c:pt>
                <c:pt idx="97">
                  <c:v>45799</c:v>
                </c:pt>
                <c:pt idx="98">
                  <c:v>45800</c:v>
                </c:pt>
                <c:pt idx="99">
                  <c:v>45803</c:v>
                </c:pt>
                <c:pt idx="100">
                  <c:v>45804</c:v>
                </c:pt>
                <c:pt idx="101">
                  <c:v>45805</c:v>
                </c:pt>
                <c:pt idx="102">
                  <c:v>45806</c:v>
                </c:pt>
                <c:pt idx="103">
                  <c:v>45807</c:v>
                </c:pt>
                <c:pt idx="104">
                  <c:v>45810</c:v>
                </c:pt>
                <c:pt idx="105">
                  <c:v>45811</c:v>
                </c:pt>
                <c:pt idx="106">
                  <c:v>45812</c:v>
                </c:pt>
                <c:pt idx="107">
                  <c:v>45813</c:v>
                </c:pt>
                <c:pt idx="108">
                  <c:v>45814</c:v>
                </c:pt>
                <c:pt idx="109">
                  <c:v>45817</c:v>
                </c:pt>
                <c:pt idx="110">
                  <c:v>45818</c:v>
                </c:pt>
                <c:pt idx="111">
                  <c:v>45819</c:v>
                </c:pt>
                <c:pt idx="112">
                  <c:v>45820</c:v>
                </c:pt>
                <c:pt idx="113">
                  <c:v>45821</c:v>
                </c:pt>
                <c:pt idx="114">
                  <c:v>45824</c:v>
                </c:pt>
                <c:pt idx="115">
                  <c:v>45825</c:v>
                </c:pt>
                <c:pt idx="116">
                  <c:v>45826</c:v>
                </c:pt>
                <c:pt idx="117">
                  <c:v>45827</c:v>
                </c:pt>
                <c:pt idx="118">
                  <c:v>45828</c:v>
                </c:pt>
                <c:pt idx="119">
                  <c:v>45831</c:v>
                </c:pt>
                <c:pt idx="120">
                  <c:v>45832</c:v>
                </c:pt>
                <c:pt idx="121">
                  <c:v>45833</c:v>
                </c:pt>
                <c:pt idx="122">
                  <c:v>45834</c:v>
                </c:pt>
                <c:pt idx="123">
                  <c:v>45835</c:v>
                </c:pt>
                <c:pt idx="124">
                  <c:v>45838</c:v>
                </c:pt>
                <c:pt idx="125">
                  <c:v>45839</c:v>
                </c:pt>
                <c:pt idx="126">
                  <c:v>45840</c:v>
                </c:pt>
                <c:pt idx="127">
                  <c:v>45841</c:v>
                </c:pt>
                <c:pt idx="128">
                  <c:v>45842</c:v>
                </c:pt>
                <c:pt idx="129">
                  <c:v>45845</c:v>
                </c:pt>
                <c:pt idx="130">
                  <c:v>45846</c:v>
                </c:pt>
                <c:pt idx="131">
                  <c:v>45847</c:v>
                </c:pt>
                <c:pt idx="132">
                  <c:v>45848</c:v>
                </c:pt>
                <c:pt idx="133">
                  <c:v>45849</c:v>
                </c:pt>
                <c:pt idx="134">
                  <c:v>45852</c:v>
                </c:pt>
                <c:pt idx="135">
                  <c:v>45853</c:v>
                </c:pt>
                <c:pt idx="136">
                  <c:v>45854</c:v>
                </c:pt>
                <c:pt idx="137">
                  <c:v>45855</c:v>
                </c:pt>
                <c:pt idx="138">
                  <c:v>45856</c:v>
                </c:pt>
                <c:pt idx="139">
                  <c:v>45859</c:v>
                </c:pt>
                <c:pt idx="140">
                  <c:v>45860</c:v>
                </c:pt>
                <c:pt idx="141">
                  <c:v>45861</c:v>
                </c:pt>
                <c:pt idx="142">
                  <c:v>45862</c:v>
                </c:pt>
                <c:pt idx="143">
                  <c:v>45863</c:v>
                </c:pt>
                <c:pt idx="144">
                  <c:v>45866</c:v>
                </c:pt>
                <c:pt idx="145">
                  <c:v>45867</c:v>
                </c:pt>
                <c:pt idx="146">
                  <c:v>45868</c:v>
                </c:pt>
                <c:pt idx="147">
                  <c:v>45869</c:v>
                </c:pt>
                <c:pt idx="148">
                  <c:v>45870</c:v>
                </c:pt>
                <c:pt idx="149">
                  <c:v>45873</c:v>
                </c:pt>
                <c:pt idx="150">
                  <c:v>45874</c:v>
                </c:pt>
                <c:pt idx="151">
                  <c:v>45875</c:v>
                </c:pt>
                <c:pt idx="152">
                  <c:v>45876</c:v>
                </c:pt>
                <c:pt idx="153">
                  <c:v>45877</c:v>
                </c:pt>
                <c:pt idx="154">
                  <c:v>45880</c:v>
                </c:pt>
                <c:pt idx="155">
                  <c:v>45881</c:v>
                </c:pt>
                <c:pt idx="156">
                  <c:v>45882</c:v>
                </c:pt>
                <c:pt idx="157">
                  <c:v>45883</c:v>
                </c:pt>
                <c:pt idx="158">
                  <c:v>45884</c:v>
                </c:pt>
                <c:pt idx="159">
                  <c:v>45887</c:v>
                </c:pt>
                <c:pt idx="160">
                  <c:v>45888</c:v>
                </c:pt>
                <c:pt idx="161">
                  <c:v>45889</c:v>
                </c:pt>
                <c:pt idx="162">
                  <c:v>45890</c:v>
                </c:pt>
                <c:pt idx="163">
                  <c:v>45891</c:v>
                </c:pt>
                <c:pt idx="164">
                  <c:v>45894</c:v>
                </c:pt>
                <c:pt idx="165">
                  <c:v>45895</c:v>
                </c:pt>
                <c:pt idx="166">
                  <c:v>45896</c:v>
                </c:pt>
                <c:pt idx="167">
                  <c:v>45897</c:v>
                </c:pt>
                <c:pt idx="168">
                  <c:v>45898</c:v>
                </c:pt>
                <c:pt idx="169">
                  <c:v>45901</c:v>
                </c:pt>
                <c:pt idx="170">
                  <c:v>45902</c:v>
                </c:pt>
                <c:pt idx="171">
                  <c:v>45903</c:v>
                </c:pt>
                <c:pt idx="172">
                  <c:v>45904</c:v>
                </c:pt>
                <c:pt idx="173">
                  <c:v>45905</c:v>
                </c:pt>
                <c:pt idx="174">
                  <c:v>45908</c:v>
                </c:pt>
                <c:pt idx="175">
                  <c:v>45909</c:v>
                </c:pt>
                <c:pt idx="176">
                  <c:v>45910</c:v>
                </c:pt>
                <c:pt idx="177">
                  <c:v>45911</c:v>
                </c:pt>
                <c:pt idx="178">
                  <c:v>45912</c:v>
                </c:pt>
                <c:pt idx="179">
                  <c:v>45915</c:v>
                </c:pt>
                <c:pt idx="180">
                  <c:v>45916</c:v>
                </c:pt>
                <c:pt idx="181">
                  <c:v>45917</c:v>
                </c:pt>
                <c:pt idx="182">
                  <c:v>45918</c:v>
                </c:pt>
                <c:pt idx="183">
                  <c:v>45919</c:v>
                </c:pt>
                <c:pt idx="184">
                  <c:v>45922</c:v>
                </c:pt>
                <c:pt idx="185">
                  <c:v>45923</c:v>
                </c:pt>
                <c:pt idx="186">
                  <c:v>45924</c:v>
                </c:pt>
                <c:pt idx="187">
                  <c:v>45925</c:v>
                </c:pt>
                <c:pt idx="188">
                  <c:v>45926</c:v>
                </c:pt>
                <c:pt idx="189">
                  <c:v>45929</c:v>
                </c:pt>
                <c:pt idx="190">
                  <c:v>45930</c:v>
                </c:pt>
                <c:pt idx="191">
                  <c:v>45931</c:v>
                </c:pt>
                <c:pt idx="192">
                  <c:v>45932</c:v>
                </c:pt>
                <c:pt idx="193">
                  <c:v>45933</c:v>
                </c:pt>
                <c:pt idx="194">
                  <c:v>45936</c:v>
                </c:pt>
                <c:pt idx="195">
                  <c:v>45937</c:v>
                </c:pt>
                <c:pt idx="196">
                  <c:v>45938</c:v>
                </c:pt>
                <c:pt idx="197">
                  <c:v>45939</c:v>
                </c:pt>
                <c:pt idx="198">
                  <c:v>45940</c:v>
                </c:pt>
                <c:pt idx="199">
                  <c:v>45943</c:v>
                </c:pt>
                <c:pt idx="200">
                  <c:v>45944</c:v>
                </c:pt>
                <c:pt idx="201">
                  <c:v>45945</c:v>
                </c:pt>
                <c:pt idx="202">
                  <c:v>45946</c:v>
                </c:pt>
                <c:pt idx="203">
                  <c:v>45947</c:v>
                </c:pt>
                <c:pt idx="204">
                  <c:v>45950</c:v>
                </c:pt>
                <c:pt idx="205">
                  <c:v>45951</c:v>
                </c:pt>
                <c:pt idx="206">
                  <c:v>45952</c:v>
                </c:pt>
                <c:pt idx="207">
                  <c:v>45953</c:v>
                </c:pt>
                <c:pt idx="208">
                  <c:v>45954</c:v>
                </c:pt>
                <c:pt idx="209">
                  <c:v>45957</c:v>
                </c:pt>
                <c:pt idx="210">
                  <c:v>45958</c:v>
                </c:pt>
                <c:pt idx="211">
                  <c:v>45959</c:v>
                </c:pt>
                <c:pt idx="212">
                  <c:v>45960</c:v>
                </c:pt>
                <c:pt idx="213">
                  <c:v>45961</c:v>
                </c:pt>
                <c:pt idx="214">
                  <c:v>45964</c:v>
                </c:pt>
                <c:pt idx="215">
                  <c:v>45965</c:v>
                </c:pt>
                <c:pt idx="216">
                  <c:v>45966</c:v>
                </c:pt>
                <c:pt idx="217">
                  <c:v>45967</c:v>
                </c:pt>
                <c:pt idx="218">
                  <c:v>45968</c:v>
                </c:pt>
                <c:pt idx="219">
                  <c:v>45971</c:v>
                </c:pt>
                <c:pt idx="220">
                  <c:v>45972</c:v>
                </c:pt>
                <c:pt idx="221">
                  <c:v>45973</c:v>
                </c:pt>
                <c:pt idx="222">
                  <c:v>45974</c:v>
                </c:pt>
                <c:pt idx="223">
                  <c:v>45975</c:v>
                </c:pt>
                <c:pt idx="224">
                  <c:v>45978</c:v>
                </c:pt>
                <c:pt idx="225">
                  <c:v>45979</c:v>
                </c:pt>
                <c:pt idx="226">
                  <c:v>45980</c:v>
                </c:pt>
                <c:pt idx="227">
                  <c:v>45981</c:v>
                </c:pt>
                <c:pt idx="228">
                  <c:v>45982</c:v>
                </c:pt>
                <c:pt idx="229">
                  <c:v>45985</c:v>
                </c:pt>
                <c:pt idx="230">
                  <c:v>45986</c:v>
                </c:pt>
                <c:pt idx="231">
                  <c:v>45987</c:v>
                </c:pt>
                <c:pt idx="232">
                  <c:v>45988</c:v>
                </c:pt>
                <c:pt idx="233">
                  <c:v>45989</c:v>
                </c:pt>
                <c:pt idx="234">
                  <c:v>45992</c:v>
                </c:pt>
                <c:pt idx="235">
                  <c:v>45993</c:v>
                </c:pt>
                <c:pt idx="236">
                  <c:v>45994</c:v>
                </c:pt>
                <c:pt idx="237">
                  <c:v>45995</c:v>
                </c:pt>
                <c:pt idx="238">
                  <c:v>45996</c:v>
                </c:pt>
                <c:pt idx="239">
                  <c:v>45999</c:v>
                </c:pt>
                <c:pt idx="240">
                  <c:v>46000</c:v>
                </c:pt>
                <c:pt idx="241">
                  <c:v>46001</c:v>
                </c:pt>
                <c:pt idx="242">
                  <c:v>46002</c:v>
                </c:pt>
                <c:pt idx="243">
                  <c:v>46003</c:v>
                </c:pt>
                <c:pt idx="244">
                  <c:v>46006</c:v>
                </c:pt>
                <c:pt idx="245">
                  <c:v>46007</c:v>
                </c:pt>
                <c:pt idx="246">
                  <c:v>46008</c:v>
                </c:pt>
                <c:pt idx="247">
                  <c:v>46009</c:v>
                </c:pt>
                <c:pt idx="248">
                  <c:v>46010</c:v>
                </c:pt>
                <c:pt idx="249">
                  <c:v>46013</c:v>
                </c:pt>
                <c:pt idx="250">
                  <c:v>46014</c:v>
                </c:pt>
                <c:pt idx="251">
                  <c:v>46020</c:v>
                </c:pt>
                <c:pt idx="252">
                  <c:v>46021</c:v>
                </c:pt>
                <c:pt idx="253">
                  <c:v>46024</c:v>
                </c:pt>
                <c:pt idx="254">
                  <c:v>46027</c:v>
                </c:pt>
                <c:pt idx="255">
                  <c:v>46028</c:v>
                </c:pt>
                <c:pt idx="256">
                  <c:v>46029</c:v>
                </c:pt>
                <c:pt idx="257">
                  <c:v>46030</c:v>
                </c:pt>
                <c:pt idx="258">
                  <c:v>46031</c:v>
                </c:pt>
                <c:pt idx="259">
                  <c:v>46034</c:v>
                </c:pt>
                <c:pt idx="260">
                  <c:v>46035</c:v>
                </c:pt>
                <c:pt idx="261">
                  <c:v>46036</c:v>
                </c:pt>
                <c:pt idx="262">
                  <c:v>46037</c:v>
                </c:pt>
                <c:pt idx="263">
                  <c:v>46038</c:v>
                </c:pt>
                <c:pt idx="264">
                  <c:v>46041</c:v>
                </c:pt>
                <c:pt idx="265">
                  <c:v>46042</c:v>
                </c:pt>
              </c:numCache>
            </c:numRef>
          </c:cat>
          <c:val>
            <c:numRef>
              <c:f>DataBase.!$AQ$3:$AQ$268</c:f>
              <c:numCache>
                <c:formatCode>General</c:formatCode>
                <c:ptCount val="266"/>
                <c:pt idx="0">
                  <c:v>100</c:v>
                </c:pt>
                <c:pt idx="1">
                  <c:v>99.800569800569804</c:v>
                </c:pt>
                <c:pt idx="2">
                  <c:v>100.45109211775879</c:v>
                </c:pt>
                <c:pt idx="3">
                  <c:v>99.762583095916426</c:v>
                </c:pt>
                <c:pt idx="4">
                  <c:v>99.791073124406466</c:v>
                </c:pt>
                <c:pt idx="5">
                  <c:v>99.857549857549884</c:v>
                </c:pt>
                <c:pt idx="6">
                  <c:v>98.898385565052251</c:v>
                </c:pt>
                <c:pt idx="7">
                  <c:v>98.736942070275418</c:v>
                </c:pt>
                <c:pt idx="8">
                  <c:v>98.603988603988611</c:v>
                </c:pt>
                <c:pt idx="9">
                  <c:v>100.1519468186135</c:v>
                </c:pt>
                <c:pt idx="10">
                  <c:v>100.44634377967714</c:v>
                </c:pt>
                <c:pt idx="11">
                  <c:v>101.34377967711303</c:v>
                </c:pt>
                <c:pt idx="12">
                  <c:v>100.83570750237419</c:v>
                </c:pt>
                <c:pt idx="13">
                  <c:v>100.91168091168093</c:v>
                </c:pt>
                <c:pt idx="14">
                  <c:v>101.79487179487181</c:v>
                </c:pt>
                <c:pt idx="15">
                  <c:v>101.9278252611586</c:v>
                </c:pt>
                <c:pt idx="16">
                  <c:v>101.4814814814815</c:v>
                </c:pt>
                <c:pt idx="17">
                  <c:v>99.814814814814838</c:v>
                </c:pt>
                <c:pt idx="18">
                  <c:v>101.12535612535613</c:v>
                </c:pt>
                <c:pt idx="19">
                  <c:v>101.44349477682812</c:v>
                </c:pt>
                <c:pt idx="20">
                  <c:v>101.69040835707504</c:v>
                </c:pt>
                <c:pt idx="21">
                  <c:v>102.73504273504275</c:v>
                </c:pt>
                <c:pt idx="22">
                  <c:v>101.84710351377019</c:v>
                </c:pt>
                <c:pt idx="23">
                  <c:v>101.80911680911682</c:v>
                </c:pt>
                <c:pt idx="24">
                  <c:v>101.53371320037988</c:v>
                </c:pt>
                <c:pt idx="25">
                  <c:v>102.68281101614437</c:v>
                </c:pt>
                <c:pt idx="26">
                  <c:v>102.48812915479584</c:v>
                </c:pt>
                <c:pt idx="27">
                  <c:v>103.05318138651474</c:v>
                </c:pt>
                <c:pt idx="28">
                  <c:v>102.82526115859451</c:v>
                </c:pt>
                <c:pt idx="29">
                  <c:v>102.1462488129155</c:v>
                </c:pt>
                <c:pt idx="30">
                  <c:v>102.68281101614437</c:v>
                </c:pt>
                <c:pt idx="31">
                  <c:v>102.4453941120608</c:v>
                </c:pt>
                <c:pt idx="32">
                  <c:v>102.95346628679964</c:v>
                </c:pt>
                <c:pt idx="33">
                  <c:v>102.99145299145302</c:v>
                </c:pt>
                <c:pt idx="34">
                  <c:v>103.34283000949669</c:v>
                </c:pt>
                <c:pt idx="35">
                  <c:v>102.35517568850904</c:v>
                </c:pt>
                <c:pt idx="36">
                  <c:v>102.39791073124408</c:v>
                </c:pt>
                <c:pt idx="37">
                  <c:v>101.26305792972461</c:v>
                </c:pt>
                <c:pt idx="38">
                  <c:v>99.71509971509974</c:v>
                </c:pt>
                <c:pt idx="39">
                  <c:v>101.03038936372272</c:v>
                </c:pt>
                <c:pt idx="40">
                  <c:v>101.21082621082623</c:v>
                </c:pt>
                <c:pt idx="41">
                  <c:v>100.13770180436849</c:v>
                </c:pt>
                <c:pt idx="42">
                  <c:v>100.42735042735045</c:v>
                </c:pt>
                <c:pt idx="43">
                  <c:v>97.065527065527078</c:v>
                </c:pt>
                <c:pt idx="44">
                  <c:v>95.674264007597358</c:v>
                </c:pt>
                <c:pt idx="45">
                  <c:v>95.959164292497647</c:v>
                </c:pt>
                <c:pt idx="46">
                  <c:v>94.178537511870857</c:v>
                </c:pt>
                <c:pt idx="47">
                  <c:v>93.475783475783487</c:v>
                </c:pt>
                <c:pt idx="48">
                  <c:v>91.538461538461547</c:v>
                </c:pt>
                <c:pt idx="49">
                  <c:v>92.492877492877511</c:v>
                </c:pt>
                <c:pt idx="50">
                  <c:v>91.856600189933545</c:v>
                </c:pt>
                <c:pt idx="51">
                  <c:v>92.891737891737918</c:v>
                </c:pt>
                <c:pt idx="52">
                  <c:v>93.304843304843331</c:v>
                </c:pt>
                <c:pt idx="53">
                  <c:v>92.939221272554633</c:v>
                </c:pt>
                <c:pt idx="54">
                  <c:v>93.888888888888928</c:v>
                </c:pt>
                <c:pt idx="55">
                  <c:v>94.192782526115906</c:v>
                </c:pt>
                <c:pt idx="56">
                  <c:v>93.998100664767378</c:v>
                </c:pt>
                <c:pt idx="57">
                  <c:v>95.617283950617335</c:v>
                </c:pt>
                <c:pt idx="58">
                  <c:v>95.764482431149162</c:v>
                </c:pt>
                <c:pt idx="59">
                  <c:v>95.299145299145351</c:v>
                </c:pt>
                <c:pt idx="60">
                  <c:v>94.914529914529965</c:v>
                </c:pt>
                <c:pt idx="61">
                  <c:v>92.901234567901298</c:v>
                </c:pt>
                <c:pt idx="62">
                  <c:v>92.236467236467291</c:v>
                </c:pt>
                <c:pt idx="63">
                  <c:v>93.428300094966815</c:v>
                </c:pt>
                <c:pt idx="64">
                  <c:v>93.366571699905094</c:v>
                </c:pt>
                <c:pt idx="65">
                  <c:v>88.812915479582202</c:v>
                </c:pt>
                <c:pt idx="66">
                  <c:v>84.629629629629676</c:v>
                </c:pt>
                <c:pt idx="67">
                  <c:v>82.14624881291553</c:v>
                </c:pt>
                <c:pt idx="68">
                  <c:v>84.947768281101673</c:v>
                </c:pt>
                <c:pt idx="69">
                  <c:v>81.030389363722747</c:v>
                </c:pt>
                <c:pt idx="70">
                  <c:v>84.240265906932621</c:v>
                </c:pt>
                <c:pt idx="71">
                  <c:v>83.385565052231783</c:v>
                </c:pt>
                <c:pt idx="72">
                  <c:v>85.792972459639188</c:v>
                </c:pt>
                <c:pt idx="73">
                  <c:v>86.638176638176716</c:v>
                </c:pt>
                <c:pt idx="74">
                  <c:v>85.588793922127337</c:v>
                </c:pt>
                <c:pt idx="75">
                  <c:v>84.776828110161517</c:v>
                </c:pt>
                <c:pt idx="76">
                  <c:v>84.074074074074161</c:v>
                </c:pt>
                <c:pt idx="77">
                  <c:v>86.661918328585074</c:v>
                </c:pt>
                <c:pt idx="78">
                  <c:v>87.288698955365703</c:v>
                </c:pt>
                <c:pt idx="79">
                  <c:v>87.758784425451168</c:v>
                </c:pt>
                <c:pt idx="80">
                  <c:v>87.896486229819644</c:v>
                </c:pt>
                <c:pt idx="81">
                  <c:v>88.309591642925042</c:v>
                </c:pt>
                <c:pt idx="82">
                  <c:v>88.632478632478708</c:v>
                </c:pt>
                <c:pt idx="83">
                  <c:v>90.802469135802539</c:v>
                </c:pt>
                <c:pt idx="84">
                  <c:v>90.935422602089346</c:v>
                </c:pt>
                <c:pt idx="85">
                  <c:v>90.493827160493922</c:v>
                </c:pt>
                <c:pt idx="86">
                  <c:v>90.023741690408443</c:v>
                </c:pt>
                <c:pt idx="87">
                  <c:v>91.505223171889938</c:v>
                </c:pt>
                <c:pt idx="88">
                  <c:v>91.438746438746534</c:v>
                </c:pt>
                <c:pt idx="89">
                  <c:v>94.444444444444542</c:v>
                </c:pt>
                <c:pt idx="90">
                  <c:v>95.071225071225172</c:v>
                </c:pt>
                <c:pt idx="91">
                  <c:v>94.805318138651572</c:v>
                </c:pt>
                <c:pt idx="92">
                  <c:v>95.170940170940284</c:v>
                </c:pt>
                <c:pt idx="93">
                  <c:v>95.864197530864317</c:v>
                </c:pt>
                <c:pt idx="94">
                  <c:v>95.303893637227105</c:v>
                </c:pt>
                <c:pt idx="95">
                  <c:v>95.517568850902308</c:v>
                </c:pt>
                <c:pt idx="96">
                  <c:v>94.810066476733255</c:v>
                </c:pt>
                <c:pt idx="97">
                  <c:v>94.050332383665832</c:v>
                </c:pt>
                <c:pt idx="98">
                  <c:v>93.062678062678188</c:v>
                </c:pt>
                <c:pt idx="99">
                  <c:v>93.912630579297371</c:v>
                </c:pt>
                <c:pt idx="100">
                  <c:v>94.615384615384741</c:v>
                </c:pt>
                <c:pt idx="101">
                  <c:v>94.738841405508211</c:v>
                </c:pt>
                <c:pt idx="102">
                  <c:v>94.2735042735044</c:v>
                </c:pt>
                <c:pt idx="103">
                  <c:v>94.278252611586083</c:v>
                </c:pt>
                <c:pt idx="104">
                  <c:v>93.827160493827279</c:v>
                </c:pt>
                <c:pt idx="105">
                  <c:v>95.023741690408485</c:v>
                </c:pt>
                <c:pt idx="106">
                  <c:v>95.023741690408485</c:v>
                </c:pt>
                <c:pt idx="107">
                  <c:v>95.104463437796895</c:v>
                </c:pt>
                <c:pt idx="108">
                  <c:v>95.470085470085607</c:v>
                </c:pt>
                <c:pt idx="109">
                  <c:v>95.403608736942189</c:v>
                </c:pt>
                <c:pt idx="110">
                  <c:v>95.455840455840587</c:v>
                </c:pt>
                <c:pt idx="111">
                  <c:v>95.384615384615515</c:v>
                </c:pt>
                <c:pt idx="112">
                  <c:v>94.563152896486358</c:v>
                </c:pt>
                <c:pt idx="113">
                  <c:v>94.249762583096043</c:v>
                </c:pt>
                <c:pt idx="114">
                  <c:v>94.586894586894715</c:v>
                </c:pt>
                <c:pt idx="115">
                  <c:v>94.363722697056161</c:v>
                </c:pt>
                <c:pt idx="116">
                  <c:v>94.335232668566135</c:v>
                </c:pt>
                <c:pt idx="117">
                  <c:v>93.589743589743719</c:v>
                </c:pt>
                <c:pt idx="118">
                  <c:v>93.85090218423565</c:v>
                </c:pt>
                <c:pt idx="119">
                  <c:v>93.670465337132129</c:v>
                </c:pt>
                <c:pt idx="120">
                  <c:v>94.544159544159683</c:v>
                </c:pt>
                <c:pt idx="121">
                  <c:v>94.449192782526254</c:v>
                </c:pt>
                <c:pt idx="122">
                  <c:v>94.515669515669671</c:v>
                </c:pt>
                <c:pt idx="123">
                  <c:v>95.313390313390471</c:v>
                </c:pt>
                <c:pt idx="124">
                  <c:v>95.104463437796937</c:v>
                </c:pt>
                <c:pt idx="125">
                  <c:v>94.962013295346793</c:v>
                </c:pt>
                <c:pt idx="126">
                  <c:v>95.156695156695307</c:v>
                </c:pt>
                <c:pt idx="127">
                  <c:v>96.153846153846288</c:v>
                </c:pt>
                <c:pt idx="128">
                  <c:v>95.489078822412296</c:v>
                </c:pt>
                <c:pt idx="129">
                  <c:v>95.778727445394267</c:v>
                </c:pt>
                <c:pt idx="130">
                  <c:v>95.764482431149247</c:v>
                </c:pt>
                <c:pt idx="131">
                  <c:v>96.149097815764634</c:v>
                </c:pt>
                <c:pt idx="132">
                  <c:v>96.804368471035289</c:v>
                </c:pt>
                <c:pt idx="133">
                  <c:v>96.196581196581349</c:v>
                </c:pt>
                <c:pt idx="134">
                  <c:v>96.343779677113162</c:v>
                </c:pt>
                <c:pt idx="135">
                  <c:v>96.904083570750402</c:v>
                </c:pt>
                <c:pt idx="136">
                  <c:v>95.546058879392376</c:v>
                </c:pt>
                <c:pt idx="137">
                  <c:v>97.374169040835881</c:v>
                </c:pt>
                <c:pt idx="138">
                  <c:v>97.041785375118877</c:v>
                </c:pt>
                <c:pt idx="139">
                  <c:v>97.16049382716065</c:v>
                </c:pt>
                <c:pt idx="140">
                  <c:v>96.514719848053332</c:v>
                </c:pt>
                <c:pt idx="141">
                  <c:v>97.326685660019137</c:v>
                </c:pt>
                <c:pt idx="142">
                  <c:v>97.545109211776037</c:v>
                </c:pt>
                <c:pt idx="143">
                  <c:v>97.749287749287916</c:v>
                </c:pt>
                <c:pt idx="144">
                  <c:v>98.58024691358041</c:v>
                </c:pt>
                <c:pt idx="145">
                  <c:v>98.988603988604154</c:v>
                </c:pt>
                <c:pt idx="146">
                  <c:v>99.425451092117925</c:v>
                </c:pt>
                <c:pt idx="147">
                  <c:v>99.653371320038161</c:v>
                </c:pt>
                <c:pt idx="148">
                  <c:v>96.704653371320205</c:v>
                </c:pt>
                <c:pt idx="149">
                  <c:v>97.85849952516638</c:v>
                </c:pt>
                <c:pt idx="150">
                  <c:v>97.625830959164475</c:v>
                </c:pt>
                <c:pt idx="151">
                  <c:v>97.834757834758022</c:v>
                </c:pt>
                <c:pt idx="152">
                  <c:v>98.048433048433239</c:v>
                </c:pt>
                <c:pt idx="153">
                  <c:v>98.323836657170176</c:v>
                </c:pt>
                <c:pt idx="154">
                  <c:v>98.917378917379096</c:v>
                </c:pt>
                <c:pt idx="155">
                  <c:v>98.941120607787454</c:v>
                </c:pt>
                <c:pt idx="156">
                  <c:v>99.059829059829241</c:v>
                </c:pt>
                <c:pt idx="157">
                  <c:v>99.582146248813103</c:v>
                </c:pt>
                <c:pt idx="158">
                  <c:v>99.311490978157835</c:v>
                </c:pt>
                <c:pt idx="159">
                  <c:v>99.477682811016336</c:v>
                </c:pt>
                <c:pt idx="160">
                  <c:v>99.463437796771331</c:v>
                </c:pt>
                <c:pt idx="161">
                  <c:v>98.907882241215773</c:v>
                </c:pt>
                <c:pt idx="162">
                  <c:v>99.287749287749477</c:v>
                </c:pt>
                <c:pt idx="163">
                  <c:v>99.814814814815009</c:v>
                </c:pt>
                <c:pt idx="164">
                  <c:v>99.719848053181565</c:v>
                </c:pt>
                <c:pt idx="165">
                  <c:v>99.5156695156697</c:v>
                </c:pt>
                <c:pt idx="166">
                  <c:v>100.30864197530882</c:v>
                </c:pt>
                <c:pt idx="167">
                  <c:v>100.02374169040853</c:v>
                </c:pt>
                <c:pt idx="168">
                  <c:v>99.325735992402826</c:v>
                </c:pt>
                <c:pt idx="169">
                  <c:v>99.553656220323063</c:v>
                </c:pt>
                <c:pt idx="170">
                  <c:v>98.471035137701975</c:v>
                </c:pt>
                <c:pt idx="171">
                  <c:v>99.121557454890961</c:v>
                </c:pt>
                <c:pt idx="172">
                  <c:v>99.971509971510145</c:v>
                </c:pt>
                <c:pt idx="173">
                  <c:v>99.264007597341106</c:v>
                </c:pt>
                <c:pt idx="174">
                  <c:v>99.905033238366755</c:v>
                </c:pt>
                <c:pt idx="175">
                  <c:v>99.895536562203404</c:v>
                </c:pt>
                <c:pt idx="176">
                  <c:v>100.45109211775896</c:v>
                </c:pt>
                <c:pt idx="177">
                  <c:v>101.08736942070293</c:v>
                </c:pt>
                <c:pt idx="178">
                  <c:v>101.13010446343796</c:v>
                </c:pt>
                <c:pt idx="179">
                  <c:v>101.26780626780644</c:v>
                </c:pt>
                <c:pt idx="180">
                  <c:v>100.41785375118724</c:v>
                </c:pt>
                <c:pt idx="181">
                  <c:v>100.33713200379883</c:v>
                </c:pt>
                <c:pt idx="182">
                  <c:v>101.43399810066494</c:v>
                </c:pt>
                <c:pt idx="183">
                  <c:v>101.54320987654339</c:v>
                </c:pt>
                <c:pt idx="184">
                  <c:v>101.78062678062696</c:v>
                </c:pt>
                <c:pt idx="185">
                  <c:v>101.84710351377036</c:v>
                </c:pt>
                <c:pt idx="186">
                  <c:v>101.71889838556523</c:v>
                </c:pt>
                <c:pt idx="187">
                  <c:v>101.59069325736009</c:v>
                </c:pt>
                <c:pt idx="188">
                  <c:v>101.66191832858516</c:v>
                </c:pt>
                <c:pt idx="189">
                  <c:v>101.96581196581215</c:v>
                </c:pt>
                <c:pt idx="190">
                  <c:v>101.82336182336201</c:v>
                </c:pt>
                <c:pt idx="191">
                  <c:v>102.58309591642943</c:v>
                </c:pt>
                <c:pt idx="192">
                  <c:v>102.94396961063647</c:v>
                </c:pt>
                <c:pt idx="193">
                  <c:v>103.3855650522319</c:v>
                </c:pt>
                <c:pt idx="194">
                  <c:v>103.74169040835724</c:v>
                </c:pt>
                <c:pt idx="195">
                  <c:v>103.57549857549874</c:v>
                </c:pt>
                <c:pt idx="196">
                  <c:v>104.45868945868962</c:v>
                </c:pt>
                <c:pt idx="197">
                  <c:v>104.49667616334298</c:v>
                </c:pt>
                <c:pt idx="198">
                  <c:v>102.4833808167143</c:v>
                </c:pt>
                <c:pt idx="199">
                  <c:v>103.28110161443509</c:v>
                </c:pt>
                <c:pt idx="200">
                  <c:v>102.76353276353289</c:v>
                </c:pt>
                <c:pt idx="201">
                  <c:v>103.44729344729359</c:v>
                </c:pt>
                <c:pt idx="202">
                  <c:v>103.27635327635342</c:v>
                </c:pt>
                <c:pt idx="203">
                  <c:v>102.2507122507124</c:v>
                </c:pt>
                <c:pt idx="204">
                  <c:v>103.99335232668579</c:v>
                </c:pt>
                <c:pt idx="205">
                  <c:v>104.41120607787288</c:v>
                </c:pt>
                <c:pt idx="206">
                  <c:v>103.82241215574562</c:v>
                </c:pt>
                <c:pt idx="207">
                  <c:v>104.22602089268769</c:v>
                </c:pt>
                <c:pt idx="208">
                  <c:v>105.01899335232682</c:v>
                </c:pt>
                <c:pt idx="209">
                  <c:v>105.7549857549859</c:v>
                </c:pt>
                <c:pt idx="210">
                  <c:v>105.95441595441609</c:v>
                </c:pt>
                <c:pt idx="211">
                  <c:v>106.12535612535626</c:v>
                </c:pt>
                <c:pt idx="212">
                  <c:v>106.28205128205143</c:v>
                </c:pt>
                <c:pt idx="213">
                  <c:v>106.15859449192796</c:v>
                </c:pt>
                <c:pt idx="214">
                  <c:v>106.31528964862312</c:v>
                </c:pt>
                <c:pt idx="215">
                  <c:v>105.9354226020894</c:v>
                </c:pt>
                <c:pt idx="216">
                  <c:v>106.11585944919291</c:v>
                </c:pt>
                <c:pt idx="217">
                  <c:v>104.67236467236479</c:v>
                </c:pt>
                <c:pt idx="218">
                  <c:v>103.29059829059841</c:v>
                </c:pt>
                <c:pt idx="219">
                  <c:v>105.35137701804382</c:v>
                </c:pt>
                <c:pt idx="220">
                  <c:v>105.73599240265921</c:v>
                </c:pt>
                <c:pt idx="221">
                  <c:v>106.32478632478646</c:v>
                </c:pt>
                <c:pt idx="222">
                  <c:v>104.95251661918343</c:v>
                </c:pt>
                <c:pt idx="223">
                  <c:v>104.65337132003813</c:v>
                </c:pt>
                <c:pt idx="224">
                  <c:v>104.2260208926877</c:v>
                </c:pt>
                <c:pt idx="225">
                  <c:v>102.83475783475797</c:v>
                </c:pt>
                <c:pt idx="226">
                  <c:v>103.11490978157659</c:v>
                </c:pt>
                <c:pt idx="227">
                  <c:v>103.73694207027555</c:v>
                </c:pt>
                <c:pt idx="228">
                  <c:v>102.66381766381781</c:v>
                </c:pt>
                <c:pt idx="229">
                  <c:v>104.02184235517583</c:v>
                </c:pt>
                <c:pt idx="230">
                  <c:v>104.29724596391279</c:v>
                </c:pt>
                <c:pt idx="231">
                  <c:v>105.47958214624897</c:v>
                </c:pt>
                <c:pt idx="232">
                  <c:v>105.40835707502391</c:v>
                </c:pt>
                <c:pt idx="233">
                  <c:v>105.7929724596393</c:v>
                </c:pt>
                <c:pt idx="234">
                  <c:v>105.38461538461556</c:v>
                </c:pt>
                <c:pt idx="235">
                  <c:v>105.40360873694223</c:v>
                </c:pt>
                <c:pt idx="236">
                  <c:v>105.44634377967729</c:v>
                </c:pt>
                <c:pt idx="237">
                  <c:v>105.6790123456792</c:v>
                </c:pt>
                <c:pt idx="238">
                  <c:v>106.07312440645792</c:v>
                </c:pt>
                <c:pt idx="239">
                  <c:v>105.90218423551775</c:v>
                </c:pt>
                <c:pt idx="240">
                  <c:v>106.01614434947788</c:v>
                </c:pt>
                <c:pt idx="241">
                  <c:v>105.77872744539431</c:v>
                </c:pt>
                <c:pt idx="242">
                  <c:v>105.38936372269724</c:v>
                </c:pt>
                <c:pt idx="243">
                  <c:v>104.73884140550827</c:v>
                </c:pt>
                <c:pt idx="244">
                  <c:v>104.9335232668568</c:v>
                </c:pt>
                <c:pt idx="245">
                  <c:v>104.20702754036107</c:v>
                </c:pt>
                <c:pt idx="246">
                  <c:v>103.7844254510923</c:v>
                </c:pt>
                <c:pt idx="247">
                  <c:v>104.86704653371339</c:v>
                </c:pt>
                <c:pt idx="248">
                  <c:v>105.3656220322889</c:v>
                </c:pt>
                <c:pt idx="249">
                  <c:v>105.56980056980078</c:v>
                </c:pt>
                <c:pt idx="250">
                  <c:v>105.79297245963932</c:v>
                </c:pt>
                <c:pt idx="251">
                  <c:v>105.88793922127273</c:v>
                </c:pt>
                <c:pt idx="252">
                  <c:v>105.94966761633447</c:v>
                </c:pt>
                <c:pt idx="253">
                  <c:v>106.17283950617303</c:v>
                </c:pt>
                <c:pt idx="254">
                  <c:v>105.91642924976277</c:v>
                </c:pt>
                <c:pt idx="255">
                  <c:v>105.73124406457758</c:v>
                </c:pt>
                <c:pt idx="256">
                  <c:v>107.06552706552725</c:v>
                </c:pt>
                <c:pt idx="257">
                  <c:v>107.42640075973429</c:v>
                </c:pt>
                <c:pt idx="258">
                  <c:v>107.74453941120626</c:v>
                </c:pt>
                <c:pt idx="259">
                  <c:v>107.57834757834776</c:v>
                </c:pt>
                <c:pt idx="260">
                  <c:v>108.46153846153862</c:v>
                </c:pt>
                <c:pt idx="261">
                  <c:v>108.40930674264024</c:v>
                </c:pt>
                <c:pt idx="262">
                  <c:v>108.57075023741707</c:v>
                </c:pt>
                <c:pt idx="263">
                  <c:v>107.94396961063644</c:v>
                </c:pt>
                <c:pt idx="264">
                  <c:v>109.1452991452993</c:v>
                </c:pt>
                <c:pt idx="265">
                  <c:v>108.99810066476749</c:v>
                </c:pt>
              </c:numCache>
            </c:numRef>
          </c:val>
          <c:smooth val="0"/>
          <c:extLst>
            <c:ext xmlns:c16="http://schemas.microsoft.com/office/drawing/2014/chart" uri="{C3380CC4-5D6E-409C-BE32-E72D297353CC}">
              <c16:uniqueId val="{00000002-58B4-46CA-A52A-40917A4EFA64}"/>
            </c:ext>
          </c:extLst>
        </c:ser>
        <c:ser>
          <c:idx val="3"/>
          <c:order val="3"/>
          <c:tx>
            <c:strRef>
              <c:f>DataBase.!$AR$2</c:f>
              <c:strCache>
                <c:ptCount val="1"/>
                <c:pt idx="0">
                  <c:v>EXW1</c:v>
                </c:pt>
              </c:strCache>
            </c:strRef>
          </c:tx>
          <c:spPr>
            <a:ln w="12700" cap="rnd">
              <a:solidFill>
                <a:srgbClr val="A6A6A6"/>
              </a:solidFill>
              <a:prstDash val="dash"/>
              <a:round/>
            </a:ln>
            <a:effectLst/>
          </c:spPr>
          <c:marker>
            <c:symbol val="none"/>
          </c:marker>
          <c:cat>
            <c:numRef>
              <c:f>DataBase.!$AG$3:$AG$268</c:f>
              <c:numCache>
                <c:formatCode>m/d/yyyy</c:formatCode>
                <c:ptCount val="266"/>
                <c:pt idx="0">
                  <c:v>45659</c:v>
                </c:pt>
                <c:pt idx="1">
                  <c:v>45660</c:v>
                </c:pt>
                <c:pt idx="2">
                  <c:v>45663</c:v>
                </c:pt>
                <c:pt idx="3">
                  <c:v>45664</c:v>
                </c:pt>
                <c:pt idx="4">
                  <c:v>45665</c:v>
                </c:pt>
                <c:pt idx="5">
                  <c:v>45666</c:v>
                </c:pt>
                <c:pt idx="6">
                  <c:v>45667</c:v>
                </c:pt>
                <c:pt idx="7">
                  <c:v>45670</c:v>
                </c:pt>
                <c:pt idx="8">
                  <c:v>45671</c:v>
                </c:pt>
                <c:pt idx="9">
                  <c:v>45672</c:v>
                </c:pt>
                <c:pt idx="10">
                  <c:v>45673</c:v>
                </c:pt>
                <c:pt idx="11">
                  <c:v>45674</c:v>
                </c:pt>
                <c:pt idx="12">
                  <c:v>45677</c:v>
                </c:pt>
                <c:pt idx="13">
                  <c:v>45678</c:v>
                </c:pt>
                <c:pt idx="14">
                  <c:v>45679</c:v>
                </c:pt>
                <c:pt idx="15">
                  <c:v>45680</c:v>
                </c:pt>
                <c:pt idx="16">
                  <c:v>45681</c:v>
                </c:pt>
                <c:pt idx="17">
                  <c:v>45684</c:v>
                </c:pt>
                <c:pt idx="18">
                  <c:v>45685</c:v>
                </c:pt>
                <c:pt idx="19">
                  <c:v>45686</c:v>
                </c:pt>
                <c:pt idx="20">
                  <c:v>45687</c:v>
                </c:pt>
                <c:pt idx="21">
                  <c:v>45688</c:v>
                </c:pt>
                <c:pt idx="22">
                  <c:v>45691</c:v>
                </c:pt>
                <c:pt idx="23">
                  <c:v>45692</c:v>
                </c:pt>
                <c:pt idx="24">
                  <c:v>45693</c:v>
                </c:pt>
                <c:pt idx="25">
                  <c:v>45694</c:v>
                </c:pt>
                <c:pt idx="26">
                  <c:v>45695</c:v>
                </c:pt>
                <c:pt idx="27">
                  <c:v>45698</c:v>
                </c:pt>
                <c:pt idx="28">
                  <c:v>45699</c:v>
                </c:pt>
                <c:pt idx="29">
                  <c:v>45700</c:v>
                </c:pt>
                <c:pt idx="30">
                  <c:v>45701</c:v>
                </c:pt>
                <c:pt idx="31">
                  <c:v>45702</c:v>
                </c:pt>
                <c:pt idx="32">
                  <c:v>45705</c:v>
                </c:pt>
                <c:pt idx="33">
                  <c:v>45706</c:v>
                </c:pt>
                <c:pt idx="34">
                  <c:v>45707</c:v>
                </c:pt>
                <c:pt idx="35">
                  <c:v>45708</c:v>
                </c:pt>
                <c:pt idx="36">
                  <c:v>45709</c:v>
                </c:pt>
                <c:pt idx="37">
                  <c:v>45712</c:v>
                </c:pt>
                <c:pt idx="38">
                  <c:v>45713</c:v>
                </c:pt>
                <c:pt idx="39">
                  <c:v>45714</c:v>
                </c:pt>
                <c:pt idx="40">
                  <c:v>45715</c:v>
                </c:pt>
                <c:pt idx="41">
                  <c:v>45716</c:v>
                </c:pt>
                <c:pt idx="42">
                  <c:v>45719</c:v>
                </c:pt>
                <c:pt idx="43">
                  <c:v>45720</c:v>
                </c:pt>
                <c:pt idx="44">
                  <c:v>45721</c:v>
                </c:pt>
                <c:pt idx="45">
                  <c:v>45722</c:v>
                </c:pt>
                <c:pt idx="46">
                  <c:v>45723</c:v>
                </c:pt>
                <c:pt idx="47">
                  <c:v>45726</c:v>
                </c:pt>
                <c:pt idx="48">
                  <c:v>45727</c:v>
                </c:pt>
                <c:pt idx="49">
                  <c:v>45728</c:v>
                </c:pt>
                <c:pt idx="50">
                  <c:v>45729</c:v>
                </c:pt>
                <c:pt idx="51">
                  <c:v>45730</c:v>
                </c:pt>
                <c:pt idx="52">
                  <c:v>45733</c:v>
                </c:pt>
                <c:pt idx="53">
                  <c:v>45734</c:v>
                </c:pt>
                <c:pt idx="54">
                  <c:v>45735</c:v>
                </c:pt>
                <c:pt idx="55">
                  <c:v>45736</c:v>
                </c:pt>
                <c:pt idx="56">
                  <c:v>45737</c:v>
                </c:pt>
                <c:pt idx="57">
                  <c:v>45740</c:v>
                </c:pt>
                <c:pt idx="58">
                  <c:v>45741</c:v>
                </c:pt>
                <c:pt idx="59">
                  <c:v>45742</c:v>
                </c:pt>
                <c:pt idx="60">
                  <c:v>45743</c:v>
                </c:pt>
                <c:pt idx="61">
                  <c:v>45744</c:v>
                </c:pt>
                <c:pt idx="62">
                  <c:v>45747</c:v>
                </c:pt>
                <c:pt idx="63">
                  <c:v>45748</c:v>
                </c:pt>
                <c:pt idx="64">
                  <c:v>45749</c:v>
                </c:pt>
                <c:pt idx="65">
                  <c:v>45750</c:v>
                </c:pt>
                <c:pt idx="66">
                  <c:v>45751</c:v>
                </c:pt>
                <c:pt idx="67">
                  <c:v>45754</c:v>
                </c:pt>
                <c:pt idx="68">
                  <c:v>45755</c:v>
                </c:pt>
                <c:pt idx="69">
                  <c:v>45756</c:v>
                </c:pt>
                <c:pt idx="70">
                  <c:v>45757</c:v>
                </c:pt>
                <c:pt idx="71">
                  <c:v>45758</c:v>
                </c:pt>
                <c:pt idx="72">
                  <c:v>45761</c:v>
                </c:pt>
                <c:pt idx="73">
                  <c:v>45762</c:v>
                </c:pt>
                <c:pt idx="74">
                  <c:v>45763</c:v>
                </c:pt>
                <c:pt idx="75">
                  <c:v>45764</c:v>
                </c:pt>
                <c:pt idx="76">
                  <c:v>45769</c:v>
                </c:pt>
                <c:pt idx="77">
                  <c:v>45770</c:v>
                </c:pt>
                <c:pt idx="78">
                  <c:v>45771</c:v>
                </c:pt>
                <c:pt idx="79">
                  <c:v>45772</c:v>
                </c:pt>
                <c:pt idx="80">
                  <c:v>45775</c:v>
                </c:pt>
                <c:pt idx="81">
                  <c:v>45776</c:v>
                </c:pt>
                <c:pt idx="82">
                  <c:v>45777</c:v>
                </c:pt>
                <c:pt idx="83">
                  <c:v>45779</c:v>
                </c:pt>
                <c:pt idx="84">
                  <c:v>45782</c:v>
                </c:pt>
                <c:pt idx="85">
                  <c:v>45783</c:v>
                </c:pt>
                <c:pt idx="86">
                  <c:v>45784</c:v>
                </c:pt>
                <c:pt idx="87">
                  <c:v>45785</c:v>
                </c:pt>
                <c:pt idx="88">
                  <c:v>45786</c:v>
                </c:pt>
                <c:pt idx="89">
                  <c:v>45789</c:v>
                </c:pt>
                <c:pt idx="90">
                  <c:v>45790</c:v>
                </c:pt>
                <c:pt idx="91">
                  <c:v>45791</c:v>
                </c:pt>
                <c:pt idx="92">
                  <c:v>45792</c:v>
                </c:pt>
                <c:pt idx="93">
                  <c:v>45793</c:v>
                </c:pt>
                <c:pt idx="94">
                  <c:v>45796</c:v>
                </c:pt>
                <c:pt idx="95">
                  <c:v>45797</c:v>
                </c:pt>
                <c:pt idx="96">
                  <c:v>45798</c:v>
                </c:pt>
                <c:pt idx="97">
                  <c:v>45799</c:v>
                </c:pt>
                <c:pt idx="98">
                  <c:v>45800</c:v>
                </c:pt>
                <c:pt idx="99">
                  <c:v>45803</c:v>
                </c:pt>
                <c:pt idx="100">
                  <c:v>45804</c:v>
                </c:pt>
                <c:pt idx="101">
                  <c:v>45805</c:v>
                </c:pt>
                <c:pt idx="102">
                  <c:v>45806</c:v>
                </c:pt>
                <c:pt idx="103">
                  <c:v>45807</c:v>
                </c:pt>
                <c:pt idx="104">
                  <c:v>45810</c:v>
                </c:pt>
                <c:pt idx="105">
                  <c:v>45811</c:v>
                </c:pt>
                <c:pt idx="106">
                  <c:v>45812</c:v>
                </c:pt>
                <c:pt idx="107">
                  <c:v>45813</c:v>
                </c:pt>
                <c:pt idx="108">
                  <c:v>45814</c:v>
                </c:pt>
                <c:pt idx="109">
                  <c:v>45817</c:v>
                </c:pt>
                <c:pt idx="110">
                  <c:v>45818</c:v>
                </c:pt>
                <c:pt idx="111">
                  <c:v>45819</c:v>
                </c:pt>
                <c:pt idx="112">
                  <c:v>45820</c:v>
                </c:pt>
                <c:pt idx="113">
                  <c:v>45821</c:v>
                </c:pt>
                <c:pt idx="114">
                  <c:v>45824</c:v>
                </c:pt>
                <c:pt idx="115">
                  <c:v>45825</c:v>
                </c:pt>
                <c:pt idx="116">
                  <c:v>45826</c:v>
                </c:pt>
                <c:pt idx="117">
                  <c:v>45827</c:v>
                </c:pt>
                <c:pt idx="118">
                  <c:v>45828</c:v>
                </c:pt>
                <c:pt idx="119">
                  <c:v>45831</c:v>
                </c:pt>
                <c:pt idx="120">
                  <c:v>45832</c:v>
                </c:pt>
                <c:pt idx="121">
                  <c:v>45833</c:v>
                </c:pt>
                <c:pt idx="122">
                  <c:v>45834</c:v>
                </c:pt>
                <c:pt idx="123">
                  <c:v>45835</c:v>
                </c:pt>
                <c:pt idx="124">
                  <c:v>45838</c:v>
                </c:pt>
                <c:pt idx="125">
                  <c:v>45839</c:v>
                </c:pt>
                <c:pt idx="126">
                  <c:v>45840</c:v>
                </c:pt>
                <c:pt idx="127">
                  <c:v>45841</c:v>
                </c:pt>
                <c:pt idx="128">
                  <c:v>45842</c:v>
                </c:pt>
                <c:pt idx="129">
                  <c:v>45845</c:v>
                </c:pt>
                <c:pt idx="130">
                  <c:v>45846</c:v>
                </c:pt>
                <c:pt idx="131">
                  <c:v>45847</c:v>
                </c:pt>
                <c:pt idx="132">
                  <c:v>45848</c:v>
                </c:pt>
                <c:pt idx="133">
                  <c:v>45849</c:v>
                </c:pt>
                <c:pt idx="134">
                  <c:v>45852</c:v>
                </c:pt>
                <c:pt idx="135">
                  <c:v>45853</c:v>
                </c:pt>
                <c:pt idx="136">
                  <c:v>45854</c:v>
                </c:pt>
                <c:pt idx="137">
                  <c:v>45855</c:v>
                </c:pt>
                <c:pt idx="138">
                  <c:v>45856</c:v>
                </c:pt>
                <c:pt idx="139">
                  <c:v>45859</c:v>
                </c:pt>
                <c:pt idx="140">
                  <c:v>45860</c:v>
                </c:pt>
                <c:pt idx="141">
                  <c:v>45861</c:v>
                </c:pt>
                <c:pt idx="142">
                  <c:v>45862</c:v>
                </c:pt>
                <c:pt idx="143">
                  <c:v>45863</c:v>
                </c:pt>
                <c:pt idx="144">
                  <c:v>45866</c:v>
                </c:pt>
                <c:pt idx="145">
                  <c:v>45867</c:v>
                </c:pt>
                <c:pt idx="146">
                  <c:v>45868</c:v>
                </c:pt>
                <c:pt idx="147">
                  <c:v>45869</c:v>
                </c:pt>
                <c:pt idx="148">
                  <c:v>45870</c:v>
                </c:pt>
                <c:pt idx="149">
                  <c:v>45873</c:v>
                </c:pt>
                <c:pt idx="150">
                  <c:v>45874</c:v>
                </c:pt>
                <c:pt idx="151">
                  <c:v>45875</c:v>
                </c:pt>
                <c:pt idx="152">
                  <c:v>45876</c:v>
                </c:pt>
                <c:pt idx="153">
                  <c:v>45877</c:v>
                </c:pt>
                <c:pt idx="154">
                  <c:v>45880</c:v>
                </c:pt>
                <c:pt idx="155">
                  <c:v>45881</c:v>
                </c:pt>
                <c:pt idx="156">
                  <c:v>45882</c:v>
                </c:pt>
                <c:pt idx="157">
                  <c:v>45883</c:v>
                </c:pt>
                <c:pt idx="158">
                  <c:v>45884</c:v>
                </c:pt>
                <c:pt idx="159">
                  <c:v>45887</c:v>
                </c:pt>
                <c:pt idx="160">
                  <c:v>45888</c:v>
                </c:pt>
                <c:pt idx="161">
                  <c:v>45889</c:v>
                </c:pt>
                <c:pt idx="162">
                  <c:v>45890</c:v>
                </c:pt>
                <c:pt idx="163">
                  <c:v>45891</c:v>
                </c:pt>
                <c:pt idx="164">
                  <c:v>45894</c:v>
                </c:pt>
                <c:pt idx="165">
                  <c:v>45895</c:v>
                </c:pt>
                <c:pt idx="166">
                  <c:v>45896</c:v>
                </c:pt>
                <c:pt idx="167">
                  <c:v>45897</c:v>
                </c:pt>
                <c:pt idx="168">
                  <c:v>45898</c:v>
                </c:pt>
                <c:pt idx="169">
                  <c:v>45901</c:v>
                </c:pt>
                <c:pt idx="170">
                  <c:v>45902</c:v>
                </c:pt>
                <c:pt idx="171">
                  <c:v>45903</c:v>
                </c:pt>
                <c:pt idx="172">
                  <c:v>45904</c:v>
                </c:pt>
                <c:pt idx="173">
                  <c:v>45905</c:v>
                </c:pt>
                <c:pt idx="174">
                  <c:v>45908</c:v>
                </c:pt>
                <c:pt idx="175">
                  <c:v>45909</c:v>
                </c:pt>
                <c:pt idx="176">
                  <c:v>45910</c:v>
                </c:pt>
                <c:pt idx="177">
                  <c:v>45911</c:v>
                </c:pt>
                <c:pt idx="178">
                  <c:v>45912</c:v>
                </c:pt>
                <c:pt idx="179">
                  <c:v>45915</c:v>
                </c:pt>
                <c:pt idx="180">
                  <c:v>45916</c:v>
                </c:pt>
                <c:pt idx="181">
                  <c:v>45917</c:v>
                </c:pt>
                <c:pt idx="182">
                  <c:v>45918</c:v>
                </c:pt>
                <c:pt idx="183">
                  <c:v>45919</c:v>
                </c:pt>
                <c:pt idx="184">
                  <c:v>45922</c:v>
                </c:pt>
                <c:pt idx="185">
                  <c:v>45923</c:v>
                </c:pt>
                <c:pt idx="186">
                  <c:v>45924</c:v>
                </c:pt>
                <c:pt idx="187">
                  <c:v>45925</c:v>
                </c:pt>
                <c:pt idx="188">
                  <c:v>45926</c:v>
                </c:pt>
                <c:pt idx="189">
                  <c:v>45929</c:v>
                </c:pt>
                <c:pt idx="190">
                  <c:v>45930</c:v>
                </c:pt>
                <c:pt idx="191">
                  <c:v>45931</c:v>
                </c:pt>
                <c:pt idx="192">
                  <c:v>45932</c:v>
                </c:pt>
                <c:pt idx="193">
                  <c:v>45933</c:v>
                </c:pt>
                <c:pt idx="194">
                  <c:v>45936</c:v>
                </c:pt>
                <c:pt idx="195">
                  <c:v>45937</c:v>
                </c:pt>
                <c:pt idx="196">
                  <c:v>45938</c:v>
                </c:pt>
                <c:pt idx="197">
                  <c:v>45939</c:v>
                </c:pt>
                <c:pt idx="198">
                  <c:v>45940</c:v>
                </c:pt>
                <c:pt idx="199">
                  <c:v>45943</c:v>
                </c:pt>
                <c:pt idx="200">
                  <c:v>45944</c:v>
                </c:pt>
                <c:pt idx="201">
                  <c:v>45945</c:v>
                </c:pt>
                <c:pt idx="202">
                  <c:v>45946</c:v>
                </c:pt>
                <c:pt idx="203">
                  <c:v>45947</c:v>
                </c:pt>
                <c:pt idx="204">
                  <c:v>45950</c:v>
                </c:pt>
                <c:pt idx="205">
                  <c:v>45951</c:v>
                </c:pt>
                <c:pt idx="206">
                  <c:v>45952</c:v>
                </c:pt>
                <c:pt idx="207">
                  <c:v>45953</c:v>
                </c:pt>
                <c:pt idx="208">
                  <c:v>45954</c:v>
                </c:pt>
                <c:pt idx="209">
                  <c:v>45957</c:v>
                </c:pt>
                <c:pt idx="210">
                  <c:v>45958</c:v>
                </c:pt>
                <c:pt idx="211">
                  <c:v>45959</c:v>
                </c:pt>
                <c:pt idx="212">
                  <c:v>45960</c:v>
                </c:pt>
                <c:pt idx="213">
                  <c:v>45961</c:v>
                </c:pt>
                <c:pt idx="214">
                  <c:v>45964</c:v>
                </c:pt>
                <c:pt idx="215">
                  <c:v>45965</c:v>
                </c:pt>
                <c:pt idx="216">
                  <c:v>45966</c:v>
                </c:pt>
                <c:pt idx="217">
                  <c:v>45967</c:v>
                </c:pt>
                <c:pt idx="218">
                  <c:v>45968</c:v>
                </c:pt>
                <c:pt idx="219">
                  <c:v>45971</c:v>
                </c:pt>
                <c:pt idx="220">
                  <c:v>45972</c:v>
                </c:pt>
                <c:pt idx="221">
                  <c:v>45973</c:v>
                </c:pt>
                <c:pt idx="222">
                  <c:v>45974</c:v>
                </c:pt>
                <c:pt idx="223">
                  <c:v>45975</c:v>
                </c:pt>
                <c:pt idx="224">
                  <c:v>45978</c:v>
                </c:pt>
                <c:pt idx="225">
                  <c:v>45979</c:v>
                </c:pt>
                <c:pt idx="226">
                  <c:v>45980</c:v>
                </c:pt>
                <c:pt idx="227">
                  <c:v>45981</c:v>
                </c:pt>
                <c:pt idx="228">
                  <c:v>45982</c:v>
                </c:pt>
                <c:pt idx="229">
                  <c:v>45985</c:v>
                </c:pt>
                <c:pt idx="230">
                  <c:v>45986</c:v>
                </c:pt>
                <c:pt idx="231">
                  <c:v>45987</c:v>
                </c:pt>
                <c:pt idx="232">
                  <c:v>45988</c:v>
                </c:pt>
                <c:pt idx="233">
                  <c:v>45989</c:v>
                </c:pt>
                <c:pt idx="234">
                  <c:v>45992</c:v>
                </c:pt>
                <c:pt idx="235">
                  <c:v>45993</c:v>
                </c:pt>
                <c:pt idx="236">
                  <c:v>45994</c:v>
                </c:pt>
                <c:pt idx="237">
                  <c:v>45995</c:v>
                </c:pt>
                <c:pt idx="238">
                  <c:v>45996</c:v>
                </c:pt>
                <c:pt idx="239">
                  <c:v>45999</c:v>
                </c:pt>
                <c:pt idx="240">
                  <c:v>46000</c:v>
                </c:pt>
                <c:pt idx="241">
                  <c:v>46001</c:v>
                </c:pt>
                <c:pt idx="242">
                  <c:v>46002</c:v>
                </c:pt>
                <c:pt idx="243">
                  <c:v>46003</c:v>
                </c:pt>
                <c:pt idx="244">
                  <c:v>46006</c:v>
                </c:pt>
                <c:pt idx="245">
                  <c:v>46007</c:v>
                </c:pt>
                <c:pt idx="246">
                  <c:v>46008</c:v>
                </c:pt>
                <c:pt idx="247">
                  <c:v>46009</c:v>
                </c:pt>
                <c:pt idx="248">
                  <c:v>46010</c:v>
                </c:pt>
                <c:pt idx="249">
                  <c:v>46013</c:v>
                </c:pt>
                <c:pt idx="250">
                  <c:v>46014</c:v>
                </c:pt>
                <c:pt idx="251">
                  <c:v>46020</c:v>
                </c:pt>
                <c:pt idx="252">
                  <c:v>46021</c:v>
                </c:pt>
                <c:pt idx="253">
                  <c:v>46024</c:v>
                </c:pt>
                <c:pt idx="254">
                  <c:v>46027</c:v>
                </c:pt>
                <c:pt idx="255">
                  <c:v>46028</c:v>
                </c:pt>
                <c:pt idx="256">
                  <c:v>46029</c:v>
                </c:pt>
                <c:pt idx="257">
                  <c:v>46030</c:v>
                </c:pt>
                <c:pt idx="258">
                  <c:v>46031</c:v>
                </c:pt>
                <c:pt idx="259">
                  <c:v>46034</c:v>
                </c:pt>
                <c:pt idx="260">
                  <c:v>46035</c:v>
                </c:pt>
                <c:pt idx="261">
                  <c:v>46036</c:v>
                </c:pt>
                <c:pt idx="262">
                  <c:v>46037</c:v>
                </c:pt>
                <c:pt idx="263">
                  <c:v>46038</c:v>
                </c:pt>
                <c:pt idx="264">
                  <c:v>46041</c:v>
                </c:pt>
                <c:pt idx="265">
                  <c:v>46042</c:v>
                </c:pt>
              </c:numCache>
            </c:numRef>
          </c:cat>
          <c:val>
            <c:numRef>
              <c:f>DataBase.!$AR$3:$AR$268</c:f>
              <c:numCache>
                <c:formatCode>General</c:formatCode>
                <c:ptCount val="266"/>
                <c:pt idx="0">
                  <c:v>100</c:v>
                </c:pt>
                <c:pt idx="1">
                  <c:v>99.979610561729018</c:v>
                </c:pt>
                <c:pt idx="2">
                  <c:v>101.98797023142014</c:v>
                </c:pt>
                <c:pt idx="3">
                  <c:v>102.4161484351106</c:v>
                </c:pt>
                <c:pt idx="4">
                  <c:v>102.29381180548476</c:v>
                </c:pt>
                <c:pt idx="5">
                  <c:v>102.84432663880111</c:v>
                </c:pt>
                <c:pt idx="6">
                  <c:v>102.55887450300744</c:v>
                </c:pt>
                <c:pt idx="7">
                  <c:v>101.90641247833622</c:v>
                </c:pt>
                <c:pt idx="8">
                  <c:v>102.11030686104598</c:v>
                </c:pt>
                <c:pt idx="9">
                  <c:v>103.25211540422062</c:v>
                </c:pt>
                <c:pt idx="10">
                  <c:v>104.67937608318891</c:v>
                </c:pt>
                <c:pt idx="11">
                  <c:v>105.39300642267305</c:v>
                </c:pt>
                <c:pt idx="12">
                  <c:v>105.63767968192477</c:v>
                </c:pt>
                <c:pt idx="13">
                  <c:v>106.12702620042816</c:v>
                </c:pt>
                <c:pt idx="14">
                  <c:v>106.5959832806606</c:v>
                </c:pt>
                <c:pt idx="15">
                  <c:v>107.1872769905189</c:v>
                </c:pt>
                <c:pt idx="16">
                  <c:v>106.88143541645427</c:v>
                </c:pt>
                <c:pt idx="17">
                  <c:v>106.47364665103474</c:v>
                </c:pt>
                <c:pt idx="18">
                  <c:v>106.63676215720254</c:v>
                </c:pt>
                <c:pt idx="19">
                  <c:v>107.35039249668668</c:v>
                </c:pt>
                <c:pt idx="20">
                  <c:v>108.69609542257108</c:v>
                </c:pt>
                <c:pt idx="21">
                  <c:v>108.10480171271278</c:v>
                </c:pt>
                <c:pt idx="22">
                  <c:v>106.79987766337035</c:v>
                </c:pt>
                <c:pt idx="23">
                  <c:v>107.90090733000304</c:v>
                </c:pt>
                <c:pt idx="24">
                  <c:v>108.30869609542253</c:v>
                </c:pt>
                <c:pt idx="25">
                  <c:v>109.73595677439083</c:v>
                </c:pt>
                <c:pt idx="26">
                  <c:v>109.30777857070034</c:v>
                </c:pt>
                <c:pt idx="27">
                  <c:v>110.06218778672644</c:v>
                </c:pt>
                <c:pt idx="28">
                  <c:v>110.93893363237839</c:v>
                </c:pt>
                <c:pt idx="29">
                  <c:v>111.55061678050768</c:v>
                </c:pt>
                <c:pt idx="30">
                  <c:v>112.34580487307574</c:v>
                </c:pt>
                <c:pt idx="31">
                  <c:v>112.79437251503721</c:v>
                </c:pt>
                <c:pt idx="32">
                  <c:v>113.40605566316647</c:v>
                </c:pt>
                <c:pt idx="33">
                  <c:v>113.77306555204405</c:v>
                </c:pt>
                <c:pt idx="34">
                  <c:v>112.141910490366</c:v>
                </c:pt>
                <c:pt idx="35">
                  <c:v>112.16229992863697</c:v>
                </c:pt>
                <c:pt idx="36">
                  <c:v>111.87684779284331</c:v>
                </c:pt>
                <c:pt idx="37">
                  <c:v>111.99918442246917</c:v>
                </c:pt>
                <c:pt idx="38">
                  <c:v>112.28463655826282</c:v>
                </c:pt>
                <c:pt idx="39">
                  <c:v>112.67203588541136</c:v>
                </c:pt>
                <c:pt idx="40">
                  <c:v>111.67295341013357</c:v>
                </c:pt>
                <c:pt idx="41">
                  <c:v>111.28555408298503</c:v>
                </c:pt>
                <c:pt idx="42">
                  <c:v>113.36527678662455</c:v>
                </c:pt>
                <c:pt idx="43">
                  <c:v>112.75359363849527</c:v>
                </c:pt>
                <c:pt idx="44">
                  <c:v>113.83423386685699</c:v>
                </c:pt>
                <c:pt idx="45">
                  <c:v>112.46814150270163</c:v>
                </c:pt>
                <c:pt idx="46">
                  <c:v>112.93709858293407</c:v>
                </c:pt>
                <c:pt idx="47">
                  <c:v>110.0621877867265</c:v>
                </c:pt>
                <c:pt idx="48">
                  <c:v>109.8175145274748</c:v>
                </c:pt>
                <c:pt idx="49">
                  <c:v>110.0621877867265</c:v>
                </c:pt>
                <c:pt idx="50">
                  <c:v>109.28738913242944</c:v>
                </c:pt>
                <c:pt idx="51">
                  <c:v>111.34672239779798</c:v>
                </c:pt>
                <c:pt idx="52">
                  <c:v>112.01957386074017</c:v>
                </c:pt>
                <c:pt idx="53">
                  <c:v>112.26424711999189</c:v>
                </c:pt>
                <c:pt idx="54">
                  <c:v>113.10021408910188</c:v>
                </c:pt>
                <c:pt idx="55">
                  <c:v>111.30594352125604</c:v>
                </c:pt>
                <c:pt idx="56">
                  <c:v>111.0001019471914</c:v>
                </c:pt>
                <c:pt idx="57">
                  <c:v>110.79620756448165</c:v>
                </c:pt>
                <c:pt idx="58">
                  <c:v>112.20307880517896</c:v>
                </c:pt>
                <c:pt idx="59">
                  <c:v>110.49036599041699</c:v>
                </c:pt>
                <c:pt idx="60">
                  <c:v>110.36802936079116</c:v>
                </c:pt>
                <c:pt idx="61">
                  <c:v>109.45050463859724</c:v>
                </c:pt>
                <c:pt idx="62">
                  <c:v>107.94168620654503</c:v>
                </c:pt>
                <c:pt idx="63">
                  <c:v>108.98154755836478</c:v>
                </c:pt>
                <c:pt idx="64">
                  <c:v>108.83882149046795</c:v>
                </c:pt>
                <c:pt idx="65">
                  <c:v>105.14833316342136</c:v>
                </c:pt>
                <c:pt idx="66">
                  <c:v>99.592211234580503</c:v>
                </c:pt>
                <c:pt idx="67">
                  <c:v>96.921194821082693</c:v>
                </c:pt>
                <c:pt idx="68">
                  <c:v>95.952696503211357</c:v>
                </c:pt>
                <c:pt idx="69">
                  <c:v>103.78224079926599</c:v>
                </c:pt>
                <c:pt idx="70">
                  <c:v>98.226118870425125</c:v>
                </c:pt>
                <c:pt idx="71">
                  <c:v>99.367927413599773</c:v>
                </c:pt>
                <c:pt idx="72">
                  <c:v>100.24467325925173</c:v>
                </c:pt>
                <c:pt idx="73">
                  <c:v>101.90641247833622</c:v>
                </c:pt>
                <c:pt idx="74">
                  <c:v>101.08064022836172</c:v>
                </c:pt>
                <c:pt idx="75">
                  <c:v>102.21225405240085</c:v>
                </c:pt>
                <c:pt idx="76">
                  <c:v>102.84432663880109</c:v>
                </c:pt>
                <c:pt idx="77">
                  <c:v>104.78132327454379</c:v>
                </c:pt>
                <c:pt idx="78">
                  <c:v>105.63767968192478</c:v>
                </c:pt>
                <c:pt idx="79">
                  <c:v>106.82026710164136</c:v>
                </c:pt>
                <c:pt idx="80">
                  <c:v>106.31053114486697</c:v>
                </c:pt>
                <c:pt idx="81">
                  <c:v>106.65715159547356</c:v>
                </c:pt>
                <c:pt idx="82">
                  <c:v>106.63676215720258</c:v>
                </c:pt>
                <c:pt idx="83">
                  <c:v>109.22622081761651</c:v>
                </c:pt>
                <c:pt idx="84">
                  <c:v>109.51167295341018</c:v>
                </c:pt>
                <c:pt idx="85">
                  <c:v>108.7368742991131</c:v>
                </c:pt>
                <c:pt idx="86">
                  <c:v>108.4922010398614</c:v>
                </c:pt>
                <c:pt idx="87">
                  <c:v>110.00101947191361</c:v>
                </c:pt>
                <c:pt idx="88">
                  <c:v>110.12335610153946</c:v>
                </c:pt>
                <c:pt idx="89">
                  <c:v>112.24385768172093</c:v>
                </c:pt>
                <c:pt idx="90">
                  <c:v>112.61086757059849</c:v>
                </c:pt>
                <c:pt idx="91">
                  <c:v>112.16229992863703</c:v>
                </c:pt>
                <c:pt idx="92">
                  <c:v>112.6924253236824</c:v>
                </c:pt>
                <c:pt idx="93">
                  <c:v>113.26332959526971</c:v>
                </c:pt>
                <c:pt idx="94">
                  <c:v>113.6915077989602</c:v>
                </c:pt>
                <c:pt idx="95">
                  <c:v>114.01773881129581</c:v>
                </c:pt>
                <c:pt idx="96">
                  <c:v>112.99826689774703</c:v>
                </c:pt>
                <c:pt idx="97">
                  <c:v>113.40605566316653</c:v>
                </c:pt>
                <c:pt idx="98">
                  <c:v>111.26516464471409</c:v>
                </c:pt>
                <c:pt idx="99">
                  <c:v>112.71281476195337</c:v>
                </c:pt>
                <c:pt idx="100">
                  <c:v>113.1817718421858</c:v>
                </c:pt>
                <c:pt idx="101">
                  <c:v>112.57008869405654</c:v>
                </c:pt>
                <c:pt idx="102">
                  <c:v>112.08074217555311</c:v>
                </c:pt>
                <c:pt idx="103">
                  <c:v>111.65256397186263</c:v>
                </c:pt>
                <c:pt idx="104">
                  <c:v>112.03996329901118</c:v>
                </c:pt>
                <c:pt idx="105">
                  <c:v>112.40697318788875</c:v>
                </c:pt>
                <c:pt idx="106">
                  <c:v>112.8555408298502</c:v>
                </c:pt>
                <c:pt idx="107">
                  <c:v>112.79437251503727</c:v>
                </c:pt>
                <c:pt idx="108">
                  <c:v>113.20216128045678</c:v>
                </c:pt>
                <c:pt idx="109">
                  <c:v>113.2633295952697</c:v>
                </c:pt>
                <c:pt idx="110">
                  <c:v>113.20216128045678</c:v>
                </c:pt>
                <c:pt idx="111">
                  <c:v>112.65164644714042</c:v>
                </c:pt>
                <c:pt idx="112">
                  <c:v>112.12152105209506</c:v>
                </c:pt>
                <c:pt idx="113">
                  <c:v>110.51075542868799</c:v>
                </c:pt>
                <c:pt idx="114">
                  <c:v>110.4088082373331</c:v>
                </c:pt>
                <c:pt idx="115">
                  <c:v>109.38933632378432</c:v>
                </c:pt>
                <c:pt idx="116">
                  <c:v>109.30777857070042</c:v>
                </c:pt>
                <c:pt idx="117">
                  <c:v>107.79896013864823</c:v>
                </c:pt>
                <c:pt idx="118">
                  <c:v>108.22713834233871</c:v>
                </c:pt>
                <c:pt idx="119">
                  <c:v>108.4922010398614</c:v>
                </c:pt>
                <c:pt idx="120">
                  <c:v>110.14374553981042</c:v>
                </c:pt>
                <c:pt idx="121">
                  <c:v>108.96115812009383</c:v>
                </c:pt>
                <c:pt idx="122">
                  <c:v>109.02232643490676</c:v>
                </c:pt>
                <c:pt idx="123">
                  <c:v>110.73503924966873</c:v>
                </c:pt>
                <c:pt idx="124">
                  <c:v>110.12335610153946</c:v>
                </c:pt>
                <c:pt idx="125">
                  <c:v>109.81751452747483</c:v>
                </c:pt>
                <c:pt idx="126">
                  <c:v>110.38841879906214</c:v>
                </c:pt>
                <c:pt idx="127">
                  <c:v>110.79620756448165</c:v>
                </c:pt>
                <c:pt idx="128">
                  <c:v>109.55245182995212</c:v>
                </c:pt>
                <c:pt idx="129">
                  <c:v>110.93893363237846</c:v>
                </c:pt>
                <c:pt idx="130">
                  <c:v>111.7545111632175</c:v>
                </c:pt>
                <c:pt idx="131">
                  <c:v>113.2633295952697</c:v>
                </c:pt>
                <c:pt idx="132">
                  <c:v>112.8555408298502</c:v>
                </c:pt>
                <c:pt idx="133">
                  <c:v>111.71373228667557</c:v>
                </c:pt>
                <c:pt idx="134">
                  <c:v>111.73412172494653</c:v>
                </c:pt>
                <c:pt idx="135">
                  <c:v>111.18360689163021</c:v>
                </c:pt>
                <c:pt idx="136">
                  <c:v>110.79620756448168</c:v>
                </c:pt>
                <c:pt idx="137">
                  <c:v>111.50983790396582</c:v>
                </c:pt>
                <c:pt idx="138">
                  <c:v>110.95932307064949</c:v>
                </c:pt>
                <c:pt idx="139">
                  <c:v>110.67387093485583</c:v>
                </c:pt>
                <c:pt idx="140">
                  <c:v>109.87868284228777</c:v>
                </c:pt>
                <c:pt idx="141">
                  <c:v>112.30502599653386</c:v>
                </c:pt>
                <c:pt idx="142">
                  <c:v>111.2651646447141</c:v>
                </c:pt>
                <c:pt idx="143">
                  <c:v>111.44866958915287</c:v>
                </c:pt>
                <c:pt idx="144">
                  <c:v>110.77581812621068</c:v>
                </c:pt>
                <c:pt idx="145">
                  <c:v>111.89723723111435</c:v>
                </c:pt>
                <c:pt idx="146">
                  <c:v>112.16229992863703</c:v>
                </c:pt>
                <c:pt idx="147">
                  <c:v>110.32725048424922</c:v>
                </c:pt>
                <c:pt idx="148">
                  <c:v>107.37078193495775</c:v>
                </c:pt>
                <c:pt idx="149">
                  <c:v>109.02232643490677</c:v>
                </c:pt>
                <c:pt idx="150">
                  <c:v>109.32816800897142</c:v>
                </c:pt>
                <c:pt idx="151">
                  <c:v>109.55245182995216</c:v>
                </c:pt>
                <c:pt idx="152">
                  <c:v>110.75542868793973</c:v>
                </c:pt>
                <c:pt idx="153">
                  <c:v>111.24477520644314</c:v>
                </c:pt>
                <c:pt idx="154">
                  <c:v>110.77581812621069</c:v>
                </c:pt>
                <c:pt idx="155">
                  <c:v>111.08165970027532</c:v>
                </c:pt>
                <c:pt idx="156">
                  <c:v>112.06035273728216</c:v>
                </c:pt>
                <c:pt idx="157">
                  <c:v>113.16138240391484</c:v>
                </c:pt>
                <c:pt idx="158">
                  <c:v>113.40605566316655</c:v>
                </c:pt>
                <c:pt idx="159">
                  <c:v>113.01865633601803</c:v>
                </c:pt>
                <c:pt idx="160">
                  <c:v>113.60995004587632</c:v>
                </c:pt>
                <c:pt idx="161">
                  <c:v>113.65072892241827</c:v>
                </c:pt>
                <c:pt idx="162">
                  <c:v>113.40605566316654</c:v>
                </c:pt>
                <c:pt idx="163">
                  <c:v>114.01773881129583</c:v>
                </c:pt>
                <c:pt idx="164">
                  <c:v>113.05943521255998</c:v>
                </c:pt>
                <c:pt idx="165">
                  <c:v>111.89723723111436</c:v>
                </c:pt>
                <c:pt idx="166">
                  <c:v>112.03996329901118</c:v>
                </c:pt>
                <c:pt idx="167">
                  <c:v>112.18268936690801</c:v>
                </c:pt>
                <c:pt idx="168">
                  <c:v>111.30594352125605</c:v>
                </c:pt>
                <c:pt idx="169">
                  <c:v>111.57100621877873</c:v>
                </c:pt>
                <c:pt idx="170">
                  <c:v>110.49036599041702</c:v>
                </c:pt>
                <c:pt idx="171">
                  <c:v>110.79620756448166</c:v>
                </c:pt>
                <c:pt idx="172">
                  <c:v>111.36711183606897</c:v>
                </c:pt>
                <c:pt idx="173">
                  <c:v>110.57192374350092</c:v>
                </c:pt>
                <c:pt idx="174">
                  <c:v>111.46905902742385</c:v>
                </c:pt>
                <c:pt idx="175">
                  <c:v>111.75451116321751</c:v>
                </c:pt>
                <c:pt idx="176">
                  <c:v>111.40789071261092</c:v>
                </c:pt>
                <c:pt idx="177">
                  <c:v>112.14191049036606</c:v>
                </c:pt>
                <c:pt idx="178">
                  <c:v>112.22346824344996</c:v>
                </c:pt>
                <c:pt idx="179">
                  <c:v>111.4282801508819</c:v>
                </c:pt>
                <c:pt idx="180">
                  <c:v>110.3476399225202</c:v>
                </c:pt>
                <c:pt idx="181">
                  <c:v>110.24569273116533</c:v>
                </c:pt>
                <c:pt idx="182">
                  <c:v>111.87684779284339</c:v>
                </c:pt>
                <c:pt idx="183">
                  <c:v>111.95840554592729</c:v>
                </c:pt>
                <c:pt idx="184">
                  <c:v>111.75451116321754</c:v>
                </c:pt>
                <c:pt idx="185">
                  <c:v>112.10113161382412</c:v>
                </c:pt>
                <c:pt idx="186">
                  <c:v>112.03996329901121</c:v>
                </c:pt>
                <c:pt idx="187">
                  <c:v>111.79529003975949</c:v>
                </c:pt>
                <c:pt idx="188">
                  <c:v>112.77398307676633</c:v>
                </c:pt>
                <c:pt idx="189">
                  <c:v>113.05943521255998</c:v>
                </c:pt>
                <c:pt idx="190">
                  <c:v>113.42644510143754</c:v>
                </c:pt>
                <c:pt idx="191">
                  <c:v>115.1187684779285</c:v>
                </c:pt>
                <c:pt idx="192">
                  <c:v>116.05668263839338</c:v>
                </c:pt>
                <c:pt idx="193">
                  <c:v>116.01590376185143</c:v>
                </c:pt>
                <c:pt idx="194">
                  <c:v>115.75084106432877</c:v>
                </c:pt>
                <c:pt idx="195">
                  <c:v>115.11876847792853</c:v>
                </c:pt>
                <c:pt idx="196">
                  <c:v>115.91395657049658</c:v>
                </c:pt>
                <c:pt idx="197">
                  <c:v>115.30227342236731</c:v>
                </c:pt>
                <c:pt idx="198">
                  <c:v>113.50800285452145</c:v>
                </c:pt>
                <c:pt idx="199">
                  <c:v>114.28280150881851</c:v>
                </c:pt>
                <c:pt idx="200">
                  <c:v>115.03721072484463</c:v>
                </c:pt>
                <c:pt idx="201">
                  <c:v>114.40513813844437</c:v>
                </c:pt>
                <c:pt idx="202">
                  <c:v>115.87317769395463</c:v>
                </c:pt>
                <c:pt idx="203">
                  <c:v>115.8120093791417</c:v>
                </c:pt>
                <c:pt idx="204">
                  <c:v>116.83148129269048</c:v>
                </c:pt>
                <c:pt idx="205">
                  <c:v>116.54602915689682</c:v>
                </c:pt>
                <c:pt idx="206">
                  <c:v>115.34305229890927</c:v>
                </c:pt>
                <c:pt idx="207">
                  <c:v>116.40330308900002</c:v>
                </c:pt>
                <c:pt idx="208">
                  <c:v>116.40330308900002</c:v>
                </c:pt>
                <c:pt idx="209">
                  <c:v>117.11693342848415</c:v>
                </c:pt>
                <c:pt idx="210">
                  <c:v>117.09654399021318</c:v>
                </c:pt>
                <c:pt idx="211">
                  <c:v>117.30043837292294</c:v>
                </c:pt>
                <c:pt idx="212">
                  <c:v>117.15771230502611</c:v>
                </c:pt>
                <c:pt idx="213">
                  <c:v>116.24018758283219</c:v>
                </c:pt>
                <c:pt idx="214">
                  <c:v>116.81109185441952</c:v>
                </c:pt>
                <c:pt idx="215">
                  <c:v>115.93434600876756</c:v>
                </c:pt>
                <c:pt idx="216">
                  <c:v>116.74992353960658</c:v>
                </c:pt>
                <c:pt idx="217">
                  <c:v>115.52655724334804</c:v>
                </c:pt>
                <c:pt idx="218">
                  <c:v>114.91487409521878</c:v>
                </c:pt>
                <c:pt idx="219">
                  <c:v>116.83148129269048</c:v>
                </c:pt>
                <c:pt idx="220">
                  <c:v>117.9936792741361</c:v>
                </c:pt>
                <c:pt idx="221">
                  <c:v>119.11509837903976</c:v>
                </c:pt>
                <c:pt idx="222">
                  <c:v>117.48394331736171</c:v>
                </c:pt>
                <c:pt idx="223">
                  <c:v>116.87226016923245</c:v>
                </c:pt>
                <c:pt idx="224">
                  <c:v>115.15954735447048</c:v>
                </c:pt>
                <c:pt idx="225">
                  <c:v>114.14007544092171</c:v>
                </c:pt>
                <c:pt idx="226">
                  <c:v>114.3235803853605</c:v>
                </c:pt>
                <c:pt idx="227">
                  <c:v>113.5691711693344</c:v>
                </c:pt>
                <c:pt idx="228">
                  <c:v>113.63033948414731</c:v>
                </c:pt>
                <c:pt idx="229">
                  <c:v>113.93618105821196</c:v>
                </c:pt>
                <c:pt idx="230">
                  <c:v>115.03721072484464</c:v>
                </c:pt>
                <c:pt idx="231">
                  <c:v>116.44408196554197</c:v>
                </c:pt>
                <c:pt idx="232">
                  <c:v>116.30135589764514</c:v>
                </c:pt>
                <c:pt idx="233">
                  <c:v>116.87226016923246</c:v>
                </c:pt>
                <c:pt idx="234">
                  <c:v>117.05576511367123</c:v>
                </c:pt>
                <c:pt idx="235">
                  <c:v>117.28004893465197</c:v>
                </c:pt>
                <c:pt idx="236">
                  <c:v>117.42277500254879</c:v>
                </c:pt>
                <c:pt idx="237">
                  <c:v>117.81017432969733</c:v>
                </c:pt>
                <c:pt idx="238">
                  <c:v>118.03445815067806</c:v>
                </c:pt>
                <c:pt idx="239">
                  <c:v>117.81017432969733</c:v>
                </c:pt>
                <c:pt idx="240">
                  <c:v>117.56550107044562</c:v>
                </c:pt>
                <c:pt idx="241">
                  <c:v>117.81017432969733</c:v>
                </c:pt>
                <c:pt idx="242">
                  <c:v>118.89081455805903</c:v>
                </c:pt>
                <c:pt idx="243">
                  <c:v>118.15679478030391</c:v>
                </c:pt>
                <c:pt idx="244">
                  <c:v>117.91212152105219</c:v>
                </c:pt>
                <c:pt idx="245">
                  <c:v>117.46355387909072</c:v>
                </c:pt>
                <c:pt idx="246">
                  <c:v>116.77031297787757</c:v>
                </c:pt>
                <c:pt idx="247">
                  <c:v>117.85095320623925</c:v>
                </c:pt>
                <c:pt idx="248">
                  <c:v>118.48302579263951</c:v>
                </c:pt>
                <c:pt idx="249">
                  <c:v>117.91212152105219</c:v>
                </c:pt>
                <c:pt idx="250">
                  <c:v>118.11601590376193</c:v>
                </c:pt>
                <c:pt idx="251">
                  <c:v>118.29952084820071</c:v>
                </c:pt>
                <c:pt idx="252">
                  <c:v>119.07431950249779</c:v>
                </c:pt>
                <c:pt idx="253">
                  <c:v>119.70639208889803</c:v>
                </c:pt>
                <c:pt idx="254">
                  <c:v>121.52105209501487</c:v>
                </c:pt>
                <c:pt idx="255">
                  <c:v>122.15312468141509</c:v>
                </c:pt>
                <c:pt idx="256">
                  <c:v>121.6433887246407</c:v>
                </c:pt>
                <c:pt idx="257">
                  <c:v>121.52105209501487</c:v>
                </c:pt>
                <c:pt idx="258">
                  <c:v>123.35610153940267</c:v>
                </c:pt>
                <c:pt idx="259">
                  <c:v>123.80466918136413</c:v>
                </c:pt>
                <c:pt idx="260">
                  <c:v>123.94739524926096</c:v>
                </c:pt>
                <c:pt idx="261">
                  <c:v>123.31532266286071</c:v>
                </c:pt>
                <c:pt idx="262">
                  <c:v>123.88622693444802</c:v>
                </c:pt>
                <c:pt idx="263">
                  <c:v>123.92700581098998</c:v>
                </c:pt>
                <c:pt idx="264">
                  <c:v>121.7453359159956</c:v>
                </c:pt>
                <c:pt idx="265">
                  <c:v>120.82781119380168</c:v>
                </c:pt>
              </c:numCache>
            </c:numRef>
          </c:val>
          <c:smooth val="0"/>
          <c:extLst>
            <c:ext xmlns:c16="http://schemas.microsoft.com/office/drawing/2014/chart" uri="{C3380CC4-5D6E-409C-BE32-E72D297353CC}">
              <c16:uniqueId val="{00000003-58B4-46CA-A52A-40917A4EFA64}"/>
            </c:ext>
          </c:extLst>
        </c:ser>
        <c:dLbls>
          <c:showLegendKey val="0"/>
          <c:showVal val="0"/>
          <c:showCatName val="0"/>
          <c:showSerName val="0"/>
          <c:showPercent val="0"/>
          <c:showBubbleSize val="0"/>
        </c:dLbls>
        <c:smooth val="0"/>
        <c:axId val="439923343"/>
        <c:axId val="574527407"/>
      </c:lineChart>
      <c:dateAx>
        <c:axId val="4399233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j-lt"/>
                <a:ea typeface="+mn-ea"/>
                <a:cs typeface="+mn-cs"/>
              </a:defRPr>
            </a:pPr>
            <a:endParaRPr lang="it-IT"/>
          </a:p>
        </c:txPr>
        <c:crossAx val="574527407"/>
        <c:crosses val="autoZero"/>
        <c:auto val="1"/>
        <c:lblOffset val="100"/>
        <c:baseTimeUnit val="days"/>
      </c:dateAx>
      <c:valAx>
        <c:axId val="57452740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3992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0644225721784777"/>
          <c:y val="0.19486111111111112"/>
          <c:w val="0.84911329833770777"/>
          <c:h val="0.70878135024788569"/>
        </c:manualLayout>
      </c:layout>
      <c:lineChart>
        <c:grouping val="standard"/>
        <c:varyColors val="0"/>
        <c:ser>
          <c:idx val="0"/>
          <c:order val="0"/>
          <c:tx>
            <c:strRef>
              <c:f>DataBase.!$AO$2</c:f>
              <c:strCache>
                <c:ptCount val="1"/>
                <c:pt idx="0">
                  <c:v> MyP. </c:v>
                </c:pt>
              </c:strCache>
            </c:strRef>
          </c:tx>
          <c:spPr>
            <a:ln w="28575" cap="rnd">
              <a:solidFill>
                <a:srgbClr val="1A315E"/>
              </a:solidFill>
              <a:round/>
            </a:ln>
            <a:effectLst/>
          </c:spPr>
          <c:marker>
            <c:symbol val="none"/>
          </c:marker>
          <c:val>
            <c:numRef>
              <c:f>DataBase.!$AO$3:$AO$268</c:f>
              <c:numCache>
                <c:formatCode>_(* #,##0.00_);_(* \(#,##0.00\);_(* "-"??_);_(@_)</c:formatCode>
                <c:ptCount val="266"/>
                <c:pt idx="0">
                  <c:v>100</c:v>
                </c:pt>
                <c:pt idx="1">
                  <c:v>100.60698178333946</c:v>
                </c:pt>
                <c:pt idx="2">
                  <c:v>100.5455268889135</c:v>
                </c:pt>
                <c:pt idx="3">
                  <c:v>100.14538204708762</c:v>
                </c:pt>
                <c:pt idx="4">
                  <c:v>100.12318749193668</c:v>
                </c:pt>
                <c:pt idx="5">
                  <c:v>100.68919292022927</c:v>
                </c:pt>
                <c:pt idx="6">
                  <c:v>99.357568804360596</c:v>
                </c:pt>
                <c:pt idx="7">
                  <c:v>99.453571424523446</c:v>
                </c:pt>
                <c:pt idx="8">
                  <c:v>99.784041385749362</c:v>
                </c:pt>
                <c:pt idx="9">
                  <c:v>101.3852163934383</c:v>
                </c:pt>
                <c:pt idx="10">
                  <c:v>102.13420510347768</c:v>
                </c:pt>
                <c:pt idx="11">
                  <c:v>102.77023438184038</c:v>
                </c:pt>
                <c:pt idx="12">
                  <c:v>102.8097273728464</c:v>
                </c:pt>
                <c:pt idx="13">
                  <c:v>102.9597305664437</c:v>
                </c:pt>
                <c:pt idx="14">
                  <c:v>104.43767400386308</c:v>
                </c:pt>
                <c:pt idx="15">
                  <c:v>104.53003359860865</c:v>
                </c:pt>
                <c:pt idx="16">
                  <c:v>104.09236538327478</c:v>
                </c:pt>
                <c:pt idx="17">
                  <c:v>100.43386872891776</c:v>
                </c:pt>
                <c:pt idx="18">
                  <c:v>102.70539927951562</c:v>
                </c:pt>
                <c:pt idx="19">
                  <c:v>103.31132566837857</c:v>
                </c:pt>
                <c:pt idx="20">
                  <c:v>104.37717111274421</c:v>
                </c:pt>
                <c:pt idx="21">
                  <c:v>104.75736701182812</c:v>
                </c:pt>
                <c:pt idx="22">
                  <c:v>104.39318208284504</c:v>
                </c:pt>
                <c:pt idx="23">
                  <c:v>104.88377561931192</c:v>
                </c:pt>
                <c:pt idx="24">
                  <c:v>105.77968751301171</c:v>
                </c:pt>
                <c:pt idx="25">
                  <c:v>106.00450820158521</c:v>
                </c:pt>
                <c:pt idx="26">
                  <c:v>106.3354569838924</c:v>
                </c:pt>
                <c:pt idx="27">
                  <c:v>106.96839029133979</c:v>
                </c:pt>
                <c:pt idx="28">
                  <c:v>106.63454895552657</c:v>
                </c:pt>
                <c:pt idx="29">
                  <c:v>106.4646583281382</c:v>
                </c:pt>
                <c:pt idx="30">
                  <c:v>106.29563161498564</c:v>
                </c:pt>
                <c:pt idx="31">
                  <c:v>105.91630760387174</c:v>
                </c:pt>
                <c:pt idx="32">
                  <c:v>106.3798649817586</c:v>
                </c:pt>
                <c:pt idx="33">
                  <c:v>105.9736093433728</c:v>
                </c:pt>
                <c:pt idx="34">
                  <c:v>106.25869884043915</c:v>
                </c:pt>
                <c:pt idx="35">
                  <c:v>104.33954732988623</c:v>
                </c:pt>
                <c:pt idx="36">
                  <c:v>103.08971594769922</c:v>
                </c:pt>
                <c:pt idx="37">
                  <c:v>101.47799737941115</c:v>
                </c:pt>
                <c:pt idx="38">
                  <c:v>99.256032213874846</c:v>
                </c:pt>
                <c:pt idx="39">
                  <c:v>101.23638983926612</c:v>
                </c:pt>
                <c:pt idx="40">
                  <c:v>100.13124030028473</c:v>
                </c:pt>
                <c:pt idx="41">
                  <c:v>99.866950786827616</c:v>
                </c:pt>
                <c:pt idx="42">
                  <c:v>97.821555204086536</c:v>
                </c:pt>
                <c:pt idx="43">
                  <c:v>95.681162634986705</c:v>
                </c:pt>
                <c:pt idx="44">
                  <c:v>94.830340597857827</c:v>
                </c:pt>
                <c:pt idx="45">
                  <c:v>91.520061739814437</c:v>
                </c:pt>
                <c:pt idx="46">
                  <c:v>90.304753817967466</c:v>
                </c:pt>
                <c:pt idx="47">
                  <c:v>88.347511031871306</c:v>
                </c:pt>
                <c:pt idx="48">
                  <c:v>88.284757632360638</c:v>
                </c:pt>
                <c:pt idx="49">
                  <c:v>90.022767799928488</c:v>
                </c:pt>
                <c:pt idx="50">
                  <c:v>88.846314699002079</c:v>
                </c:pt>
                <c:pt idx="51">
                  <c:v>90.544264516319487</c:v>
                </c:pt>
                <c:pt idx="52">
                  <c:v>90.820995402356814</c:v>
                </c:pt>
                <c:pt idx="53">
                  <c:v>89.761893486014117</c:v>
                </c:pt>
                <c:pt idx="54">
                  <c:v>91.116809821387193</c:v>
                </c:pt>
                <c:pt idx="55">
                  <c:v>91.547751539127631</c:v>
                </c:pt>
                <c:pt idx="56">
                  <c:v>91.935688633374411</c:v>
                </c:pt>
                <c:pt idx="57">
                  <c:v>93.372664608441326</c:v>
                </c:pt>
                <c:pt idx="58">
                  <c:v>93.639881836308959</c:v>
                </c:pt>
                <c:pt idx="59">
                  <c:v>92.163458278730218</c:v>
                </c:pt>
                <c:pt idx="60">
                  <c:v>91.295273085112981</c:v>
                </c:pt>
                <c:pt idx="61">
                  <c:v>89.358077151956664</c:v>
                </c:pt>
                <c:pt idx="62">
                  <c:v>88.025495046174328</c:v>
                </c:pt>
                <c:pt idx="63">
                  <c:v>89.419497967992598</c:v>
                </c:pt>
                <c:pt idx="64">
                  <c:v>89.750938521584672</c:v>
                </c:pt>
                <c:pt idx="65">
                  <c:v>84.933179608001851</c:v>
                </c:pt>
                <c:pt idx="66">
                  <c:v>80.31972463112335</c:v>
                </c:pt>
                <c:pt idx="67">
                  <c:v>80.654740951227836</c:v>
                </c:pt>
                <c:pt idx="68">
                  <c:v>81.915146536628228</c:v>
                </c:pt>
                <c:pt idx="69">
                  <c:v>85.643739479642619</c:v>
                </c:pt>
                <c:pt idx="70">
                  <c:v>83.896300341033609</c:v>
                </c:pt>
                <c:pt idx="71">
                  <c:v>84.081264922170774</c:v>
                </c:pt>
                <c:pt idx="72">
                  <c:v>84.225201371306838</c:v>
                </c:pt>
                <c:pt idx="73">
                  <c:v>84.700356594487872</c:v>
                </c:pt>
                <c:pt idx="74">
                  <c:v>82.263060891348516</c:v>
                </c:pt>
                <c:pt idx="75">
                  <c:v>82.348705491723081</c:v>
                </c:pt>
                <c:pt idx="76">
                  <c:v>81.26458930376387</c:v>
                </c:pt>
                <c:pt idx="77">
                  <c:v>84.62291006991228</c:v>
                </c:pt>
                <c:pt idx="78">
                  <c:v>85.610328671616131</c:v>
                </c:pt>
                <c:pt idx="79">
                  <c:v>86.605316410128125</c:v>
                </c:pt>
                <c:pt idx="80">
                  <c:v>86.34648995887386</c:v>
                </c:pt>
                <c:pt idx="81">
                  <c:v>86.277789212131012</c:v>
                </c:pt>
                <c:pt idx="82">
                  <c:v>86.750610710786944</c:v>
                </c:pt>
                <c:pt idx="83">
                  <c:v>90.735123599152686</c:v>
                </c:pt>
                <c:pt idx="84">
                  <c:v>90.805352654167734</c:v>
                </c:pt>
                <c:pt idx="85">
                  <c:v>90.55812399598959</c:v>
                </c:pt>
                <c:pt idx="86">
                  <c:v>91.442964062951731</c:v>
                </c:pt>
                <c:pt idx="87">
                  <c:v>93.104527014042446</c:v>
                </c:pt>
                <c:pt idx="88">
                  <c:v>92.086417840612228</c:v>
                </c:pt>
                <c:pt idx="89">
                  <c:v>96.061011002728961</c:v>
                </c:pt>
                <c:pt idx="90">
                  <c:v>97.055088077539267</c:v>
                </c:pt>
                <c:pt idx="91">
                  <c:v>97.308620228791284</c:v>
                </c:pt>
                <c:pt idx="92">
                  <c:v>97.459685209384986</c:v>
                </c:pt>
                <c:pt idx="93">
                  <c:v>97.969065859517912</c:v>
                </c:pt>
                <c:pt idx="94">
                  <c:v>97.609994232159877</c:v>
                </c:pt>
                <c:pt idx="95">
                  <c:v>97.0296440360503</c:v>
                </c:pt>
                <c:pt idx="96">
                  <c:v>95.791080933862375</c:v>
                </c:pt>
                <c:pt idx="97">
                  <c:v>96.045468492528997</c:v>
                </c:pt>
                <c:pt idx="98">
                  <c:v>94.96437426210106</c:v>
                </c:pt>
                <c:pt idx="99">
                  <c:v>95.869523757074361</c:v>
                </c:pt>
                <c:pt idx="100">
                  <c:v>96.621720376575936</c:v>
                </c:pt>
                <c:pt idx="101">
                  <c:v>96.942648633046602</c:v>
                </c:pt>
                <c:pt idx="102">
                  <c:v>96.103768827470006</c:v>
                </c:pt>
                <c:pt idx="103">
                  <c:v>96.231616523088476</c:v>
                </c:pt>
                <c:pt idx="104">
                  <c:v>96.292065093223627</c:v>
                </c:pt>
                <c:pt idx="105">
                  <c:v>97.750661751627504</c:v>
                </c:pt>
                <c:pt idx="106">
                  <c:v>98.302241828781433</c:v>
                </c:pt>
                <c:pt idx="107">
                  <c:v>98.328516189231991</c:v>
                </c:pt>
                <c:pt idx="108">
                  <c:v>98.806615290010285</c:v>
                </c:pt>
                <c:pt idx="109">
                  <c:v>98.34568693629933</c:v>
                </c:pt>
                <c:pt idx="110">
                  <c:v>97.758136306026145</c:v>
                </c:pt>
                <c:pt idx="111">
                  <c:v>98.085388161902003</c:v>
                </c:pt>
                <c:pt idx="112">
                  <c:v>97.651825920392383</c:v>
                </c:pt>
                <c:pt idx="113">
                  <c:v>96.468754855548809</c:v>
                </c:pt>
                <c:pt idx="114">
                  <c:v>97.701219711106617</c:v>
                </c:pt>
                <c:pt idx="115">
                  <c:v>97.859160226975533</c:v>
                </c:pt>
                <c:pt idx="116">
                  <c:v>97.682623422063301</c:v>
                </c:pt>
                <c:pt idx="117">
                  <c:v>96.760617011389286</c:v>
                </c:pt>
                <c:pt idx="118">
                  <c:v>97.15930960507653</c:v>
                </c:pt>
                <c:pt idx="119">
                  <c:v>97.52719171036351</c:v>
                </c:pt>
                <c:pt idx="120">
                  <c:v>99.498987337240663</c:v>
                </c:pt>
                <c:pt idx="121">
                  <c:v>99.466900851848848</c:v>
                </c:pt>
                <c:pt idx="122">
                  <c:v>99.637176745924592</c:v>
                </c:pt>
                <c:pt idx="123">
                  <c:v>100.03933374887654</c:v>
                </c:pt>
                <c:pt idx="124">
                  <c:v>99.989150390712311</c:v>
                </c:pt>
                <c:pt idx="125">
                  <c:v>98.575857505796762</c:v>
                </c:pt>
                <c:pt idx="126">
                  <c:v>98.663776427057542</c:v>
                </c:pt>
                <c:pt idx="127">
                  <c:v>100.12411088443069</c:v>
                </c:pt>
                <c:pt idx="128">
                  <c:v>99.845207857285757</c:v>
                </c:pt>
                <c:pt idx="129">
                  <c:v>100.10610928068512</c:v>
                </c:pt>
                <c:pt idx="130">
                  <c:v>99.677291007402303</c:v>
                </c:pt>
                <c:pt idx="131">
                  <c:v>100.12179999838376</c:v>
                </c:pt>
                <c:pt idx="132">
                  <c:v>100.26879057866147</c:v>
                </c:pt>
                <c:pt idx="133">
                  <c:v>99.181171946845225</c:v>
                </c:pt>
                <c:pt idx="134">
                  <c:v>99.682594187311238</c:v>
                </c:pt>
                <c:pt idx="135">
                  <c:v>100.22156250322728</c:v>
                </c:pt>
                <c:pt idx="136">
                  <c:v>99.330003280324306</c:v>
                </c:pt>
                <c:pt idx="137">
                  <c:v>100.52737080728397</c:v>
                </c:pt>
                <c:pt idx="138">
                  <c:v>100.62202795806633</c:v>
                </c:pt>
                <c:pt idx="139">
                  <c:v>100.63605218270534</c:v>
                </c:pt>
                <c:pt idx="140">
                  <c:v>99.763114850380873</c:v>
                </c:pt>
                <c:pt idx="141">
                  <c:v>100.08662873984163</c:v>
                </c:pt>
                <c:pt idx="142">
                  <c:v>100.71824911011298</c:v>
                </c:pt>
                <c:pt idx="143">
                  <c:v>101.49856976488365</c:v>
                </c:pt>
                <c:pt idx="144">
                  <c:v>102.48181485418593</c:v>
                </c:pt>
                <c:pt idx="145">
                  <c:v>101.98986898113911</c:v>
                </c:pt>
                <c:pt idx="146">
                  <c:v>101.50509263346632</c:v>
                </c:pt>
                <c:pt idx="147">
                  <c:v>101.96016267266128</c:v>
                </c:pt>
                <c:pt idx="148">
                  <c:v>99.145688541519661</c:v>
                </c:pt>
                <c:pt idx="149">
                  <c:v>100.29249788447396</c:v>
                </c:pt>
                <c:pt idx="150">
                  <c:v>99.565704706856195</c:v>
                </c:pt>
                <c:pt idx="151">
                  <c:v>99.519574516329172</c:v>
                </c:pt>
                <c:pt idx="152">
                  <c:v>99.623993359641076</c:v>
                </c:pt>
                <c:pt idx="153">
                  <c:v>99.791203102580397</c:v>
                </c:pt>
                <c:pt idx="154">
                  <c:v>99.675168063515855</c:v>
                </c:pt>
                <c:pt idx="155">
                  <c:v>99.541188810127053</c:v>
                </c:pt>
                <c:pt idx="156">
                  <c:v>99.45098703856867</c:v>
                </c:pt>
                <c:pt idx="157">
                  <c:v>100.12451400959567</c:v>
                </c:pt>
                <c:pt idx="158">
                  <c:v>100.21821794001316</c:v>
                </c:pt>
                <c:pt idx="159">
                  <c:v>100.21126383266807</c:v>
                </c:pt>
                <c:pt idx="160">
                  <c:v>99.948099861136185</c:v>
                </c:pt>
                <c:pt idx="161">
                  <c:v>99.021551092236152</c:v>
                </c:pt>
                <c:pt idx="162">
                  <c:v>99.47069535324313</c:v>
                </c:pt>
                <c:pt idx="163">
                  <c:v>99.832532339402178</c:v>
                </c:pt>
                <c:pt idx="164">
                  <c:v>100.01356070325321</c:v>
                </c:pt>
                <c:pt idx="165">
                  <c:v>100.13878671975218</c:v>
                </c:pt>
                <c:pt idx="166">
                  <c:v>100.77870259722015</c:v>
                </c:pt>
                <c:pt idx="167">
                  <c:v>100.94364207702478</c:v>
                </c:pt>
                <c:pt idx="168">
                  <c:v>99.919722539965008</c:v>
                </c:pt>
                <c:pt idx="169">
                  <c:v>99.847738802616263</c:v>
                </c:pt>
                <c:pt idx="170">
                  <c:v>99.246619296277871</c:v>
                </c:pt>
                <c:pt idx="171">
                  <c:v>99.671191408147138</c:v>
                </c:pt>
                <c:pt idx="172">
                  <c:v>100.11281523871463</c:v>
                </c:pt>
                <c:pt idx="173">
                  <c:v>99.7703720101279</c:v>
                </c:pt>
                <c:pt idx="174">
                  <c:v>100.30875284674617</c:v>
                </c:pt>
                <c:pt idx="175">
                  <c:v>100.89277600922593</c:v>
                </c:pt>
                <c:pt idx="176">
                  <c:v>101.75352500760388</c:v>
                </c:pt>
                <c:pt idx="177">
                  <c:v>101.83848884365214</c:v>
                </c:pt>
                <c:pt idx="178">
                  <c:v>101.49276342562212</c:v>
                </c:pt>
                <c:pt idx="179">
                  <c:v>101.51069075565383</c:v>
                </c:pt>
                <c:pt idx="180">
                  <c:v>100.56597223038017</c:v>
                </c:pt>
                <c:pt idx="181">
                  <c:v>100.6968807528449</c:v>
                </c:pt>
                <c:pt idx="182">
                  <c:v>101.44398311144718</c:v>
                </c:pt>
                <c:pt idx="183">
                  <c:v>101.23642816091029</c:v>
                </c:pt>
                <c:pt idx="184">
                  <c:v>101.36144922604139</c:v>
                </c:pt>
                <c:pt idx="185">
                  <c:v>99.890210183014261</c:v>
                </c:pt>
                <c:pt idx="186">
                  <c:v>99.52620386959444</c:v>
                </c:pt>
                <c:pt idx="187">
                  <c:v>99.29507792687906</c:v>
                </c:pt>
                <c:pt idx="188">
                  <c:v>99.658474477462846</c:v>
                </c:pt>
                <c:pt idx="189">
                  <c:v>99.757203346217736</c:v>
                </c:pt>
                <c:pt idx="190">
                  <c:v>99.008098962847399</c:v>
                </c:pt>
                <c:pt idx="191">
                  <c:v>99.762395902117476</c:v>
                </c:pt>
                <c:pt idx="192">
                  <c:v>99.979934146585435</c:v>
                </c:pt>
                <c:pt idx="193">
                  <c:v>99.91732728272909</c:v>
                </c:pt>
                <c:pt idx="194">
                  <c:v>100.46229677991876</c:v>
                </c:pt>
                <c:pt idx="195">
                  <c:v>100.38908533877617</c:v>
                </c:pt>
                <c:pt idx="196">
                  <c:v>100.86939996074017</c:v>
                </c:pt>
                <c:pt idx="197">
                  <c:v>101.72782872059069</c:v>
                </c:pt>
                <c:pt idx="198">
                  <c:v>100.02320172583377</c:v>
                </c:pt>
                <c:pt idx="199">
                  <c:v>101.51870032453547</c:v>
                </c:pt>
                <c:pt idx="200">
                  <c:v>100.52149611784463</c:v>
                </c:pt>
                <c:pt idx="201">
                  <c:v>100.76698504169237</c:v>
                </c:pt>
                <c:pt idx="202">
                  <c:v>99.78434676406907</c:v>
                </c:pt>
                <c:pt idx="203">
                  <c:v>99.74354683441922</c:v>
                </c:pt>
                <c:pt idx="204">
                  <c:v>100.87194638151365</c:v>
                </c:pt>
                <c:pt idx="205">
                  <c:v>101.49355826199294</c:v>
                </c:pt>
                <c:pt idx="206">
                  <c:v>100.21872520784257</c:v>
                </c:pt>
                <c:pt idx="207">
                  <c:v>100.95246165407768</c:v>
                </c:pt>
                <c:pt idx="208">
                  <c:v>101.8985378169824</c:v>
                </c:pt>
                <c:pt idx="209">
                  <c:v>102.20769426597739</c:v>
                </c:pt>
                <c:pt idx="210">
                  <c:v>102.53232021387223</c:v>
                </c:pt>
                <c:pt idx="211">
                  <c:v>102.85844810554828</c:v>
                </c:pt>
                <c:pt idx="212">
                  <c:v>103.82219836400976</c:v>
                </c:pt>
                <c:pt idx="213">
                  <c:v>103.42845242031082</c:v>
                </c:pt>
                <c:pt idx="214">
                  <c:v>103.59220730436996</c:v>
                </c:pt>
                <c:pt idx="215">
                  <c:v>102.91989004530305</c:v>
                </c:pt>
                <c:pt idx="216">
                  <c:v>102.60728573622052</c:v>
                </c:pt>
                <c:pt idx="217">
                  <c:v>100.19965342561233</c:v>
                </c:pt>
                <c:pt idx="218">
                  <c:v>99.653695608633313</c:v>
                </c:pt>
                <c:pt idx="219">
                  <c:v>101.44057944203365</c:v>
                </c:pt>
                <c:pt idx="220">
                  <c:v>101.04478049908708</c:v>
                </c:pt>
                <c:pt idx="221">
                  <c:v>101.41353318998763</c:v>
                </c:pt>
                <c:pt idx="222">
                  <c:v>99.526268592885188</c:v>
                </c:pt>
                <c:pt idx="223">
                  <c:v>98.905917445968143</c:v>
                </c:pt>
                <c:pt idx="224">
                  <c:v>98.374526718778398</c:v>
                </c:pt>
                <c:pt idx="225">
                  <c:v>97.256638586688851</c:v>
                </c:pt>
                <c:pt idx="226">
                  <c:v>97.860694857047662</c:v>
                </c:pt>
                <c:pt idx="227">
                  <c:v>97.44935415572148</c:v>
                </c:pt>
                <c:pt idx="228">
                  <c:v>96.705056321099974</c:v>
                </c:pt>
                <c:pt idx="229">
                  <c:v>97.761946713544518</c:v>
                </c:pt>
                <c:pt idx="230">
                  <c:v>98.355071438312805</c:v>
                </c:pt>
                <c:pt idx="231">
                  <c:v>98.838470281423</c:v>
                </c:pt>
                <c:pt idx="232">
                  <c:v>99.170305146125528</c:v>
                </c:pt>
                <c:pt idx="233">
                  <c:v>99.669145436826923</c:v>
                </c:pt>
                <c:pt idx="234">
                  <c:v>98.932590670587516</c:v>
                </c:pt>
                <c:pt idx="235">
                  <c:v>98.543839121092589</c:v>
                </c:pt>
                <c:pt idx="236">
                  <c:v>98.053066075264368</c:v>
                </c:pt>
                <c:pt idx="237">
                  <c:v>98.94705987928684</c:v>
                </c:pt>
                <c:pt idx="238">
                  <c:v>99.67625104750158</c:v>
                </c:pt>
                <c:pt idx="239">
                  <c:v>99.38061812605514</c:v>
                </c:pt>
                <c:pt idx="240">
                  <c:v>99.305927793504921</c:v>
                </c:pt>
                <c:pt idx="241">
                  <c:v>99.236295022663356</c:v>
                </c:pt>
                <c:pt idx="242">
                  <c:v>99.775414540370548</c:v>
                </c:pt>
                <c:pt idx="243">
                  <c:v>99.575122672212217</c:v>
                </c:pt>
                <c:pt idx="244">
                  <c:v>98.149057155740849</c:v>
                </c:pt>
                <c:pt idx="245">
                  <c:v>97.78703491317215</c:v>
                </c:pt>
                <c:pt idx="246">
                  <c:v>97.243186542611255</c:v>
                </c:pt>
                <c:pt idx="247">
                  <c:v>97.7940777873428</c:v>
                </c:pt>
                <c:pt idx="248">
                  <c:v>98.468991300846298</c:v>
                </c:pt>
                <c:pt idx="249">
                  <c:v>98.79826042090842</c:v>
                </c:pt>
                <c:pt idx="250">
                  <c:v>99.270819671166919</c:v>
                </c:pt>
                <c:pt idx="251">
                  <c:v>100.05493372606061</c:v>
                </c:pt>
                <c:pt idx="252">
                  <c:v>99.973721285684704</c:v>
                </c:pt>
                <c:pt idx="253">
                  <c:v>99.224903704534825</c:v>
                </c:pt>
                <c:pt idx="254">
                  <c:v>100.36228905607494</c:v>
                </c:pt>
                <c:pt idx="255">
                  <c:v>100.91893525994608</c:v>
                </c:pt>
                <c:pt idx="256">
                  <c:v>100.42537650369864</c:v>
                </c:pt>
                <c:pt idx="257">
                  <c:v>99.757452940664095</c:v>
                </c:pt>
                <c:pt idx="258">
                  <c:v>100.58667498461546</c:v>
                </c:pt>
                <c:pt idx="259">
                  <c:v>100.38967258029156</c:v>
                </c:pt>
                <c:pt idx="260">
                  <c:v>99.018805457290739</c:v>
                </c:pt>
                <c:pt idx="261">
                  <c:v>97.687083581972431</c:v>
                </c:pt>
                <c:pt idx="262">
                  <c:v>98.47919683544734</c:v>
                </c:pt>
                <c:pt idx="263">
                  <c:v>97.485729026595095</c:v>
                </c:pt>
                <c:pt idx="264">
                  <c:v>96.403635040936848</c:v>
                </c:pt>
                <c:pt idx="265">
                  <c:v>95.042248155129485</c:v>
                </c:pt>
              </c:numCache>
            </c:numRef>
          </c:val>
          <c:smooth val="0"/>
          <c:extLst>
            <c:ext xmlns:c16="http://schemas.microsoft.com/office/drawing/2014/chart" uri="{C3380CC4-5D6E-409C-BE32-E72D297353CC}">
              <c16:uniqueId val="{00000000-F94F-4A66-A7CE-DDA58648F350}"/>
            </c:ext>
          </c:extLst>
        </c:ser>
        <c:dLbls>
          <c:showLegendKey val="0"/>
          <c:showVal val="0"/>
          <c:showCatName val="0"/>
          <c:showSerName val="0"/>
          <c:showPercent val="0"/>
          <c:showBubbleSize val="0"/>
        </c:dLbls>
        <c:smooth val="0"/>
        <c:axId val="2114693247"/>
        <c:axId val="439922383"/>
      </c:lineChart>
      <c:catAx>
        <c:axId val="2114693247"/>
        <c:scaling>
          <c:orientation val="minMax"/>
        </c:scaling>
        <c:delete val="1"/>
        <c:axPos val="b"/>
        <c:majorTickMark val="none"/>
        <c:minorTickMark val="none"/>
        <c:tickLblPos val="nextTo"/>
        <c:crossAx val="439922383"/>
        <c:crosses val="autoZero"/>
        <c:auto val="1"/>
        <c:lblAlgn val="ctr"/>
        <c:lblOffset val="100"/>
        <c:noMultiLvlLbl val="0"/>
      </c:catAx>
      <c:valAx>
        <c:axId val="43992238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1469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MaxDrawdown.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3885892388451443"/>
          <c:y val="0.15319444444444447"/>
          <c:w val="0.84447440944881891"/>
          <c:h val="0.77736111111111106"/>
        </c:manualLayout>
      </c:layout>
      <c:lineChart>
        <c:grouping val="standard"/>
        <c:varyColors val="0"/>
        <c:ser>
          <c:idx val="0"/>
          <c:order val="0"/>
          <c:tx>
            <c:strRef>
              <c:f>DataBase.!$AU$2</c:f>
              <c:strCache>
                <c:ptCount val="1"/>
                <c:pt idx="0">
                  <c:v>DailyDrawdown.</c:v>
                </c:pt>
              </c:strCache>
            </c:strRef>
          </c:tx>
          <c:spPr>
            <a:ln w="28575" cap="rnd">
              <a:solidFill>
                <a:schemeClr val="accent1"/>
              </a:solidFill>
              <a:round/>
            </a:ln>
            <a:effectLst/>
          </c:spPr>
          <c:marker>
            <c:symbol val="none"/>
          </c:marker>
          <c:val>
            <c:numRef>
              <c:f>DataBase.!$AU$3:$AU$268</c:f>
              <c:numCache>
                <c:formatCode>0.00%</c:formatCode>
                <c:ptCount val="266"/>
                <c:pt idx="0">
                  <c:v>-6.0331974240775965E-3</c:v>
                </c:pt>
                <c:pt idx="1">
                  <c:v>0</c:v>
                </c:pt>
                <c:pt idx="2">
                  <c:v>-6.1084124915211646E-4</c:v>
                </c:pt>
                <c:pt idx="3">
                  <c:v>-4.5881481391213397E-3</c:v>
                </c:pt>
                <c:pt idx="4">
                  <c:v>-5.6213125945007159E-3</c:v>
                </c:pt>
                <c:pt idx="5">
                  <c:v>0</c:v>
                </c:pt>
                <c:pt idx="6">
                  <c:v>-1.3225094742031041E-2</c:v>
                </c:pt>
                <c:pt idx="7">
                  <c:v>-1.2271639685152214E-2</c:v>
                </c:pt>
                <c:pt idx="8">
                  <c:v>-1.5792983086166834E-2</c:v>
                </c:pt>
                <c:pt idx="9">
                  <c:v>-7.3333777776068976E-3</c:v>
                </c:pt>
                <c:pt idx="10">
                  <c:v>-6.1888472103658332E-3</c:v>
                </c:pt>
                <c:pt idx="11">
                  <c:v>-3.8413671561243756E-4</c:v>
                </c:pt>
                <c:pt idx="12">
                  <c:v>-1.4569112872774292E-3</c:v>
                </c:pt>
                <c:pt idx="13">
                  <c:v>-1.4151439617131945E-2</c:v>
                </c:pt>
                <c:pt idx="14">
                  <c:v>-8.8356993263993822E-4</c:v>
                </c:pt>
                <c:pt idx="15">
                  <c:v>0</c:v>
                </c:pt>
                <c:pt idx="16">
                  <c:v>-4.1870092285103411E-3</c:v>
                </c:pt>
                <c:pt idx="17">
                  <c:v>-3.9186487640671896E-2</c:v>
                </c:pt>
                <c:pt idx="18">
                  <c:v>-1.7455598704766206E-2</c:v>
                </c:pt>
                <c:pt idx="19">
                  <c:v>-1.1658926035648998E-2</c:v>
                </c:pt>
                <c:pt idx="20">
                  <c:v>-3.6292998757880834E-3</c:v>
                </c:pt>
                <c:pt idx="21">
                  <c:v>0</c:v>
                </c:pt>
                <c:pt idx="22">
                  <c:v>-4.677496910938328E-3</c:v>
                </c:pt>
                <c:pt idx="23">
                  <c:v>-8.4696023855201918E-3</c:v>
                </c:pt>
                <c:pt idx="24">
                  <c:v>-2.1208596916082456E-3</c:v>
                </c:pt>
                <c:pt idx="25">
                  <c:v>-3.1123088355873296E-3</c:v>
                </c:pt>
                <c:pt idx="26">
                  <c:v>-5.9170125466366796E-3</c:v>
                </c:pt>
                <c:pt idx="27">
                  <c:v>0</c:v>
                </c:pt>
                <c:pt idx="28">
                  <c:v>-3.1209344639473446E-3</c:v>
                </c:pt>
                <c:pt idx="29">
                  <c:v>-4.7091665288186979E-3</c:v>
                </c:pt>
                <c:pt idx="30">
                  <c:v>-6.2893222429711848E-3</c:v>
                </c:pt>
                <c:pt idx="31">
                  <c:v>-9.8354540495803056E-3</c:v>
                </c:pt>
                <c:pt idx="32">
                  <c:v>-5.5018618862850976E-3</c:v>
                </c:pt>
                <c:pt idx="33">
                  <c:v>-9.2997655219227982E-3</c:v>
                </c:pt>
                <c:pt idx="34">
                  <c:v>-6.634590358588266E-3</c:v>
                </c:pt>
                <c:pt idx="35">
                  <c:v>-2.4575885963074029E-2</c:v>
                </c:pt>
                <c:pt idx="36">
                  <c:v>-3.6260004783437272E-2</c:v>
                </c:pt>
                <c:pt idx="37">
                  <c:v>-5.1327246273174421E-2</c:v>
                </c:pt>
                <c:pt idx="38">
                  <c:v>-7.2099412326010692E-2</c:v>
                </c:pt>
                <c:pt idx="39">
                  <c:v>-5.3585927921902421E-2</c:v>
                </c:pt>
                <c:pt idx="40">
                  <c:v>-6.3917480411113559E-2</c:v>
                </c:pt>
                <c:pt idx="41">
                  <c:v>-6.6388205760324559E-2</c:v>
                </c:pt>
                <c:pt idx="42">
                  <c:v>-8.5509701158827167E-2</c:v>
                </c:pt>
                <c:pt idx="43">
                  <c:v>-0.10551928121579768</c:v>
                </c:pt>
                <c:pt idx="44">
                  <c:v>-0.11347323878037885</c:v>
                </c:pt>
                <c:pt idx="45">
                  <c:v>-0.14441956646678689</c:v>
                </c:pt>
                <c:pt idx="46">
                  <c:v>-0.15578094078060944</c:v>
                </c:pt>
                <c:pt idx="47">
                  <c:v>-0.17407833481229862</c:v>
                </c:pt>
                <c:pt idx="48">
                  <c:v>-0.17466498848951817</c:v>
                </c:pt>
                <c:pt idx="49">
                  <c:v>-0.1584171028960808</c:v>
                </c:pt>
                <c:pt idx="50">
                  <c:v>-0.16941524073588754</c:v>
                </c:pt>
                <c:pt idx="51">
                  <c:v>-0.15354186157506389</c:v>
                </c:pt>
                <c:pt idx="52">
                  <c:v>-0.15095482735604249</c:v>
                </c:pt>
                <c:pt idx="53">
                  <c:v>-0.16085590106069603</c:v>
                </c:pt>
                <c:pt idx="54">
                  <c:v>-0.14818938965781503</c:v>
                </c:pt>
                <c:pt idx="55">
                  <c:v>-0.14416070682387949</c:v>
                </c:pt>
                <c:pt idx="56">
                  <c:v>-0.14053405512621264</c:v>
                </c:pt>
                <c:pt idx="57">
                  <c:v>-0.12710040457624028</c:v>
                </c:pt>
                <c:pt idx="58">
                  <c:v>-0.12460230932455107</c:v>
                </c:pt>
                <c:pt idx="59">
                  <c:v>-0.13840473781354246</c:v>
                </c:pt>
                <c:pt idx="60">
                  <c:v>-0.14652101582102339</c:v>
                </c:pt>
                <c:pt idx="61">
                  <c:v>-0.16463100072291981</c:v>
                </c:pt>
                <c:pt idx="62">
                  <c:v>-0.17708871932701309</c:v>
                </c:pt>
                <c:pt idx="63">
                  <c:v>-0.16405680477710205</c:v>
                </c:pt>
                <c:pt idx="64">
                  <c:v>-0.16095831416048756</c:v>
                </c:pt>
                <c:pt idx="65">
                  <c:v>-0.20599740375004894</c:v>
                </c:pt>
                <c:pt idx="66">
                  <c:v>-0.24912654652122901</c:v>
                </c:pt>
                <c:pt idx="67">
                  <c:v>-0.24599462765069124</c:v>
                </c:pt>
                <c:pt idx="68">
                  <c:v>-0.23421165529813415</c:v>
                </c:pt>
                <c:pt idx="69">
                  <c:v>-0.19935469491143332</c:v>
                </c:pt>
                <c:pt idx="70">
                  <c:v>-0.21569072776982889</c:v>
                </c:pt>
                <c:pt idx="71">
                  <c:v>-0.21396157600234511</c:v>
                </c:pt>
                <c:pt idx="72">
                  <c:v>-0.21261597802948573</c:v>
                </c:pt>
                <c:pt idx="73">
                  <c:v>-0.20817396275855471</c:v>
                </c:pt>
                <c:pt idx="74">
                  <c:v>-0.23095915842711734</c:v>
                </c:pt>
                <c:pt idx="75">
                  <c:v>-0.23015850507390434</c:v>
                </c:pt>
                <c:pt idx="76">
                  <c:v>-0.24029342610063475</c:v>
                </c:pt>
                <c:pt idx="77">
                  <c:v>-0.20889797594006243</c:v>
                </c:pt>
                <c:pt idx="78">
                  <c:v>-0.19966703772537575</c:v>
                </c:pt>
                <c:pt idx="79">
                  <c:v>-0.19036533901043728</c:v>
                </c:pt>
                <c:pt idx="80">
                  <c:v>-0.19278499261604276</c:v>
                </c:pt>
                <c:pt idx="81">
                  <c:v>-0.19342724540264389</c:v>
                </c:pt>
                <c:pt idx="82">
                  <c:v>-0.18900704708641092</c:v>
                </c:pt>
                <c:pt idx="83">
                  <c:v>-0.15175760472765898</c:v>
                </c:pt>
                <c:pt idx="84">
                  <c:v>-0.15110106446540239</c:v>
                </c:pt>
                <c:pt idx="85">
                  <c:v>-0.15341229545153567</c:v>
                </c:pt>
                <c:pt idx="86">
                  <c:v>-0.14514031842587238</c:v>
                </c:pt>
                <c:pt idx="87">
                  <c:v>-0.12960710392610031</c:v>
                </c:pt>
                <c:pt idx="88">
                  <c:v>-0.13912495467301067</c:v>
                </c:pt>
                <c:pt idx="89">
                  <c:v>-0.10196824743181998</c:v>
                </c:pt>
                <c:pt idx="90">
                  <c:v>-9.2675062107605677E-2</c:v>
                </c:pt>
                <c:pt idx="91">
                  <c:v>-9.030490256270185E-2</c:v>
                </c:pt>
                <c:pt idx="92">
                  <c:v>-8.8892663113437798E-2</c:v>
                </c:pt>
                <c:pt idx="93">
                  <c:v>-8.4130689517821655E-2</c:v>
                </c:pt>
                <c:pt idx="94">
                  <c:v>-8.7487490778269339E-2</c:v>
                </c:pt>
                <c:pt idx="95">
                  <c:v>-9.2912927157455139E-2</c:v>
                </c:pt>
                <c:pt idx="96">
                  <c:v>-0.10449170382984008</c:v>
                </c:pt>
                <c:pt idx="97">
                  <c:v>-0.10211354746071288</c:v>
                </c:pt>
                <c:pt idx="98">
                  <c:v>-0.11222021754786171</c:v>
                </c:pt>
                <c:pt idx="99">
                  <c:v>-0.10375837669461496</c:v>
                </c:pt>
                <c:pt idx="100">
                  <c:v>-9.6726424381853304E-2</c:v>
                </c:pt>
                <c:pt idx="101">
                  <c:v>-9.3726208564857472E-2</c:v>
                </c:pt>
                <c:pt idx="102">
                  <c:v>-0.1015685235075412</c:v>
                </c:pt>
                <c:pt idx="103">
                  <c:v>-0.1003733321498862</c:v>
                </c:pt>
                <c:pt idx="104">
                  <c:v>-9.9808225299437114E-2</c:v>
                </c:pt>
                <c:pt idx="105">
                  <c:v>-8.6172452577876646E-2</c:v>
                </c:pt>
                <c:pt idx="106">
                  <c:v>-8.1015975270406271E-2</c:v>
                </c:pt>
                <c:pt idx="107">
                  <c:v>-8.077034793714466E-2</c:v>
                </c:pt>
                <c:pt idx="108">
                  <c:v>-7.6300811661277113E-2</c:v>
                </c:pt>
                <c:pt idx="109">
                  <c:v>-8.0609826244515848E-2</c:v>
                </c:pt>
                <c:pt idx="110">
                  <c:v>-8.610257628658835E-2</c:v>
                </c:pt>
                <c:pt idx="111">
                  <c:v>-8.304324394565521E-2</c:v>
                </c:pt>
                <c:pt idx="112">
                  <c:v>-8.7096424893117974E-2</c:v>
                </c:pt>
                <c:pt idx="113">
                  <c:v>-9.8156431140022815E-2</c:v>
                </c:pt>
                <c:pt idx="114">
                  <c:v>-8.6634664268510075E-2</c:v>
                </c:pt>
                <c:pt idx="115">
                  <c:v>-8.515814849185166E-2</c:v>
                </c:pt>
                <c:pt idx="116">
                  <c:v>-8.6808512720306541E-2</c:v>
                </c:pt>
                <c:pt idx="117">
                  <c:v>-9.5427941396038052E-2</c:v>
                </c:pt>
                <c:pt idx="118">
                  <c:v>-9.1700741308223699E-2</c:v>
                </c:pt>
                <c:pt idx="119">
                  <c:v>-8.8261574800388876E-2</c:v>
                </c:pt>
                <c:pt idx="120">
                  <c:v>-6.982813271991295E-2</c:v>
                </c:pt>
                <c:pt idx="121">
                  <c:v>-7.0128095029380555E-2</c:v>
                </c:pt>
                <c:pt idx="122">
                  <c:v>-6.8536261277260091E-2</c:v>
                </c:pt>
                <c:pt idx="123">
                  <c:v>-6.4776673965002418E-2</c:v>
                </c:pt>
                <c:pt idx="124">
                  <c:v>-6.5245815905229376E-2</c:v>
                </c:pt>
                <c:pt idx="125">
                  <c:v>-7.8458063757761209E-2</c:v>
                </c:pt>
                <c:pt idx="126">
                  <c:v>-7.7636148788102211E-2</c:v>
                </c:pt>
                <c:pt idx="127">
                  <c:v>-6.3984130155347541E-2</c:v>
                </c:pt>
                <c:pt idx="128">
                  <c:v>-6.6591470757419891E-2</c:v>
                </c:pt>
                <c:pt idx="129">
                  <c:v>-6.4152419158262752E-2</c:v>
                </c:pt>
                <c:pt idx="130">
                  <c:v>-6.8161250852512567E-2</c:v>
                </c:pt>
                <c:pt idx="131">
                  <c:v>-6.4005733603250459E-2</c:v>
                </c:pt>
                <c:pt idx="132">
                  <c:v>-6.2631583914007249E-2</c:v>
                </c:pt>
                <c:pt idx="133">
                  <c:v>-7.2799247733701944E-2</c:v>
                </c:pt>
                <c:pt idx="134">
                  <c:v>-6.8111673777504822E-2</c:v>
                </c:pt>
                <c:pt idx="135">
                  <c:v>-6.3073098227773738E-2</c:v>
                </c:pt>
                <c:pt idx="136">
                  <c:v>-7.1407889659847346E-2</c:v>
                </c:pt>
                <c:pt idx="137">
                  <c:v>-6.0214232134493284E-2</c:v>
                </c:pt>
                <c:pt idx="138">
                  <c:v>-5.9329324447983778E-2</c:v>
                </c:pt>
                <c:pt idx="139">
                  <c:v>-5.9198218196867769E-2</c:v>
                </c:pt>
                <c:pt idx="140">
                  <c:v>-6.7358921839756447E-2</c:v>
                </c:pt>
                <c:pt idx="141">
                  <c:v>-6.4334534087639783E-2</c:v>
                </c:pt>
                <c:pt idx="142">
                  <c:v>-5.8429795607878976E-2</c:v>
                </c:pt>
                <c:pt idx="143">
                  <c:v>-5.1134924173005691E-2</c:v>
                </c:pt>
                <c:pt idx="144">
                  <c:v>-4.1943002273234109E-2</c:v>
                </c:pt>
                <c:pt idx="145">
                  <c:v>-4.654198587677294E-2</c:v>
                </c:pt>
                <c:pt idx="146">
                  <c:v>-5.1073944769979174E-2</c:v>
                </c:pt>
                <c:pt idx="147">
                  <c:v>-4.6819696968777968E-2</c:v>
                </c:pt>
                <c:pt idx="148">
                  <c:v>-7.313096633981464E-2</c:v>
                </c:pt>
                <c:pt idx="149">
                  <c:v>-6.240995483509959E-2</c:v>
                </c:pt>
                <c:pt idx="150">
                  <c:v>-6.9204421645699177E-2</c:v>
                </c:pt>
                <c:pt idx="151">
                  <c:v>-6.9635672320794706E-2</c:v>
                </c:pt>
                <c:pt idx="152">
                  <c:v>-6.8659506903819612E-2</c:v>
                </c:pt>
                <c:pt idx="153">
                  <c:v>-6.7096337237678938E-2</c:v>
                </c:pt>
                <c:pt idx="154">
                  <c:v>-6.8181097312580485E-2</c:v>
                </c:pt>
                <c:pt idx="155">
                  <c:v>-6.9433609882171399E-2</c:v>
                </c:pt>
                <c:pt idx="156">
                  <c:v>-7.0276866205957411E-2</c:v>
                </c:pt>
                <c:pt idx="157">
                  <c:v>-6.3980361517118167E-2</c:v>
                </c:pt>
                <c:pt idx="158">
                  <c:v>-6.3104365064686974E-2</c:v>
                </c:pt>
                <c:pt idx="159">
                  <c:v>-6.3169375927486282E-2</c:v>
                </c:pt>
                <c:pt idx="160">
                  <c:v>-6.5629579084840795E-2</c:v>
                </c:pt>
                <c:pt idx="161">
                  <c:v>-7.4291472251377888E-2</c:v>
                </c:pt>
                <c:pt idx="162">
                  <c:v>-7.0092621920138209E-2</c:v>
                </c:pt>
                <c:pt idx="163">
                  <c:v>-6.6709968547739584E-2</c:v>
                </c:pt>
                <c:pt idx="164">
                  <c:v>-6.5017614728466677E-2</c:v>
                </c:pt>
                <c:pt idx="165">
                  <c:v>-6.3846932285196223E-2</c:v>
                </c:pt>
                <c:pt idx="166">
                  <c:v>-5.7864642790841025E-2</c:v>
                </c:pt>
                <c:pt idx="167">
                  <c:v>-5.6322696807028394E-2</c:v>
                </c:pt>
                <c:pt idx="168">
                  <c:v>-6.5894866064423185E-2</c:v>
                </c:pt>
                <c:pt idx="169">
                  <c:v>-6.6567810072953981E-2</c:v>
                </c:pt>
                <c:pt idx="170">
                  <c:v>-7.2187409514444911E-2</c:v>
                </c:pt>
                <c:pt idx="171">
                  <c:v>-6.8218273298475851E-2</c:v>
                </c:pt>
                <c:pt idx="172">
                  <c:v>-6.4089728133266965E-2</c:v>
                </c:pt>
                <c:pt idx="173">
                  <c:v>-6.7291077874569449E-2</c:v>
                </c:pt>
                <c:pt idx="174">
                  <c:v>-6.2257994408024486E-2</c:v>
                </c:pt>
                <c:pt idx="175">
                  <c:v>-5.6798221096590162E-2</c:v>
                </c:pt>
                <c:pt idx="176">
                  <c:v>-4.8751460777643363E-2</c:v>
                </c:pt>
                <c:pt idx="177">
                  <c:v>-4.7957171587941216E-2</c:v>
                </c:pt>
                <c:pt idx="178">
                  <c:v>-5.1189205061459964E-2</c:v>
                </c:pt>
                <c:pt idx="179">
                  <c:v>-5.1021610410527218E-2</c:v>
                </c:pt>
                <c:pt idx="180">
                  <c:v>-5.9853364564260048E-2</c:v>
                </c:pt>
                <c:pt idx="181">
                  <c:v>-5.8629558895050726E-2</c:v>
                </c:pt>
                <c:pt idx="182">
                  <c:v>-5.1645230566210176E-2</c:v>
                </c:pt>
                <c:pt idx="183">
                  <c:v>-5.3585569669861166E-2</c:v>
                </c:pt>
                <c:pt idx="184">
                  <c:v>-5.2416803225955766E-2</c:v>
                </c:pt>
                <c:pt idx="185">
                  <c:v>-6.6170763989692238E-2</c:v>
                </c:pt>
                <c:pt idx="186">
                  <c:v>-6.9573697439736737E-2</c:v>
                </c:pt>
                <c:pt idx="187">
                  <c:v>-7.17343912866375E-2</c:v>
                </c:pt>
                <c:pt idx="188">
                  <c:v>-6.8337158238687246E-2</c:v>
                </c:pt>
                <c:pt idx="189">
                  <c:v>-6.7414185868195475E-2</c:v>
                </c:pt>
                <c:pt idx="190">
                  <c:v>-7.4417230237939336E-2</c:v>
                </c:pt>
                <c:pt idx="191">
                  <c:v>-6.7365642967946116E-2</c:v>
                </c:pt>
                <c:pt idx="192">
                  <c:v>-6.5331974480690502E-2</c:v>
                </c:pt>
                <c:pt idx="193">
                  <c:v>-6.5917258261121603E-2</c:v>
                </c:pt>
                <c:pt idx="194">
                  <c:v>-6.0822580331451048E-2</c:v>
                </c:pt>
                <c:pt idx="195">
                  <c:v>-6.150700159780087E-2</c:v>
                </c:pt>
                <c:pt idx="196">
                  <c:v>-5.7016753397787667E-2</c:v>
                </c:pt>
                <c:pt idx="197">
                  <c:v>-4.899168395893283E-2</c:v>
                </c:pt>
                <c:pt idx="198">
                  <c:v>-6.4927485087791448E-2</c:v>
                </c:pt>
                <c:pt idx="199">
                  <c:v>-5.0946732506317982E-2</c:v>
                </c:pt>
                <c:pt idx="200">
                  <c:v>-6.0269151998420756E-2</c:v>
                </c:pt>
                <c:pt idx="201">
                  <c:v>-5.7974185016314017E-2</c:v>
                </c:pt>
                <c:pt idx="202">
                  <c:v>-6.7160434103048616E-2</c:v>
                </c:pt>
                <c:pt idx="203">
                  <c:v>-6.754185453518502E-2</c:v>
                </c:pt>
                <c:pt idx="204">
                  <c:v>-5.6992948040274549E-2</c:v>
                </c:pt>
                <c:pt idx="205">
                  <c:v>-5.1181774489038823E-2</c:v>
                </c:pt>
                <c:pt idx="206">
                  <c:v>-6.3099622842914482E-2</c:v>
                </c:pt>
                <c:pt idx="207">
                  <c:v>-5.6240246495970259E-2</c:v>
                </c:pt>
                <c:pt idx="208">
                  <c:v>-4.7395800390649168E-2</c:v>
                </c:pt>
                <c:pt idx="209">
                  <c:v>-4.4505633976505865E-2</c:v>
                </c:pt>
                <c:pt idx="210">
                  <c:v>-4.1470850083706545E-2</c:v>
                </c:pt>
                <c:pt idx="211">
                  <c:v>-3.8422025185175235E-2</c:v>
                </c:pt>
                <c:pt idx="212">
                  <c:v>-2.9412351805622516E-2</c:v>
                </c:pt>
                <c:pt idx="213">
                  <c:v>-3.3093307858401588E-2</c:v>
                </c:pt>
                <c:pt idx="214">
                  <c:v>-3.1562436134398464E-2</c:v>
                </c:pt>
                <c:pt idx="215">
                  <c:v>-3.7847631763086476E-2</c:v>
                </c:pt>
                <c:pt idx="216">
                  <c:v>-4.0770030690761461E-2</c:v>
                </c:pt>
                <c:pt idx="217">
                  <c:v>-6.327791646945502E-2</c:v>
                </c:pt>
                <c:pt idx="218">
                  <c:v>-6.8381833762143462E-2</c:v>
                </c:pt>
                <c:pt idx="219">
                  <c:v>-5.1677049960745958E-2</c:v>
                </c:pt>
                <c:pt idx="220">
                  <c:v>-5.5377198592211463E-2</c:v>
                </c:pt>
                <c:pt idx="221">
                  <c:v>-5.1929893365908475E-2</c:v>
                </c:pt>
                <c:pt idx="222">
                  <c:v>-6.9573092370420753E-2</c:v>
                </c:pt>
                <c:pt idx="223">
                  <c:v>-7.5372479883193955E-2</c:v>
                </c:pt>
                <c:pt idx="224">
                  <c:v>-8.0340215919442071E-2</c:v>
                </c:pt>
                <c:pt idx="225">
                  <c:v>-9.0790855861249686E-2</c:v>
                </c:pt>
                <c:pt idx="226">
                  <c:v>-8.5143801916494621E-2</c:v>
                </c:pt>
                <c:pt idx="227">
                  <c:v>-8.8989243548418417E-2</c:v>
                </c:pt>
                <c:pt idx="228">
                  <c:v>-9.5947353627427012E-2</c:v>
                </c:pt>
                <c:pt idx="229">
                  <c:v>-8.6066954478052238E-2</c:v>
                </c:pt>
                <c:pt idx="230">
                  <c:v>-8.0522094700758773E-2</c:v>
                </c:pt>
                <c:pt idx="231">
                  <c:v>-7.6003013486265258E-2</c:v>
                </c:pt>
                <c:pt idx="232">
                  <c:v>-7.2900836630104826E-2</c:v>
                </c:pt>
                <c:pt idx="233">
                  <c:v>-6.8237400176188401E-2</c:v>
                </c:pt>
                <c:pt idx="234">
                  <c:v>-7.5123123745864717E-2</c:v>
                </c:pt>
                <c:pt idx="235">
                  <c:v>-7.8757389424128355E-2</c:v>
                </c:pt>
                <c:pt idx="236">
                  <c:v>-8.3345408786591912E-2</c:v>
                </c:pt>
                <c:pt idx="237">
                  <c:v>-7.4987857536287117E-2</c:v>
                </c:pt>
                <c:pt idx="238">
                  <c:v>-6.8170972976009936E-2</c:v>
                </c:pt>
                <c:pt idx="239">
                  <c:v>-7.0934713933887839E-2</c:v>
                </c:pt>
                <c:pt idx="240">
                  <c:v>-7.1632960699561155E-2</c:v>
                </c:pt>
                <c:pt idx="241">
                  <c:v>-7.2283926565756884E-2</c:v>
                </c:pt>
                <c:pt idx="242">
                  <c:v>-6.7243937497595385E-2</c:v>
                </c:pt>
                <c:pt idx="243">
                  <c:v>-6.9116377268006235E-2</c:v>
                </c:pt>
                <c:pt idx="244">
                  <c:v>-8.2448030783472959E-2</c:v>
                </c:pt>
                <c:pt idx="245">
                  <c:v>-8.5832416035814263E-2</c:v>
                </c:pt>
                <c:pt idx="246">
                  <c:v>-9.0916613050274986E-2</c:v>
                </c:pt>
                <c:pt idx="247">
                  <c:v>-8.5766575331364447E-2</c:v>
                </c:pt>
                <c:pt idx="248">
                  <c:v>-7.9457108472367088E-2</c:v>
                </c:pt>
                <c:pt idx="249">
                  <c:v>-7.6378917623974196E-2</c:v>
                </c:pt>
                <c:pt idx="250">
                  <c:v>-7.1961170951602815E-2</c:v>
                </c:pt>
                <c:pt idx="251">
                  <c:v>-6.4630836702783356E-2</c:v>
                </c:pt>
                <c:pt idx="252">
                  <c:v>-6.5390055759503851E-2</c:v>
                </c:pt>
                <c:pt idx="253">
                  <c:v>-7.2390418942593682E-2</c:v>
                </c:pt>
                <c:pt idx="254">
                  <c:v>-6.1757508150514617E-2</c:v>
                </c:pt>
                <c:pt idx="255">
                  <c:v>-5.6553669873103396E-2</c:v>
                </c:pt>
                <c:pt idx="256">
                  <c:v>-6.1167731605762721E-2</c:v>
                </c:pt>
                <c:pt idx="257">
                  <c:v>-6.7411852520505744E-2</c:v>
                </c:pt>
                <c:pt idx="258">
                  <c:v>-5.9659823704395709E-2</c:v>
                </c:pt>
                <c:pt idx="259">
                  <c:v>-6.1501511737536596E-2</c:v>
                </c:pt>
                <c:pt idx="260">
                  <c:v>-7.4317139973757773E-2</c:v>
                </c:pt>
                <c:pt idx="261">
                  <c:v>-8.6766816665079571E-2</c:v>
                </c:pt>
                <c:pt idx="262">
                  <c:v>-7.936170145938648E-2</c:v>
                </c:pt>
                <c:pt idx="263">
                  <c:v>-8.8649191026598184E-2</c:v>
                </c:pt>
                <c:pt idx="264">
                  <c:v>-9.876520738162653E-2</c:v>
                </c:pt>
                <c:pt idx="265">
                  <c:v>-0.11149220908838753</c:v>
                </c:pt>
              </c:numCache>
            </c:numRef>
          </c:val>
          <c:smooth val="0"/>
          <c:extLst>
            <c:ext xmlns:c16="http://schemas.microsoft.com/office/drawing/2014/chart" uri="{C3380CC4-5D6E-409C-BE32-E72D297353CC}">
              <c16:uniqueId val="{00000000-0127-4C93-AA5D-97F11ECC77C2}"/>
            </c:ext>
          </c:extLst>
        </c:ser>
        <c:dLbls>
          <c:showLegendKey val="0"/>
          <c:showVal val="0"/>
          <c:showCatName val="0"/>
          <c:showSerName val="0"/>
          <c:showPercent val="0"/>
          <c:showBubbleSize val="0"/>
        </c:dLbls>
        <c:smooth val="0"/>
        <c:axId val="318616640"/>
        <c:axId val="318617120"/>
      </c:lineChart>
      <c:catAx>
        <c:axId val="318616640"/>
        <c:scaling>
          <c:orientation val="minMax"/>
        </c:scaling>
        <c:delete val="1"/>
        <c:axPos val="b"/>
        <c:numFmt formatCode="General" sourceLinked="1"/>
        <c:majorTickMark val="none"/>
        <c:minorTickMark val="none"/>
        <c:tickLblPos val="nextTo"/>
        <c:crossAx val="318617120"/>
        <c:crosses val="autoZero"/>
        <c:auto val="1"/>
        <c:lblAlgn val="ctr"/>
        <c:lblOffset val="100"/>
        <c:noMultiLvlLbl val="0"/>
      </c:catAx>
      <c:valAx>
        <c:axId val="3186171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1861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13</xdr:row>
      <xdr:rowOff>3810</xdr:rowOff>
    </xdr:from>
    <xdr:to>
      <xdr:col>7</xdr:col>
      <xdr:colOff>114300</xdr:colOff>
      <xdr:row>26</xdr:row>
      <xdr:rowOff>68580</xdr:rowOff>
    </xdr:to>
    <xdr:graphicFrame macro="">
      <xdr:nvGraphicFramePr>
        <xdr:cNvPr id="2" name="Chart 12">
          <a:extLst>
            <a:ext uri="{FF2B5EF4-FFF2-40B4-BE49-F238E27FC236}">
              <a16:creationId xmlns:a16="http://schemas.microsoft.com/office/drawing/2014/main" id="{363629A2-5CC5-B461-430A-A7C694C4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0</xdr:row>
      <xdr:rowOff>38100</xdr:rowOff>
    </xdr:from>
    <xdr:to>
      <xdr:col>4</xdr:col>
      <xdr:colOff>327660</xdr:colOff>
      <xdr:row>12</xdr:row>
      <xdr:rowOff>106680</xdr:rowOff>
    </xdr:to>
    <xdr:graphicFrame macro="">
      <xdr:nvGraphicFramePr>
        <xdr:cNvPr id="3" name="Chart 11">
          <a:extLst>
            <a:ext uri="{FF2B5EF4-FFF2-40B4-BE49-F238E27FC236}">
              <a16:creationId xmlns:a16="http://schemas.microsoft.com/office/drawing/2014/main" id="{F9C244AE-2E50-8418-6A37-A9EE732F7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xdr:colOff>
      <xdr:row>0</xdr:row>
      <xdr:rowOff>34290</xdr:rowOff>
    </xdr:from>
    <xdr:to>
      <xdr:col>21</xdr:col>
      <xdr:colOff>99060</xdr:colOff>
      <xdr:row>19</xdr:row>
      <xdr:rowOff>53340</xdr:rowOff>
    </xdr:to>
    <xdr:graphicFrame macro="">
      <xdr:nvGraphicFramePr>
        <xdr:cNvPr id="4" name="Chart 1">
          <a:extLst>
            <a:ext uri="{FF2B5EF4-FFF2-40B4-BE49-F238E27FC236}">
              <a16:creationId xmlns:a16="http://schemas.microsoft.com/office/drawing/2014/main" id="{11C182B4-A8CB-2101-3562-0D4B7E642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xdr:colOff>
      <xdr:row>19</xdr:row>
      <xdr:rowOff>91440</xdr:rowOff>
    </xdr:from>
    <xdr:to>
      <xdr:col>21</xdr:col>
      <xdr:colOff>76200</xdr:colOff>
      <xdr:row>30</xdr:row>
      <xdr:rowOff>0</xdr:rowOff>
    </xdr:to>
    <xdr:graphicFrame macro="">
      <xdr:nvGraphicFramePr>
        <xdr:cNvPr id="5" name="Chart 2">
          <a:extLst>
            <a:ext uri="{FF2B5EF4-FFF2-40B4-BE49-F238E27FC236}">
              <a16:creationId xmlns:a16="http://schemas.microsoft.com/office/drawing/2014/main" id="{C8E28A6C-C676-350C-EA93-5E9B4CE63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396240</xdr:colOff>
      <xdr:row>0</xdr:row>
      <xdr:rowOff>45720</xdr:rowOff>
    </xdr:from>
    <xdr:to>
      <xdr:col>9</xdr:col>
      <xdr:colOff>632460</xdr:colOff>
      <xdr:row>12</xdr:row>
      <xdr:rowOff>91440</xdr:rowOff>
    </xdr:to>
    <xdr:graphicFrame macro="">
      <xdr:nvGraphicFramePr>
        <xdr:cNvPr id="8" name="Chart 1">
          <a:extLst>
            <a:ext uri="{FF2B5EF4-FFF2-40B4-BE49-F238E27FC236}">
              <a16:creationId xmlns:a16="http://schemas.microsoft.com/office/drawing/2014/main" id="{85DC63C3-5A5B-8769-EEC5-C64B7BD64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0">
  <a r="1" c="311">
    <v t="i">1</v>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93</v>
    <v t="i">96</v>
    <v t="i">97</v>
    <v t="i">98</v>
    <v t="i">99</v>
    <v t="i">100</v>
    <v t="i">103</v>
    <v t="i">104</v>
    <v t="i">105</v>
    <v t="i">106</v>
    <v t="i">111</v>
    <v t="i">112</v>
    <v t="i">113</v>
    <v t="i">114</v>
    <v t="i">117</v>
    <v t="i">118</v>
    <v t="i">119</v>
    <v t="i">121</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v t="i">299</v>
    <v t="i">300</v>
    <v t="i">301</v>
    <v t="i">302</v>
    <v t="i">303</v>
    <v t="i">306</v>
    <v t="i">307</v>
    <v t="i">308</v>
    <v t="i">309</v>
    <v t="i">310</v>
    <v t="i">313</v>
    <v t="i">314</v>
    <v t="i">315</v>
    <v t="i">316</v>
    <v t="i">317</v>
    <v t="i">320</v>
    <v t="i">321</v>
    <v t="i">322</v>
    <v t="i">323</v>
    <v t="i">324</v>
    <v t="i">327</v>
    <v t="i">328</v>
    <v t="i">329</v>
    <v t="i">330</v>
    <v t="i">331</v>
    <v t="i">334</v>
    <v t="i">335</v>
    <v t="i">336</v>
    <v t="i">337</v>
    <v t="i">338</v>
    <v t="i">341</v>
    <v t="i">342</v>
    <v t="i">343</v>
    <v t="i">344</v>
    <v t="i">345</v>
    <v t="i">348</v>
    <v t="i">349</v>
    <v t="i">350</v>
    <v t="i">351</v>
    <v t="i">352</v>
    <v t="i">355</v>
    <v t="i">356</v>
    <v t="i">362</v>
    <v t="i">363</v>
    <v t="i">366</v>
    <v t="i">369</v>
    <v t="i">370</v>
    <v t="i">371</v>
    <v t="i">372</v>
    <v t="i">373</v>
    <v t="i">376</v>
    <v t="i">377</v>
    <v t="i">378</v>
    <v t="i">379</v>
    <v t="i">380</v>
    <v t="i">383</v>
    <v t="i">384</v>
    <v t="i">385</v>
    <v t="i">386</v>
    <v t="i">387</v>
    <v t="i">390</v>
    <v t="i">391</v>
    <v t="i">392</v>
    <v t="i">393</v>
    <v t="i">394</v>
    <v t="i">397</v>
    <v t="i">398</v>
    <v t="i">399</v>
    <v t="i">400</v>
    <v t="i">401</v>
    <v t="i">404</v>
    <v t="i">405</v>
    <v t="i">406</v>
    <v t="i">407</v>
    <v t="i">408</v>
    <v t="i">411</v>
    <v t="i">412</v>
    <v t="i">413</v>
    <v t="i">414</v>
    <v t="i">415</v>
    <v t="i">418</v>
    <v t="i">419</v>
    <v t="i">420</v>
    <v t="i">421</v>
    <v t="i">422</v>
    <v t="i">425</v>
    <v t="i">426</v>
    <v t="i">427</v>
    <v t="i">428</v>
    <v t="i">429</v>
    <v t="i">432</v>
    <v t="i">433</v>
    <v t="i">434</v>
    <v t="i">435</v>
    <v t="i">436</v>
    <v t="i">439</v>
    <v t="i">440</v>
    <v t="i">441</v>
    <v t="i">442</v>
    <v t="i">443</v>
    <v t="i">446</v>
    <v t="i">447</v>
  </a>
  <a r="1" c="311">
    <v>235.25</v>
    <v>234.75</v>
    <v>233.15</v>
    <v>236.1</v>
    <v>235.05</v>
    <v>238.7</v>
    <v>234.6</v>
    <v>236.9</v>
    <v>240</v>
    <v>245.85</v>
    <v>245.45</v>
    <v>249.3</v>
    <v>253.75</v>
    <v>253.05</v>
    <v>252.65</v>
    <v>254.2</v>
    <v>251.95</v>
    <v>252.5</v>
    <v>254.15</v>
    <v>257.39999999999998</v>
    <v>258.75</v>
    <v>259.75</v>
    <v>258.89999999999998</v>
    <v>257.60000000000002</v>
    <v>258.5</v>
    <v>263.85000000000002</v>
    <v>268.25</v>
    <v>263.55</v>
    <v>264.89999999999998</v>
    <v>265</v>
    <v>263.14999999999998</v>
    <v>264.3</v>
    <v>266.60000000000002</v>
    <v>267.2</v>
    <v>268.5</v>
    <v>254.8</v>
    <v>253.15</v>
    <v>249.9</v>
    <v>244</v>
    <v>247</v>
    <v>251.8</v>
    <v>251.5</v>
    <v>250.15</v>
    <v>238.2</v>
    <v>233.6</v>
    <v>227.3</v>
    <v>223</v>
    <v>214.2</v>
    <v>210.35</v>
    <v>211.2</v>
    <v>206.7</v>
    <v>213.7</v>
    <v>214.4</v>
    <v>214.5</v>
    <v>219.5</v>
    <v>220.9</v>
    <v>223.55</v>
    <v>228.35</v>
    <v>231.25</v>
    <v>233.5</v>
    <v>230</v>
    <v>224.05</v>
    <v>224.45</v>
    <v>227.55</v>
    <v>226.15</v>
    <v>207.55</v>
    <v>193.58</v>
    <v>196.74</v>
    <v>201.35</v>
    <v>215.05</v>
    <v>202.4</v>
    <v>209.25</v>
    <v>207.35</v>
    <v>207.65</v>
    <v>200</v>
    <v>205.6</v>
    <v>203.8</v>
    <v>212.95</v>
    <v>213.35</v>
    <v>213.45</v>
    <v>213.55</v>
    <v>215.05</v>
    <v>213.75</v>
    <v>222.05</v>
    <v>224.85</v>
    <v>221.95</v>
    <v>221.9</v>
    <v>228</v>
    <v>226.55</v>
    <v>234.5</v>
    <v>234.95</v>
    <v>234.3</v>
    <v>238.2</v>
    <v>240.2</v>
    <v>238.15</v>
    <v>235.75</v>
    <v>230</v>
    <v>231.9</v>
    <v>230.15</v>
    <v>229.8</v>
    <v>232</v>
    <v>233.95</v>
    <v>231.65</v>
    <v>233.25</v>
    <v>231.15</v>
    <v>231.65</v>
    <v>231.95</v>
    <v>229.55</v>
    <v>233.25</v>
    <v>232.55</v>
    <v>234.85</v>
    <v>234.8</v>
    <v>231.2</v>
    <v>228.25</v>
    <v>233.85</v>
    <v>233.85</v>
    <v>238.7</v>
    <v>236.15</v>
    <v>239.2</v>
    <v>237.9</v>
    <v>242.3</v>
    <v>243.3</v>
    <v>246.85</v>
    <v>244.75</v>
    <v>247.35</v>
    <v>246.15</v>
    <v>247.25</v>
    <v>251.4</v>
    <v>250</v>
    <v>248</v>
    <v>243.2</v>
    <v>242.75</v>
    <v>246.45</v>
    <v>244.4</v>
    <v>247.4</v>
    <v>247.1</v>
    <v>245.35</v>
    <v>249.9</v>
    <v>249.4</v>
    <v>250.5</v>
    <v>248.25</v>
    <v>251.55</v>
    <v>253</v>
    <v>253.75</v>
    <v>257.14999999999998</v>
    <v>257.3</v>
    <v>260.5</v>
    <v>259.25</v>
    <v>251.7</v>
    <v>253.05</v>
    <v>250</v>
    <v>251.8</v>
    <v>248.8</v>
    <v>247.95</v>
    <v>249.6</v>
    <v>250.9</v>
    <v>248.95</v>
    <v>250.5</v>
    <v>249.1</v>
    <v>249.5</v>
    <v>250.35</v>
    <v>248.65</v>
    <v>251.5</v>
    <v>251.45</v>
    <v>252.9</v>
    <v>254.2</v>
    <v>257.64999999999998</v>
    <v>257.5</v>
    <v>258.75</v>
    <v>257.3</v>
    <v>254.7</v>
    <v>254.95</v>
    <v>260.14999999999998</v>
    <v>251</v>
    <v>249.1</v>
    <v>253.9</v>
    <v>255.3</v>
    <v>259.25</v>
    <v>261.35000000000002</v>
    <v>262.35000000000002</v>
    <v>261.2</v>
    <v>263.7</v>
    <v>264.25</v>
    <v>264.85000000000002</v>
    <v>265.3</v>
    <v>264.3</v>
    <v>269.25</v>
    <v>268.75</v>
    <v>268.75</v>
    <v>267.75</v>
    <v>269.14999999999998</v>
    <v>264.8</v>
    <v>263.5</v>
    <v>263.8</v>
    <v>264.10000000000002</v>
    <v>263.89999999999998</v>
    <v>262.35000000000002</v>
    <v>263.60000000000002</v>
    <v>259.45</v>
    <v>266.95</v>
    <v>261.39999999999998</v>
    <v>265.55</v>
    <v>259.35000000000002</v>
    <v>255.35</v>
    <v>258.39999999999998</v>
    <v>257.3</v>
    <v>251.4</v>
    <v>254.45</v>
    <v>257.95</v>
    <v>260.25</v>
    <v>262.25</v>
    <v>263.85000000000002</v>
    <v>267.60000000000002</v>
    <v>268.85000000000002</v>
    <v>269.3</v>
    <v>269.35000000000002</v>
    <v>269.14999999999998</v>
    <v>272.45</v>
    <v>267</v>
    <v>273.95</v>
    <v>272.45</v>
    <v>277.10000000000002</v>
    <v>268.95</v>
    <v>263</v>
    <v>261.25</v>
    <v>259.55</v>
    <v>262</v>
    <v>260</v>
    <v>255.1</v>
    <v>259.45</v>
    <v>261.5</v>
    <v>265.2</v>
    <v>266.55</v>
    <v>270</v>
    <v>268</v>
    <v>266.3</v>
    <v>265.8</v>
    <v>271.55</v>
    <v>271.25</v>
    <v>269.89999999999998</v>
    <v>258.8</v>
    <v>262.7</v>
    <v>266.89999999999998</v>
    <v>271.25</v>
    <v>272.95</v>
    <v>268.10000000000002</v>
    <v>269.75</v>
    <v>267.35000000000002</v>
    <v>270</v>
    <v>272.64999999999998</v>
    <v>274.45</v>
    <v>276.25</v>
    <v>275.55</v>
    <v>275.14999999999998</v>
    <v>287.45</v>
    <v>285.95</v>
    <v>280.39999999999998</v>
    <v>284.05</v>
    <v>283.39999999999998</v>
    <v>276.45</v>
    <v>267.14999999999998</v>
    <v>263.89999999999998</v>
    <v>267.60000000000002</v>
    <v>272</v>
    <v>265.3</v>
    <v>258.35000000000002</v>
    <v>258.55</v>
    <v>258.05</v>
    <v>252</v>
    <v>252.75</v>
    <v>249.5</v>
    <v>252.05</v>
    <v>254.65</v>
    <v>257.35000000000002</v>
    <v>262</v>
    <v>264.8</v>
    <v>269.25</v>
    <v>261.95</v>
    <v>273.45</v>
    <v>270.25</v>
    <v>269.89999999999998</v>
    <v>260.35000000000002</v>
    <v>254.85</v>
    <v>255.15</v>
    <v>254.85</v>
    <v>259.5</v>
    <v>262.64999999999998</v>
    <v>261.7</v>
    <v>262</v>
    <v>251.35</v>
    <v>252.7</v>
    <v>256.25</v>
    <v>260</v>
    <v>250.95</v>
    <v>255.4</v>
    <v>258</v>
    <v>256.60000000000002</v>
    <v>254.05</v>
    <v>248.65</v>
    <v>245.9</v>
    <v>249.5</v>
    <v>248.5</v>
    <v>244.55</v>
    <v>248.45</v>
    <v>248.95</v>
    <v>249</v>
    <v>250.15</v>
    <v>248.1</v>
    <v>249.35</v>
    <v>251.05</v>
    <v>252.7</v>
  </a>
  <a r="1" c="311">
    <v>135</v>
    <v>140.08000000000001</v>
    <v>143.52000000000001</v>
    <v>135.78</v>
    <v>135.76</v>
    <v>135.13999999999999</v>
    <v>132.5</v>
    <v>130.34</v>
    <v>127.22</v>
    <v>132.08000000000001</v>
    <v>130</v>
    <v>134.16</v>
    <v>134.16</v>
    <v>135.26</v>
    <v>141.22</v>
    <v>141.22</v>
    <v>136.1</v>
    <v>112.82</v>
    <v>123.22</v>
    <v>118.62</v>
    <v>119.34</v>
    <v>115.84</v>
    <v>113.16</v>
    <v>113.84</v>
    <v>120</v>
    <v>123.88</v>
    <v>125.66</v>
    <v>129.66</v>
    <v>128.16</v>
    <v>126.3</v>
    <v>128.86000000000001</v>
    <v>132.30000000000001</v>
    <v>133.28</v>
    <v>132.91999999999999</v>
    <v>134.02000000000001</v>
    <v>133.26</v>
    <v>128.54</v>
    <v>125.06</v>
    <v>120.58</v>
    <v>125.34</v>
    <v>115.5</v>
    <v>120.2</v>
    <v>108.88</v>
    <v>109.28</v>
    <v>108.88</v>
    <v>102.78</v>
    <v>103.98</v>
    <v>98.67</v>
    <v>99.51</v>
    <v>106.26</v>
    <v>106.82</v>
    <v>111.48</v>
    <v>109.38</v>
    <v>105.28</v>
    <v>107.86</v>
    <v>109.46</v>
    <v>108.8</v>
    <v>112.4</v>
    <v>111.64</v>
    <v>105.58</v>
    <v>103.46</v>
    <v>100.74</v>
    <v>100.44</v>
    <v>101.98</v>
    <v>101.5</v>
    <v>92.23</v>
    <v>86.32</v>
    <v>89.4</v>
    <v>87.61</v>
    <v>103.96</v>
    <v>96</v>
    <v>97.38</v>
    <v>97.49</v>
    <v>99.49</v>
    <v>91.51</v>
    <v>88.92</v>
    <v>86.25</v>
    <v>90.72</v>
    <v>93.49</v>
    <v>97.51</v>
    <v>94.75</v>
    <v>95.78</v>
    <v>96</v>
    <v>101.14</v>
    <v>100.9</v>
    <v>99.8</v>
    <v>103.66</v>
    <v>105</v>
    <v>103.68</v>
    <v>110.72</v>
    <v>116.14</v>
    <v>120.76</v>
    <v>120.22</v>
    <v>121.08</v>
    <v>120.5</v>
    <v>119</v>
    <v>116.4</v>
    <v>118.08</v>
    <v>115.66</v>
    <v>117.98</v>
    <v>119.2</v>
    <v>119.68</v>
    <v>122</v>
    <v>119</v>
    <v>120.18</v>
    <v>124.22</v>
    <v>124.22</v>
    <v>122.3</v>
    <v>124.44</v>
    <v>124.86</v>
    <v>126</v>
    <v>124.3</v>
    <v>125.04</v>
    <v>122.72</v>
    <v>124.9</v>
    <v>125.48</v>
    <v>126.64</v>
    <v>124.66</v>
    <v>124.68</v>
    <v>124.82</v>
    <v>127.22</v>
    <v>132.30000000000001</v>
    <v>132.72</v>
    <v>134.41999999999999</v>
    <v>134.24</v>
    <v>130.28</v>
    <v>133.12</v>
    <v>135.52000000000001</v>
    <v>134.1</v>
    <v>134.97999999999999</v>
    <v>136.46</v>
    <v>138.74</v>
    <v>140.26</v>
    <v>141.26</v>
    <v>140.91999999999999</v>
    <v>147.18</v>
    <v>147.26</v>
    <v>149.24</v>
    <v>148.12</v>
    <v>146.5</v>
    <v>142.30000000000001</v>
    <v>145.18</v>
    <v>147.34</v>
    <v>147.69999999999999</v>
    <v>152.36000000000001</v>
    <v>152.08000000000001</v>
    <v>156.6</v>
    <v>155.54</v>
    <v>150.24</v>
    <v>155.34</v>
    <v>154.18</v>
    <v>153.88</v>
    <v>154.30000000000001</v>
    <v>156.97999999999999</v>
    <v>157.13999999999999</v>
    <v>156.78</v>
    <v>155.19999999999999</v>
    <v>156.28</v>
    <v>153.94</v>
    <v>156.06</v>
    <v>151.1</v>
    <v>150.54</v>
    <v>150.68</v>
    <v>151.76</v>
    <v>154.9</v>
    <v>156.28</v>
    <v>156.22</v>
    <v>154.38</v>
    <v>148.52000000000001</v>
    <v>148.24</v>
    <v>146.9</v>
    <v>145.46</v>
    <v>147.12</v>
    <v>142.30000000000001</v>
    <v>144.24</v>
    <v>145.24</v>
    <v>151.68</v>
    <v>151.1</v>
    <v>151.28</v>
    <v>150.46</v>
    <v>147.26</v>
    <v>144.04</v>
    <v>149.80000000000001</v>
    <v>150.1</v>
    <v>155.6</v>
    <v>151.08000000000001</v>
    <v>150.66</v>
    <v>152.38</v>
    <v>151.69999999999999</v>
    <v>155</v>
    <v>158.80000000000001</v>
    <v>159.68</v>
    <v>161.44</v>
    <v>158</v>
    <v>158.63999999999999</v>
    <v>159.24</v>
    <v>162.06</v>
    <v>166.38</v>
    <v>157.84</v>
    <v>162.32</v>
    <v>155.16</v>
    <v>154.44</v>
    <v>155.4</v>
    <v>157.04</v>
    <v>157.16</v>
    <v>156.19999999999999</v>
    <v>155.02000000000001</v>
    <v>157.5</v>
    <v>160.12</v>
    <v>164.48</v>
    <v>175.58</v>
    <v>179.3</v>
    <v>175.76</v>
    <v>175.56</v>
    <v>179.58</v>
    <v>172.92</v>
    <v>169.8</v>
    <v>162.6</v>
    <v>162.02000000000001</v>
    <v>172.22</v>
    <v>167.54</v>
    <v>166.74</v>
    <v>160.28</v>
    <v>163.26</v>
    <v>161</v>
    <v>157.02000000000001</v>
    <v>161.9</v>
    <v>156.74</v>
    <v>155.16</v>
    <v>158.22</v>
    <v>153.47999999999999</v>
    <v>155.4</v>
    <v>154.69999999999999</v>
    <v>152.4</v>
    <v>154.80000000000001</v>
    <v>156.08000000000001</v>
    <v>154</v>
    <v>157.36000000000001</v>
    <v>156.32</v>
    <v>159</v>
    <v>158.62</v>
    <v>157.13999999999999</v>
    <v>153.84</v>
    <v>149</v>
    <v>150.22</v>
    <v>151.54</v>
    <v>145.9</v>
    <v>148.91999999999999</v>
    <v>153.76</v>
    <v>155.94</v>
    <v>160.30000000000001</v>
    <v>159.9</v>
    <v>160.36000000000001</v>
    <v>161.18</v>
    <v>160.08000000000001</v>
    <v>160.24</v>
    <v>161.78</v>
    <v>158.80000000000001</v>
    <v>159.32</v>
    <v>158.58000000000001</v>
    <v>159.4</v>
    <v>156.88</v>
    <v>160.58000000000001</v>
    <v>160.6</v>
    <v>156.19999999999999</v>
    <v>152</v>
    <v>157.36000000000001</v>
    <v>156.76</v>
    <v>158.56</v>
    <v>156.72</v>
    <v>156.82</v>
    <v>160.38</v>
    <v>161</v>
    <v>160.88</v>
    <v>157.78</v>
    <v>151.96</v>
    <v>147.69999999999999</v>
    <v>145.30000000000001</v>
    <v>158</v>
    <v>159.47999999999999</v>
    <v>158.80000000000001</v>
    <v>160.97999999999999</v>
    <v>157.5</v>
    <v>153.91999999999999</v>
    <v>154.32</v>
    <v>156.1</v>
    <v>159.68</v>
    <v>159.63999999999999</v>
    <v>161.04</v>
    <v>162.02000000000001</v>
    <v>163.9</v>
    <v>165.58</v>
    <v>156.66</v>
    <v>149.52000000000001</v>
    <v>156.02000000000001</v>
    <v>155.13999999999999</v>
    <v>157.26</v>
    <v>155.82</v>
    <v>153</v>
    <v>156.63999999999999</v>
    <v>159.38</v>
    <v>160.47999999999999</v>
    <v>158.94</v>
    <v>157.9</v>
    <v>158.74</v>
    <v>157.76</v>
    <v>157.34</v>
    <v>154.46</v>
    <v>150.5</v>
    <v>151.19999999999999</v>
    <v>152.54</v>
  </a>
  <a r="1" c="311">
    <v>49.045000000000002</v>
    <v>49.034999999999997</v>
    <v>50.02</v>
    <v>50.23</v>
    <v>50.17</v>
    <v>50.44</v>
    <v>50.3</v>
    <v>49.98</v>
    <v>50.08</v>
    <v>50.64</v>
    <v>51.34</v>
    <v>51.69</v>
    <v>51.81</v>
    <v>52.05</v>
    <v>52.28</v>
    <v>52.57</v>
    <v>52.42</v>
    <v>52.22</v>
    <v>52.3</v>
    <v>52.65</v>
    <v>53.31</v>
    <v>53.02</v>
    <v>52.38</v>
    <v>52.92</v>
    <v>53.12</v>
    <v>53.82</v>
    <v>53.61</v>
    <v>53.98</v>
    <v>54.41</v>
    <v>54.71</v>
    <v>55.1</v>
    <v>55.32</v>
    <v>55.62</v>
    <v>55.8</v>
    <v>55</v>
    <v>55.01</v>
    <v>54.87</v>
    <v>54.93</v>
    <v>55.07</v>
    <v>55.26</v>
    <v>54.77</v>
    <v>54.58</v>
    <v>55.6</v>
    <v>55.3</v>
    <v>55.83</v>
    <v>55.16</v>
    <v>55.39</v>
    <v>53.98</v>
    <v>53.86</v>
    <v>53.98</v>
    <v>53.6</v>
    <v>54.61</v>
    <v>54.94</v>
    <v>55.06</v>
    <v>55.47</v>
    <v>54.59</v>
    <v>54.44</v>
    <v>54.34</v>
    <v>55.03</v>
    <v>54.19</v>
    <v>54.13</v>
    <v>53.68</v>
    <v>52.94</v>
    <v>53.45</v>
    <v>53.38</v>
    <v>51.57</v>
    <v>48.844999999999999</v>
    <v>47.534999999999997</v>
    <v>47.06</v>
    <v>50.9</v>
    <v>48.174999999999997</v>
    <v>48.734999999999999</v>
    <v>49.164999999999999</v>
    <v>49.98</v>
    <v>49.575000000000003</v>
    <v>50.13</v>
    <v>50.44</v>
    <v>51.39</v>
    <v>51.81</v>
    <v>52.39</v>
    <v>52.14</v>
    <v>52.31</v>
    <v>52.3</v>
    <v>53.57</v>
    <v>53.71</v>
    <v>53.33</v>
    <v>53.21</v>
    <v>53.95</v>
    <v>54.01</v>
    <v>55.05</v>
    <v>55.23</v>
    <v>55.01</v>
    <v>55.27</v>
    <v>55.55</v>
    <v>55.76</v>
    <v>55.92</v>
    <v>55.42</v>
    <v>55.62</v>
    <v>54.57</v>
    <v>55.28</v>
    <v>55.51</v>
    <v>55.21</v>
    <v>54.97</v>
    <v>54.76</v>
    <v>54.95</v>
    <v>55.13</v>
    <v>55.35</v>
    <v>55.32</v>
    <v>55.52</v>
    <v>55.55</v>
    <v>55.52</v>
    <v>55.25</v>
    <v>54.99</v>
    <v>54.2</v>
    <v>54.15</v>
    <v>53.65</v>
    <v>53.61</v>
    <v>52.87</v>
    <v>53.08</v>
    <v>53.21</v>
    <v>54.02</v>
    <v>53.44</v>
    <v>53.47</v>
    <v>54.31</v>
    <v>54.01</v>
    <v>53.86</v>
    <v>54.14</v>
    <v>54.34</v>
    <v>53.73</v>
    <v>54.41</v>
    <v>54.81</v>
    <v>55.55</v>
    <v>55.35</v>
    <v>54.79</v>
    <v>54.8</v>
    <v>54.53</v>
    <v>54.34</v>
    <v>54.69</v>
    <v>54.42</v>
    <v>54.28</v>
    <v>53.89</v>
    <v>55.08</v>
    <v>54.57</v>
    <v>54.66</v>
    <v>54.33</v>
    <v>54.88</v>
    <v>55.01</v>
    <v>54.11</v>
    <v>52.66</v>
    <v>53.47</v>
    <v>53.62</v>
    <v>53.73</v>
    <v>54.32</v>
    <v>54.56</v>
    <v>54.33</v>
    <v>54.48</v>
    <v>54.96</v>
    <v>55.5</v>
    <v>55.62</v>
    <v>55.43</v>
    <v>55.72</v>
    <v>55.74</v>
    <v>55.62</v>
    <v>55.92</v>
    <v>55.45</v>
    <v>54.88</v>
    <v>54.95</v>
    <v>55.02</v>
    <v>54.59</v>
    <v>54.72</v>
    <v>54.19</v>
    <v>54.34</v>
    <v>54.62</v>
    <v>54.23</v>
    <v>54.67</v>
    <v>54.81</v>
    <v>54.64</v>
    <v>55</v>
    <v>55.04</v>
    <v>54.65</v>
    <v>54.12</v>
    <v>54.07</v>
    <v>54.87</v>
    <v>54.91</v>
    <v>54.81</v>
    <v>54.98</v>
    <v>54.95</v>
    <v>54.83</v>
    <v>55.31</v>
    <v>55.45</v>
    <v>55.63</v>
    <v>56.46</v>
    <v>56.92</v>
    <v>56.9</v>
    <v>56.77</v>
    <v>56.46</v>
    <v>56.85</v>
    <v>56.55</v>
    <v>55.67</v>
    <v>56.05</v>
    <v>56.42</v>
    <v>56.11</v>
    <v>56.83</v>
    <v>56.8</v>
    <v>57.3</v>
    <v>57.16</v>
    <v>56.57</v>
    <v>57.09</v>
    <v>57.09</v>
    <v>57.44</v>
    <v>57.43</v>
    <v>57.53</v>
    <v>57.46</v>
    <v>57.01</v>
    <v>57.29</v>
    <v>56.86</v>
    <v>57.26</v>
    <v>56.66</v>
    <v>56.36</v>
    <v>57.3</v>
    <v>57.87</v>
    <v>58.42</v>
    <v>57.62</v>
    <v>57.32</v>
    <v>56.48</v>
    <v>55.98</v>
    <v>56.07</v>
    <v>55.7</v>
    <v>55.73</v>
    <v>55.88</v>
    <v>56.42</v>
    <v>57.11</v>
    <v>57.04</v>
    <v>57.32</v>
    <v>57.41</v>
    <v>57.52</v>
    <v>57.59</v>
    <v>57.78</v>
    <v>57.89</v>
    <v>57.78</v>
    <v>57.66</v>
    <v>57.78</v>
    <v>58.31</v>
    <v>57.95</v>
    <v>57.83</v>
    <v>57.61</v>
    <v>57.27</v>
    <v>57.8</v>
    <v>58.11</v>
    <v>57.83</v>
    <v>57.93</v>
    <v>58.02</v>
    <v>58.4</v>
    <v>58.71</v>
    <v>59.6</v>
    <v>59.91</v>
    <v>59.66</v>
    <v>59.6</v>
    <v>60.5</v>
    <v>60.72</v>
    <v>60.79</v>
    <v>60.48</v>
    <v>60.76</v>
    <v>60.78</v>
    <v>59.71</v>
    <v>59.26</v>
    <v>59.1</v>
    <v>60.06</v>
    <v>59.97</v>
    <v>60.2</v>
    <v>60.41</v>
    <v>59.89</v>
    <v>59.82</v>
    <v>59.74</v>
    <v>60.64</v>
    <v>60.11</v>
    <v>60.03</v>
    <v>59.81</v>
    <v>60.59</v>
    <v>61.08</v>
    <v>61.05</v>
    <v>61.11</v>
    <v>60.64</v>
    <v>60.49</v>
    <v>60.47</v>
    <v>60.85</v>
    <v>61.43</v>
    <v>61.03</v>
    <v>61.82</v>
    <v>61.84</v>
    <v>61.9</v>
    <v>62.4</v>
    <v>62.25</v>
    <v>61.69</v>
    <v>60.65</v>
    <v>59.08</v>
    <v>59.58</v>
    <v>58.08</v>
    <v>58.04</v>
    <v>58.15</v>
    <v>58.53</v>
    <v>58.62</v>
    <v>58.04</v>
    <v>57.51</v>
    <v>57.9</v>
    <v>58.09</v>
    <v>57.71</v>
    <v>56.53</v>
    <v>54.99</v>
    <v>56.63</v>
    <v>56.21</v>
  </a>
  <a r="1" c="311">
    <v>107.84</v>
    <v>109.32</v>
    <v>109.035</v>
    <v>108.27</v>
    <v>108.64</v>
    <v>108.69</v>
    <v>108.52</v>
    <v>107.91</v>
    <v>107.495</v>
    <v>109.515</v>
    <v>109.345</v>
    <v>110.76</v>
    <v>109.76</v>
    <v>109.87</v>
    <v>110.955</v>
    <v>110.96</v>
    <v>110.205</v>
    <v>108.395</v>
    <v>110.125</v>
    <v>109.86</v>
    <v>110.205</v>
    <v>111.27500000000001</v>
    <v>110.54</v>
    <v>110.08</v>
    <v>110.01</v>
    <v>110.91</v>
    <v>110.83499999999999</v>
    <v>111.51</v>
    <v>111.175</v>
    <v>110.4</v>
    <v>110.88</v>
    <v>110.44499999999999</v>
    <v>110.91500000000001</v>
    <v>111.12</v>
    <v>111.87</v>
    <v>110.21</v>
    <v>109.52</v>
    <v>109.105</v>
    <v>107.75</v>
    <v>107.565</v>
    <v>107.29</v>
    <v>107.12</v>
    <v>106.69</v>
    <v>103.48</v>
    <v>102.16500000000001</v>
    <v>100.63</v>
    <v>100.97499999999999</v>
    <v>97.831999999999994</v>
    <v>96.96</v>
    <v>97.501999999999995</v>
    <v>96.93</v>
    <v>98.245999999999995</v>
    <v>99.08</v>
    <v>97.462000000000003</v>
    <v>98.94</v>
    <v>98.66</v>
    <v>98.778000000000006</v>
    <v>100.795</v>
    <v>101.08499999999999</v>
    <v>100.62</v>
    <v>100.11</v>
    <v>97.762</v>
    <v>97.26</v>
    <v>98.623999999999995</v>
    <v>99.14</v>
    <v>93.77</v>
    <v>88.96</v>
    <v>87.19</v>
    <v>85.774000000000001</v>
    <v>94.537999999999997</v>
    <v>88.632000000000005</v>
    <v>89.754000000000005</v>
    <v>90.022000000000006</v>
    <v>90.64</v>
    <v>87.4</v>
    <v>87.981999999999999</v>
    <v>87.367999999999995</v>
    <v>90.244</v>
    <v>91.123999999999995</v>
    <v>92.01</v>
    <v>90.914000000000001</v>
    <v>92.197999999999993</v>
    <v>92.061999999999998</v>
    <v>95.445999999999998</v>
    <v>95.126000000000005</v>
    <v>93.58</v>
    <v>93.873999999999995</v>
    <v>96.366</v>
    <v>95.164000000000001</v>
    <v>99.787999999999997</v>
    <v>100.13</v>
    <v>99.738</v>
    <v>100.4</v>
    <v>101.22</v>
    <v>100.53</v>
    <v>99.748000000000005</v>
    <v>98.456000000000003</v>
    <v>98.676000000000002</v>
    <v>97.156000000000006</v>
    <v>97.956000000000003</v>
    <v>98.983999999999995</v>
    <v>99.296000000000006</v>
    <v>98.56</v>
    <v>98.034000000000006</v>
    <v>98.191999999999993</v>
    <v>99.674000000000007</v>
    <v>99.31</v>
    <v>99.111999999999995</v>
    <v>99.834000000000003</v>
    <v>99.957999999999998</v>
    <v>100.155</v>
    <v>99.572000000000003</v>
    <v>99.087999999999994</v>
    <v>98.718000000000004</v>
    <v>99.034000000000006</v>
    <v>99.05</v>
    <v>98.974000000000004</v>
    <v>97.915999999999997</v>
    <v>97.706000000000003</v>
    <v>98.197999999999993</v>
    <v>99.153999999999996</v>
    <v>99.17</v>
    <v>99.084000000000003</v>
    <v>99.861999999999995</v>
    <v>99.552000000000007</v>
    <v>99.762</v>
    <v>99.867999999999995</v>
    <v>101.07</v>
    <v>100.325</v>
    <v>100.755</v>
    <v>100.72</v>
    <v>101.065</v>
    <v>101.87</v>
    <v>101.56</v>
    <v>101.83499999999999</v>
    <v>102.27</v>
    <v>101.675</v>
    <v>102.87</v>
    <v>102.52500000000001</v>
    <v>102.69499999999999</v>
    <v>101.69</v>
    <v>102.13</v>
    <v>102.655</v>
    <v>103.22</v>
    <v>104.345</v>
    <v>104.67</v>
    <v>105.38</v>
    <v>105.545</v>
    <v>102.15</v>
    <v>103.54</v>
    <v>103.30500000000001</v>
    <v>103.2</v>
    <v>103.03</v>
    <v>103.78</v>
    <v>104.38</v>
    <v>104.63500000000001</v>
    <v>104.62</v>
    <v>105.41</v>
    <v>104.66500000000001</v>
    <v>104.82</v>
    <v>104.34</v>
    <v>103.74</v>
    <v>103.815</v>
    <v>104.655</v>
    <v>105.375</v>
    <v>105.13500000000001</v>
    <v>105.63500000000001</v>
    <v>105.39</v>
    <v>104.765</v>
    <v>104.91500000000001</v>
    <v>104.05500000000001</v>
    <v>104.54</v>
    <v>105.66500000000001</v>
    <v>104.62</v>
    <v>104.98</v>
    <v>105.36499999999999</v>
    <v>105.935</v>
    <v>106.47499999999999</v>
    <v>106.565</v>
    <v>106.58</v>
    <v>105.68</v>
    <v>105.82</v>
    <v>106.675</v>
    <v>107.23</v>
    <v>107.515</v>
    <v>106.93</v>
    <v>107.15</v>
    <v>107.4</v>
    <v>107.515</v>
    <v>107.435</v>
    <v>107.07</v>
    <v>108.325</v>
    <v>108.5</v>
    <v>108.6</v>
    <v>109.1</v>
    <v>108.9</v>
    <v>110.06</v>
    <v>110.08499999999999</v>
    <v>106.91</v>
    <v>108.9</v>
    <v>108.86</v>
    <v>107.98</v>
    <v>107.89</v>
    <v>107.785</v>
    <v>109.675</v>
    <v>110.155</v>
    <v>108.78</v>
    <v>110.1</v>
    <v>110.83</v>
    <v>111.765</v>
    <v>112.18</v>
    <v>112.405</v>
    <v>112.185</v>
    <v>112.53</v>
    <v>112.875</v>
    <v>111.785</v>
    <v>112.605</v>
    <v>110.51</v>
    <v>110.14</v>
    <v>111.83</v>
    <v>112.01</v>
    <v>112.11499999999999</v>
    <v>109.72</v>
    <v>110.14</v>
    <v>108.765</v>
    <v>108.625</v>
    <v>109.48</v>
    <v>108.44499999999999</v>
    <v>108.87</v>
    <v>110.22499999999999</v>
    <v>110.63</v>
    <v>111.56</v>
    <v>111.49</v>
    <v>111.905</v>
    <v>111.71</v>
    <v>111.62</v>
    <v>111.32</v>
    <v>111.52500000000001</v>
    <v>112.13</v>
    <v>111.52500000000001</v>
    <v>111.85</v>
    <v>111.9</v>
    <v>111.53</v>
    <v>110.405</v>
    <v>110.035</v>
    <v>109.535</v>
    <v>108.97</v>
    <v>109.94499999999999</v>
    <v>110.4</v>
    <v>110.80500000000001</v>
    <v>111.07</v>
    <v>111.2</v>
    <v>111.22</v>
    <v>110.895</v>
    <v>111.57</v>
    <v>112.375</v>
    <v>112.62</v>
    <v>112.68</v>
    <v>113.43</v>
    <v>113.45</v>
    <v>113.21</v>
    <v>112.515</v>
    <v>113.785</v>
    <v>113.66500000000001</v>
    <v>111.91500000000001</v>
    <v>110.13</v>
    <v>112.035</v>
    <v>111.85</v>
    <v>111.12</v>
    <v>110.99</v>
    <v>110.55</v>
    <v>111.01</v>
    <v>109.85</v>
    <v>110.41</v>
    <v>112.28</v>
    <v>110.515</v>
    <v>110.375</v>
    <v>109.435</v>
    <v>110.86499999999999</v>
    <v>110.895</v>
    <v>110.88</v>
    <v>110.745</v>
    <v>109.6</v>
    <v>109.69</v>
    <v>109.45</v>
    <v>109.51</v>
    <v>110.54</v>
    <v>110.205</v>
    <v>111.065</v>
    <v>109.81</v>
    <v>110.82</v>
    <v>111.57</v>
    <v>110.925</v>
    <v>110.04</v>
    <v>111.64</v>
    <v>111.565</v>
    <v>112.28</v>
    <v>111.105</v>
    <v>110.505</v>
    <v>110.93</v>
    <v>111.175</v>
    <v>110.94</v>
    <v>110.27500000000001</v>
    <v>110.235</v>
    <v>110.55500000000001</v>
    <v>110.545</v>
    <v>110</v>
    <v>107.85</v>
    <v>106.67</v>
    <v>107.67</v>
    <v>107.535</v>
  </a>
  <a r="1" c="313">
    <v t="i">1</v>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93</v>
    <v t="i">96</v>
    <v t="i">97</v>
    <v t="i">98</v>
    <v t="i">99</v>
    <v t="i">100</v>
    <v t="i">103</v>
    <v t="i">104</v>
    <v t="i">105</v>
    <v t="i">106</v>
    <v t="i">111</v>
    <v t="i">112</v>
    <v t="i">113</v>
    <v t="i">114</v>
    <v t="i">117</v>
    <v t="i">118</v>
    <v t="i">119</v>
    <v t="i">121</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v t="i">299</v>
    <v t="i">300</v>
    <v t="i">301</v>
    <v t="i">302</v>
    <v t="i">303</v>
    <v t="i">306</v>
    <v t="i">307</v>
    <v t="i">308</v>
    <v t="i">309</v>
    <v t="i">310</v>
    <v t="i">313</v>
    <v t="i">314</v>
    <v t="i">315</v>
    <v t="i">316</v>
    <v t="i">317</v>
    <v t="i">320</v>
    <v t="i">321</v>
    <v t="i">322</v>
    <v t="i">323</v>
    <v t="i">324</v>
    <v t="i">327</v>
    <v t="i">328</v>
    <v t="i">329</v>
    <v t="i">330</v>
    <v t="i">331</v>
    <v t="i">334</v>
    <v t="i">335</v>
    <v t="i">336</v>
    <v t="i">337</v>
    <v t="i">338</v>
    <v t="i">341</v>
    <v t="i">342</v>
    <v t="i">343</v>
    <v t="i">344</v>
    <v t="i">345</v>
    <v t="i">348</v>
    <v t="i">349</v>
    <v t="i">350</v>
    <v t="i">351</v>
    <v t="i">352</v>
    <v t="i">355</v>
    <v t="i">356</v>
    <v t="i">357</v>
    <v t="i">362</v>
    <v t="i">363</v>
    <v t="i">364</v>
    <v t="i">366</v>
    <v t="i">369</v>
    <v t="i">370</v>
    <v t="i">371</v>
    <v t="i">372</v>
    <v t="i">373</v>
    <v t="i">376</v>
    <v t="i">377</v>
    <v t="i">378</v>
    <v t="i">379</v>
    <v t="i">380</v>
    <v t="i">383</v>
    <v t="i">384</v>
    <v t="i">385</v>
    <v t="i">386</v>
    <v t="i">387</v>
    <v t="i">390</v>
    <v t="i">391</v>
    <v t="i">392</v>
    <v t="i">393</v>
    <v t="i">394</v>
    <v t="i">397</v>
    <v t="i">398</v>
    <v t="i">399</v>
    <v t="i">400</v>
    <v t="i">401</v>
    <v t="i">404</v>
    <v t="i">405</v>
    <v t="i">406</v>
    <v t="i">407</v>
    <v t="i">408</v>
    <v t="i">411</v>
    <v t="i">412</v>
    <v t="i">413</v>
    <v t="i">414</v>
    <v t="i">415</v>
    <v t="i">418</v>
    <v t="i">419</v>
    <v t="i">420</v>
    <v t="i">421</v>
    <v t="i">422</v>
    <v t="i">425</v>
    <v t="i">426</v>
    <v t="i">427</v>
    <v t="i">428</v>
    <v t="i">429</v>
    <v t="i">432</v>
    <v t="i">433</v>
    <v t="i">434</v>
    <v t="i">435</v>
    <v t="i">436</v>
    <v t="i">439</v>
    <v t="i">440</v>
    <v t="i">441</v>
    <v t="i">442</v>
    <v t="i">443</v>
    <v t="i">446</v>
    <v t="i">447</v>
  </a>
  <a r="1" c="313">
    <v>105.3</v>
    <v>105.09</v>
    <v>105.77500000000001</v>
    <v>105.05</v>
    <v>105.08</v>
    <v>105.15</v>
    <v>104.14</v>
    <v>103.97</v>
    <v>103.83</v>
    <v>105.46</v>
    <v>105.77</v>
    <v>106.715</v>
    <v>106.18</v>
    <v>106.26</v>
    <v>107.19</v>
    <v>107.33</v>
    <v>106.86</v>
    <v>105.105</v>
    <v>106.485</v>
    <v>106.82</v>
    <v>107.08</v>
    <v>108.18</v>
    <v>107.245</v>
    <v>107.205</v>
    <v>106.91500000000001</v>
    <v>108.125</v>
    <v>107.92</v>
    <v>108.515</v>
    <v>108.27500000000001</v>
    <v>107.56</v>
    <v>108.125</v>
    <v>107.875</v>
    <v>108.41</v>
    <v>108.45</v>
    <v>108.82</v>
    <v>107.78</v>
    <v>107.825</v>
    <v>106.63</v>
    <v>105</v>
    <v>106.38500000000001</v>
    <v>106.575</v>
    <v>105.44499999999999</v>
    <v>105.75</v>
    <v>102.21</v>
    <v>100.745</v>
    <v>101.045</v>
    <v>99.17</v>
    <v>98.43</v>
    <v>96.39</v>
    <v>97.394999999999996</v>
    <v>96.724999999999994</v>
    <v>97.814999999999998</v>
    <v>98.25</v>
    <v>97.864999999999995</v>
    <v>98.864999999999995</v>
    <v>99.185000000000002</v>
    <v>98.98</v>
    <v>100.685</v>
    <v>100.84</v>
    <v>100.35</v>
    <v>99.944999999999993</v>
    <v>97.825000000000003</v>
    <v>97.125</v>
    <v>98.38</v>
    <v>98.314999999999998</v>
    <v>93.52</v>
    <v>89.114999999999995</v>
    <v>86.5</v>
    <v>89.45</v>
    <v>85.325000000000003</v>
    <v>88.704999999999998</v>
    <v>87.805000000000007</v>
    <v>90.34</v>
    <v>91.23</v>
    <v>90.125</v>
    <v>89.27</v>
    <v>88.53</v>
    <v>91.254999999999995</v>
    <v>91.915000000000006</v>
    <v>92.41</v>
    <v>92.555000000000007</v>
    <v>92.99</v>
    <v>93.33</v>
    <v>95.614999999999995</v>
    <v>95.754999999999995</v>
    <v>95.29</v>
    <v>94.795000000000002</v>
    <v>96.355000000000004</v>
    <v>96.284999999999997</v>
    <v>99.45</v>
    <v>100.11</v>
    <v>99.83</v>
    <v>100.215</v>
    <v>100.94499999999999</v>
    <v>100.355</v>
    <v>100.58</v>
    <v>99.834999999999994</v>
    <v>99.034999999999997</v>
    <v>97.995000000000005</v>
    <v>98.89</v>
    <v>99.63</v>
    <v>99.76</v>
    <v>99.27</v>
    <v>99.275000000000006</v>
    <v>98.8</v>
    <v>100.06</v>
    <v>100.06</v>
    <v>100.145</v>
    <v>100.53</v>
    <v>100.46</v>
    <v>100.515</v>
    <v>100.44</v>
    <v>99.575000000000003</v>
    <v>99.245000000000005</v>
    <v>99.6</v>
    <v>99.364999999999995</v>
    <v>99.334999999999994</v>
    <v>98.55</v>
    <v>98.825000000000003</v>
    <v>98.635000000000005</v>
    <v>99.555000000000007</v>
    <v>99.454999999999998</v>
    <v>99.525000000000006</v>
    <v>100.36499999999999</v>
    <v>100.145</v>
    <v>99.995000000000005</v>
    <v>100.2</v>
    <v>101.25</v>
    <v>100.55</v>
    <v>100.855</v>
    <v>100.84</v>
    <v>101.245</v>
    <v>101.935</v>
    <v>101.295</v>
    <v>101.45</v>
    <v>102.04</v>
    <v>100.61</v>
    <v>102.535</v>
    <v>102.185</v>
    <v>102.31</v>
    <v>101.63</v>
    <v>102.485</v>
    <v>102.715</v>
    <v>102.93</v>
    <v>103.80500000000001</v>
    <v>104.235</v>
    <v>104.69499999999999</v>
    <v>104.935</v>
    <v>101.83</v>
    <v>103.045</v>
    <v>102.8</v>
    <v>103.02</v>
    <v>103.245</v>
    <v>103.535</v>
    <v>104.16</v>
    <v>104.185</v>
    <v>104.31</v>
    <v>104.86</v>
    <v>104.575</v>
    <v>104.75</v>
    <v>104.735</v>
    <v>104.15</v>
    <v>104.55</v>
    <v>105.105</v>
    <v>105.005</v>
    <v>104.79</v>
    <v>105.625</v>
    <v>105.325</v>
    <v>104.59</v>
    <v>104.83</v>
    <v>103.69</v>
    <v>104.375</v>
    <v>105.27</v>
    <v>104.52500000000001</v>
    <v>105.2</v>
    <v>105.19</v>
    <v>105.77500000000001</v>
    <v>106.44499999999999</v>
    <v>106.49</v>
    <v>106.63500000000001</v>
    <v>105.74</v>
    <v>105.655</v>
    <v>106.81</v>
    <v>106.925</v>
    <v>107.175</v>
    <v>107.245</v>
    <v>107.11</v>
    <v>106.97499999999999</v>
    <v>107.05</v>
    <v>107.37</v>
    <v>107.22</v>
    <v>108.02</v>
    <v>108.4</v>
    <v>108.86499999999999</v>
    <v>109.24</v>
    <v>109.065</v>
    <v>109.995</v>
    <v>110.035</v>
    <v>107.91500000000001</v>
    <v>108.755</v>
    <v>108.21</v>
    <v>108.93</v>
    <v>108.75</v>
    <v>107.67</v>
    <v>109.505</v>
    <v>109.94499999999999</v>
    <v>109.325</v>
    <v>109.75</v>
    <v>110.58499999999999</v>
    <v>111.36</v>
    <v>111.57</v>
    <v>111.75</v>
    <v>111.91500000000001</v>
    <v>111.785</v>
    <v>111.95</v>
    <v>111.55</v>
    <v>111.74</v>
    <v>110.22</v>
    <v>108.765</v>
    <v>110.935</v>
    <v>111.34</v>
    <v>111.96</v>
    <v>110.515</v>
    <v>110.2</v>
    <v>109.75</v>
    <v>108.285</v>
    <v>108.58</v>
    <v>109.235</v>
    <v>108.105</v>
    <v>109.535</v>
    <v>109.825</v>
    <v>111.07</v>
    <v>110.995</v>
    <v>111.4</v>
    <v>110.97</v>
    <v>110.99</v>
    <v>111.035</v>
    <v>111.28</v>
    <v>111.69499999999999</v>
    <v>111.515</v>
    <v>111.63500000000001</v>
    <v>111.38500000000001</v>
    <v>110.97499999999999</v>
    <v>110.29</v>
    <v>110.495</v>
    <v>109.73</v>
    <v>109.285</v>
    <v>110.425</v>
    <v>110.95</v>
    <v>111.16500000000001</v>
    <v>111.4</v>
    <v>111.5</v>
    <v>111.565</v>
    <v>111.8</v>
    <v>111.53</v>
    <v>111.33499999999999</v>
    <v>112.74</v>
    <v>113.12</v>
    <v>113.455</v>
    <v>113.28</v>
    <v>114.21</v>
    <v>114.155</v>
    <v>114.325</v>
    <v>113.66500000000001</v>
    <v>114.93</v>
    <v>114.77500000000001</v>
    <v>113.12</v>
    <v>112.19</v>
    <v>112.29</v>
    <v>113.005</v>
    <v>112.78</v>
    <v>112.38</v>
    <v>112.2</v>
    <v>112.32</v>
    <v>111.4</v>
    <v>112.19</v>
    <v>113.435</v>
    <v>112.94</v>
    <v>112.63</v>
    <v>111.55500000000001</v>
    <v>112.63</v>
    <v>113.23</v>
    <v>113.425</v>
    <v>113.435</v>
    <v>112.345</v>
    <v>112.27500000000001</v>
    <v>111.985</v>
    <v>112.30500000000001</v>
    <v>113.535</v>
    <v>113.38500000000001</v>
    <v>113.67</v>
    <v>112.92</v>
    <v>113.375</v>
    <v>114.25</v>
    <v>114.03</v>
    <v>113.575</v>
    <v>113.83</v>
    <v>112.645</v>
    <v>113.855</v>
    <v>113.245</v>
    <v>112.02</v>
    <v>111.44</v>
    <v>113.01</v>
    <v>112.6</v>
    <v>112.06</v>
    <v>111.905</v>
    <v>112.15</v>
    <v>112.4</v>
    <v>111.73</v>
    <v>109.85</v>
    <v>108.77</v>
    <v>109.185</v>
    <v>109.22499999999999</v>
  </a>
  <a r="1" c="311">
    <v>306.45</v>
    <v>305.85000000000002</v>
    <v>300.35000000000002</v>
    <v>302.60000000000002</v>
    <v>304</v>
    <v>304.05</v>
    <v>299.39999999999998</v>
    <v>299.60000000000002</v>
    <v>301.10000000000002</v>
    <v>307.89999999999998</v>
    <v>308.8</v>
    <v>311.25</v>
    <v>311.05</v>
    <v>310.89999999999998</v>
    <v>310.75</v>
    <v>313.25</v>
    <v>314.85000000000002</v>
    <v>318.85000000000002</v>
    <v>323.05</v>
    <v>323.7</v>
    <v>329.6</v>
    <v>330.75</v>
    <v>336.45</v>
    <v>331.95</v>
    <v>334.75</v>
    <v>334.25</v>
    <v>337.25</v>
    <v>339.45</v>
    <v>337.95</v>
    <v>336.45</v>
    <v>339.3</v>
    <v>336.6</v>
    <v>341.85</v>
    <v>340.45</v>
    <v>341.55</v>
    <v>333.8</v>
    <v>334.75</v>
    <v>334.5</v>
    <v>333.7</v>
    <v>333.9</v>
    <v>341.4</v>
    <v>348.7</v>
    <v>346.85</v>
    <v>335.05</v>
    <v>326.05</v>
    <v>318.10000000000002</v>
    <v>317.45</v>
    <v>314.14999999999998</v>
    <v>303.10000000000002</v>
    <v>305.85000000000002</v>
    <v>303.35000000000002</v>
    <v>304.05</v>
    <v>307.5</v>
    <v>306.05</v>
    <v>312.95</v>
    <v>313.95</v>
    <v>312.64999999999998</v>
    <v>319.55</v>
    <v>318.85000000000002</v>
    <v>319.35000000000002</v>
    <v>324.45</v>
    <v>317.95</v>
    <v>316</v>
    <v>319.8</v>
    <v>316.8</v>
    <v>307.8</v>
    <v>285.45</v>
    <v>285.85000000000002</v>
    <v>280.60000000000002</v>
    <v>299.35000000000002</v>
    <v>290.64999999999998</v>
    <v>295.14999999999998</v>
    <v>297</v>
    <v>297.75</v>
    <v>291.8</v>
    <v>293</v>
    <v>283.8</v>
    <v>296.7</v>
    <v>294.5</v>
    <v>295.25</v>
    <v>296.64999999999998</v>
    <v>300.2</v>
    <v>305.25</v>
    <v>307.2</v>
    <v>308.95</v>
    <v>306.14999999999998</v>
    <v>308.75</v>
    <v>315.95</v>
    <v>312.45</v>
    <v>320.14999999999998</v>
    <v>319.55</v>
    <v>318.45</v>
    <v>324.3</v>
    <v>327.35000000000002</v>
    <v>327.75</v>
    <v>325.2</v>
    <v>316.8</v>
    <v>318.5</v>
    <v>311.60000000000002</v>
    <v>313.5</v>
    <v>316.85000000000002</v>
    <v>317.39999999999998</v>
    <v>318.35000000000002</v>
    <v>322.5</v>
    <v>317.75</v>
    <v>321.85000000000002</v>
    <v>323.05</v>
    <v>320.85000000000002</v>
    <v>324.45</v>
    <v>320.8</v>
    <v>324.05</v>
    <v>324.64999999999998</v>
    <v>320.25</v>
    <v>306</v>
    <v>309.05</v>
    <v>311.64999999999998</v>
    <v>294.64999999999998</v>
    <v>293.95</v>
    <v>293.35000000000002</v>
    <v>295.95</v>
    <v>303.5</v>
    <v>301.7</v>
    <v>294.3</v>
    <v>297.75</v>
    <v>301.5</v>
    <v>301.95</v>
    <v>299.5</v>
    <v>304.45</v>
    <v>301.64999999999998</v>
    <v>304.25</v>
    <v>301.35000000000002</v>
    <v>304.5</v>
    <v>305</v>
    <v>297.05</v>
    <v>300.55</v>
    <v>299.55</v>
    <v>300.60000000000002</v>
    <v>302.3</v>
    <v>300</v>
    <v>301.3</v>
    <v>298.95</v>
    <v>301.45</v>
    <v>301</v>
    <v>303.55</v>
    <v>306.95</v>
    <v>303.85000000000002</v>
    <v>306.45</v>
    <v>304.2</v>
    <v>294.2</v>
    <v>295.35000000000002</v>
    <v>291.60000000000002</v>
    <v>290.89999999999998</v>
    <v>285.10000000000002</v>
    <v>289.25</v>
    <v>289</v>
    <v>287.85000000000002</v>
    <v>291.64999999999998</v>
    <v>296.39999999999998</v>
    <v>293.75</v>
    <v>293.7</v>
    <v>293.95</v>
    <v>294.75</v>
    <v>296.60000000000002</v>
    <v>298.85000000000002</v>
    <v>297.8</v>
    <v>298.89999999999998</v>
    <v>300.39999999999998</v>
    <v>299.35000000000002</v>
    <v>300.3</v>
    <v>300.60000000000002</v>
    <v>299.85000000000002</v>
    <v>300.14999999999998</v>
    <v>300.60000000000002</v>
    <v>292.2</v>
    <v>291.05</v>
    <v>294.45</v>
    <v>289.25</v>
    <v>291.7</v>
    <v>289.39999999999998</v>
    <v>287.7</v>
    <v>287.3</v>
    <v>291.95</v>
    <v>287.3</v>
    <v>289.25</v>
    <v>291.39999999999998</v>
    <v>287.14999999999998</v>
    <v>288.05</v>
    <v>287.60000000000002</v>
    <v>288.45</v>
    <v>290</v>
    <v>290.25</v>
    <v>296.55</v>
    <v>295.05</v>
    <v>300.05</v>
    <v>297.89999999999998</v>
    <v>301.25</v>
    <v>305</v>
    <v>299.45</v>
    <v>296.25</v>
    <v>296.8</v>
    <v>298.75</v>
    <v>297.45</v>
    <v>286.85000000000002</v>
    <v>293.14999999999998</v>
    <v>296.39999999999998</v>
    <v>299.55</v>
    <v>297.2</v>
    <v>297</v>
    <v>298.89999999999998</v>
    <v>299.45</v>
    <v>295.60000000000002</v>
    <v>294.64999999999998</v>
    <v>298.5</v>
    <v>296.45</v>
    <v>292.60000000000002</v>
    <v>295.45</v>
    <v>296.14999999999998</v>
    <v>290.3</v>
    <v>290.2</v>
    <v>290.60000000000002</v>
    <v>289.14999999999998</v>
    <v>293.95</v>
    <v>288.85000000000002</v>
    <v>284.05</v>
    <v>281.55</v>
    <v>275.95</v>
    <v>277.7</v>
    <v>281.10000000000002</v>
    <v>286.64999999999998</v>
    <v>285.14999999999998</v>
    <v>289.35000000000002</v>
    <v>289.05</v>
    <v>287.85000000000002</v>
    <v>288</v>
    <v>286</v>
    <v>283.5</v>
    <v>284.39999999999998</v>
    <v>279.2</v>
    <v>286.64999999999998</v>
    <v>280.95</v>
    <v>280.05</v>
    <v>278.5</v>
    <v>290.95</v>
    <v>295.5</v>
    <v>295.05</v>
    <v>294.5</v>
    <v>293.95</v>
    <v>294.2</v>
    <v>298</v>
    <v>299.95</v>
    <v>300.55</v>
    <v>301.3</v>
    <v>301.25</v>
    <v>296.39999999999998</v>
    <v>302.3</v>
    <v>305.10000000000002</v>
    <v>304.89999999999998</v>
    <v>303.75</v>
    <v>301.45</v>
    <v>294.95</v>
    <v>281.85000000000002</v>
    <v>282.95</v>
    <v>281.55</v>
    <v>283.7</v>
    <v>281.10000000000002</v>
    <v>278.35000000000002</v>
    <v>279.14999999999998</v>
    <v>277</v>
    <v>277.45</v>
    <v>274.60000000000002</v>
    <v>270</v>
    <v>274.14999999999998</v>
    <v>276.2</v>
    <v>272.35000000000002</v>
    <v>281.35000000000002</v>
    <v>283.10000000000002</v>
    <v>278.89999999999998</v>
    <v>281.60000000000002</v>
    <v>277.89999999999998</v>
    <v>274.14999999999998</v>
    <v>275.95</v>
    <v>277.05</v>
    <v>274.25</v>
    <v>265.39999999999998</v>
    <v>265</v>
    <v>270.10000000000002</v>
    <v>272.8</v>
    <v>270.35000000000002</v>
    <v>271.89999999999998</v>
    <v>259</v>
    <v>260.3</v>
    <v>264.8</v>
    <v>268.45</v>
    <v>268.7</v>
    <v>275</v>
    <v>276.25</v>
    <v>276.39999999999998</v>
    <v>274.8</v>
    <v>271.10000000000002</v>
    <v>269.7</v>
    <v>271.14999999999998</v>
    <v>270.10000000000002</v>
    <v>269.35000000000002</v>
    <v>268.7</v>
    <v>269.64999999999998</v>
    <v>267</v>
    <v>262</v>
    <v>257.5</v>
    <v>260.55</v>
    <v>262.10000000000002</v>
    <v>262.7</v>
  </a>
  <a r="1" c="311">
    <v>320.89999999999998</v>
    <v>322.89999999999998</v>
    <v>315</v>
    <v>313.85000000000002</v>
    <v>316.05</v>
    <v>317.35000000000002</v>
    <v>309.5</v>
    <v>311.25</v>
    <v>313.45</v>
    <v>314.7</v>
    <v>314.3</v>
    <v>320.2</v>
    <v>316.2</v>
    <v>313.75</v>
    <v>319.2</v>
    <v>320.75</v>
    <v>321</v>
    <v>334.5</v>
    <v>345</v>
    <v>340.2</v>
    <v>330.3</v>
    <v>329.95</v>
    <v>329.35</v>
    <v>327.75</v>
    <v>332.05</v>
    <v>317.8</v>
    <v>315</v>
    <v>319.5</v>
    <v>312.10000000000002</v>
    <v>312.95</v>
    <v>311.2</v>
    <v>310.5</v>
    <v>314.75</v>
    <v>313.45</v>
    <v>310.2</v>
    <v>305.7</v>
    <v>295.10000000000002</v>
    <v>294.45</v>
    <v>291.10000000000002</v>
    <v>295.55</v>
    <v>290.3</v>
    <v>283.60000000000002</v>
    <v>279.75</v>
    <v>270.60000000000002</v>
    <v>271</v>
    <v>265.2</v>
    <v>259.60000000000002</v>
    <v>250.5</v>
    <v>254.35</v>
    <v>262</v>
    <v>250.9</v>
    <v>256.75</v>
    <v>257.05</v>
    <v>255.35</v>
    <v>256.64999999999998</v>
    <v>256.7</v>
    <v>256.8</v>
    <v>263.75</v>
    <v>265.39999999999998</v>
    <v>262.5</v>
    <v>258.10000000000002</v>
    <v>254.15</v>
    <v>246.1</v>
    <v>248.85</v>
    <v>251</v>
    <v>233.25</v>
    <v>220.1</v>
    <v>223.15</v>
    <v>225.6</v>
    <v>241</v>
    <v>226.9</v>
    <v>221.9</v>
    <v>225.15</v>
    <v>226.4</v>
    <v>219.9</v>
    <v>217.8</v>
    <v>211.4</v>
    <v>221.7</v>
    <v>233</v>
    <v>235.5</v>
    <v>235.55</v>
    <v>233.25</v>
    <v>233.6</v>
    <v>239.9</v>
    <v>243.4</v>
    <v>237.25</v>
    <v>245.25</v>
    <v>251.3</v>
    <v>244.9</v>
    <v>260.25</v>
    <v>259.35000000000002</v>
    <v>261.05</v>
    <v>259.7</v>
    <v>261.45</v>
    <v>256.85000000000002</v>
    <v>253.95</v>
    <v>249.7</v>
    <v>251.45</v>
    <v>241</v>
    <v>243.75</v>
    <v>242.05</v>
    <v>244.3</v>
    <v>230.2</v>
    <v>230</v>
    <v>229.3</v>
    <v>231.4</v>
    <v>230.55</v>
    <v>233.2</v>
    <v>239</v>
    <v>239.4</v>
    <v>237</v>
    <v>233.9</v>
    <v>229.75</v>
    <v>224.15</v>
    <v>227.4</v>
    <v>233</v>
    <v>226.25</v>
    <v>224.85</v>
    <v>226.3</v>
    <v>227</v>
    <v>234.95</v>
    <v>233.15</v>
    <v>230.7</v>
    <v>232.25</v>
    <v>233.5</v>
    <v>231.4</v>
    <v>226.6</v>
    <v>232.05</v>
    <v>231.2</v>
    <v>231</v>
    <v>236.35</v>
    <v>231</v>
    <v>225.8</v>
    <v>220.3</v>
    <v>221.95</v>
    <v>223.55</v>
    <v>222.1</v>
    <v>222.6</v>
    <v>224.15</v>
    <v>226.6</v>
    <v>224.9</v>
    <v>227.2</v>
    <v>227.1</v>
    <v>229.75</v>
    <v>232.85</v>
    <v>232.65</v>
    <v>233.05</v>
    <v>228.55</v>
    <v>218.15</v>
    <v>218.6</v>
    <v>215</v>
    <v>213.35</v>
    <v>205.55</v>
    <v>205.05</v>
    <v>200</v>
    <v>198.24</v>
    <v>200.35</v>
    <v>200.5</v>
    <v>208</v>
    <v>209</v>
    <v>210.5</v>
    <v>211.4</v>
    <v>210.2</v>
    <v>213.1</v>
    <v>211.75</v>
    <v>211.4</v>
    <v>214.8</v>
    <v>218</v>
    <v>219.2</v>
    <v>220.15</v>
    <v>217</v>
    <v>221</v>
    <v>209</v>
    <v>212.95</v>
    <v>213.45</v>
    <v>217.2</v>
    <v>210.05</v>
    <v>210.65</v>
    <v>208</v>
    <v>205.2</v>
    <v>201.5</v>
    <v>203.4</v>
    <v>208.05</v>
    <v>209.6</v>
    <v>211.7</v>
    <v>209.8</v>
    <v>208.05</v>
    <v>208</v>
    <v>207.45</v>
    <v>207.4</v>
    <v>202.55</v>
    <v>199.98</v>
    <v>203.55</v>
    <v>204.15</v>
    <v>212.3</v>
    <v>211.4</v>
    <v>204</v>
    <v>210.85</v>
    <v>207.7</v>
    <v>215.45</v>
    <v>207.85</v>
    <v>204.3</v>
    <v>209.9</v>
    <v>209.2</v>
    <v>218.1</v>
    <v>227.8</v>
    <v>221.8</v>
    <v>219.8</v>
    <v>219.45</v>
    <v>219.7</v>
    <v>221.1</v>
    <v>217.65</v>
    <v>223.9</v>
    <v>225.75</v>
    <v>225.5</v>
    <v>221.7</v>
    <v>221.65</v>
    <v>207.25</v>
    <v>203.9</v>
    <v>207.65</v>
    <v>209.85</v>
    <v>213.5</v>
    <v>208.1</v>
    <v>210.1</v>
    <v>204</v>
    <v>199</v>
    <v>196.98</v>
    <v>195</v>
    <v>198</v>
    <v>197.5</v>
    <v>200.65</v>
    <v>196.08</v>
    <v>196.62</v>
    <v>198.98</v>
    <v>200</v>
    <v>203.1</v>
    <v>204.65</v>
    <v>212.45</v>
    <v>224.2</v>
    <v>223.1</v>
    <v>224.95</v>
    <v>225.2</v>
    <v>224.05</v>
    <v>225.75</v>
    <v>215.95</v>
    <v>214.55</v>
    <v>220.6</v>
    <v>219.25</v>
    <v>219.3</v>
    <v>223.75</v>
    <v>224.1</v>
    <v>226.7</v>
    <v>226.75</v>
    <v>219.55</v>
    <v>220.7</v>
    <v>224.9</v>
    <v>229.05</v>
    <v>224.8</v>
    <v>221.95</v>
    <v>223.1</v>
    <v>208.25</v>
    <v>204.45</v>
    <v>200.6</v>
    <v>196</v>
    <v>193.34</v>
    <v>189.66</v>
    <v>191.4</v>
    <v>193.24</v>
    <v>192.94</v>
    <v>194.12</v>
    <v>190.06</v>
    <v>191.5</v>
    <v>178</v>
    <v>179.26</v>
    <v>179.3</v>
    <v>163.74</v>
    <v>168.36</v>
    <v>161.66</v>
    <v>160.69999999999999</v>
    <v>163</v>
    <v>163.19999999999999</v>
    <v>154</v>
    <v>155.69999999999999</v>
    <v>160.4</v>
    <v>160.47999999999999</v>
    <v>155.32</v>
    <v>156.76</v>
    <v>158.24</v>
    <v>157.72</v>
    <v>149.36000000000001</v>
    <v>158.44</v>
    <v>162.68</v>
    <v>169.98</v>
    <v>164.5</v>
    <v>164.62</v>
    <v>170.62</v>
    <v>168.62</v>
    <v>174.92</v>
    <v>172.5</v>
    <v>169.06</v>
    <v>168.26</v>
    <v>166.82</v>
    <v>172.08</v>
    <v>173.3</v>
    <v>172.72</v>
    <v>171.6</v>
    <v>168.16</v>
    <v>167.42</v>
    <v>167.6</v>
    <v>167.6</v>
    <v>159</v>
  </a>
  <a r="1" c="311">
    <v>-99999901</v>
    <v>-99999901</v>
    <v>-99999901</v>
    <v>-99999901</v>
    <v>-99999901</v>
    <v>-99999901</v>
    <v>-99999901</v>
    <v>-99999901</v>
    <v>-99999901</v>
    <v>-99999901</v>
    <v>-99999901</v>
    <v>-99999901</v>
    <v>-99999901</v>
    <v>-99999901</v>
    <v>-99999901</v>
    <v>-99999901</v>
    <v>-99999901</v>
    <v>-99999901</v>
    <v>-99999901</v>
    <v>-99999901</v>
    <v>-99999901</v>
    <v>-99999901</v>
    <v>32.6</v>
    <v>32.4</v>
    <v>33.799999999999997</v>
    <v>31.8</v>
    <v>37.200000000000003</v>
    <v>40.6</v>
    <v>40.799999999999997</v>
    <v>38</v>
    <v>40</v>
    <v>42.6</v>
    <v>49.8</v>
    <v>45.2</v>
    <v>42.8</v>
    <v>44.6</v>
    <v>40.799999999999997</v>
    <v>36</v>
    <v>33.4</v>
    <v>34.799999999999997</v>
    <v>30</v>
    <v>30.8</v>
    <v>29.2</v>
    <v>29.2</v>
    <v>28.8</v>
    <v>25.2</v>
    <v>24.6</v>
    <v>24.2</v>
    <v>23.6</v>
    <v>25</v>
    <v>25</v>
    <v>26.6</v>
    <v>25.6</v>
    <v>24.8</v>
    <v>26</v>
    <v>24.2</v>
    <v>23.6</v>
    <v>27</v>
    <v>24.8</v>
    <v>23.2</v>
    <v>22.2</v>
    <v>20.6</v>
    <v>19.399999999999999</v>
    <v>21</v>
    <v>22.4</v>
    <v>19.899999999999999</v>
    <v>18.5</v>
    <v>19.399999999999999</v>
    <v>20</v>
    <v>21.2</v>
    <v>20.6</v>
    <v>18.3</v>
    <v>19.600000000000001</v>
    <v>18.600000000000001</v>
    <v>17.899999999999999</v>
    <v>18.600000000000001</v>
    <v>18.3</v>
    <v>20.399999999999999</v>
    <v>20</v>
    <v>21.2</v>
    <v>20.8</v>
    <v>21</v>
    <v>19.5</v>
    <v>22.4</v>
    <v>21</v>
    <v>20.399999999999999</v>
    <v>23.2</v>
    <v>25</v>
    <v>24.8</v>
    <v>30.6</v>
    <v>32</v>
    <v>32.4</v>
    <v>32.6</v>
    <v>33.799999999999997</v>
    <v>33.6</v>
    <v>35.799999999999997</v>
    <v>35.200000000000003</v>
    <v>34.200000000000003</v>
    <v>34.6</v>
    <v>35</v>
    <v>35.6</v>
    <v>36.200000000000003</v>
    <v>34</v>
    <v>31.8</v>
    <v>31</v>
    <v>32.4</v>
    <v>34.4</v>
    <v>40</v>
    <v>42.2</v>
    <v>47.4</v>
    <v>45.8</v>
    <v>45.4</v>
    <v>43.6</v>
    <v>42.2</v>
    <v>42.4</v>
    <v>42</v>
    <v>42.8</v>
    <v>41.4</v>
    <v>42.8</v>
    <v>40</v>
    <v>43.8</v>
    <v>43.2</v>
    <v>42.8</v>
    <v>44</v>
    <v>47.4</v>
    <v>44.4</v>
    <v>42.2</v>
    <v>43.2</v>
    <v>41</v>
    <v>40.200000000000003</v>
    <v>41</v>
    <v>39.200000000000003</v>
    <v>40.6</v>
    <v>38</v>
    <v>44.4</v>
    <v>47</v>
    <v>42.2</v>
    <v>46.8</v>
    <v>45</v>
    <v>44</v>
    <v>43</v>
    <v>42.8</v>
    <v>45</v>
    <v>43.6</v>
    <v>44.4</v>
    <v>44</v>
    <v>45.8</v>
    <v>49</v>
    <v>46.2</v>
    <v>47.4</v>
    <v>46.6</v>
    <v>46.8</v>
    <v>55.5</v>
    <v>58</v>
    <v>61</v>
    <v>63.5</v>
    <v>59.5</v>
    <v>58.5</v>
    <v>61</v>
    <v>59</v>
    <v>57</v>
    <v>57</v>
    <v>58</v>
    <v>59</v>
    <v>59.5</v>
    <v>60</v>
    <v>61.5</v>
    <v>60</v>
    <v>58</v>
    <v>57.5</v>
    <v>57</v>
    <v>56</v>
    <v>55.5</v>
    <v>55.5</v>
    <v>56.5</v>
    <v>83</v>
    <v>80.5</v>
    <v>77</v>
    <v>75.5</v>
    <v>77</v>
    <v>76.5</v>
    <v>80</v>
    <v>80</v>
    <v>83</v>
    <v>92</v>
    <v>89.5</v>
    <v>97</v>
    <v>92.5</v>
    <v>89</v>
    <v>95</v>
    <v>95.5</v>
    <v>96</v>
    <v>108</v>
    <v>113</v>
    <v>107</v>
    <v>103</v>
    <v>102</v>
    <v>115</v>
    <v>113</v>
    <v>119</v>
    <v>115</v>
    <v>108</v>
    <v>104</v>
    <v>99</v>
    <v>94</v>
    <v>87.5</v>
    <v>81</v>
    <v>92.5</v>
    <v>100</v>
    <v>108</v>
    <v>110</v>
    <v>104</v>
    <v>109</v>
    <v>112</v>
    <v>105</v>
    <v>96</v>
    <v>101</v>
    <v>97.5</v>
    <v>95.5</v>
    <v>97.5</v>
    <v>89.5</v>
    <v>82</v>
    <v>75.5</v>
    <v>72</v>
    <v>73.5</v>
    <v>78</v>
    <v>79</v>
    <v>75</v>
    <v>75.5</v>
    <v>81</v>
    <v>78</v>
    <v>81</v>
    <v>82</v>
    <v>83</v>
    <v>88.5</v>
    <v>85</v>
    <v>83</v>
    <v>86</v>
    <v>83.5</v>
    <v>87</v>
    <v>84.5</v>
    <v>80</v>
    <v>80</v>
    <v>75</v>
    <v>71</v>
    <v>66.5</v>
    <v>66</v>
    <v>68</v>
    <v>75.5</v>
    <v>81</v>
    <v>75.5</v>
    <v>72</v>
    <v>75</v>
    <v>78.5</v>
    <v>78</v>
    <v>85</v>
    <v>85.5</v>
    <v>86</v>
    <v>86</v>
    <v>94</v>
    <v>91</v>
    <v>89</v>
    <v>92.5</v>
    <v>95</v>
    <v>89</v>
    <v>84</v>
    <v>85</v>
    <v>85</v>
    <v>84.5</v>
    <v>75.5</v>
    <v>80.5</v>
    <v>86</v>
    <v>81</v>
    <v>73</v>
    <v>73.5</v>
    <v>71.5</v>
    <v>67</v>
    <v>62</v>
    <v>71.5</v>
    <v>79.5</v>
    <v>79.5</v>
    <v>76.5</v>
    <v>73</v>
    <v>82.5</v>
    <v>83</v>
    <v>80.5</v>
    <v>85</v>
    <v>89.5</v>
    <v>86</v>
    <v>85</v>
    <v>82.5</v>
    <v>92</v>
    <v>90</v>
    <v>77.5</v>
    <v>77.5</v>
    <v>76.5</v>
    <v>82.5</v>
    <v>78.5</v>
    <v>79</v>
    <v>78.5</v>
    <v>85.5</v>
    <v>92</v>
    <v>96</v>
    <v>96.5</v>
    <v>113</v>
    <v>100</v>
    <v>106</v>
    <v>104</v>
    <v>97.5</v>
    <v>99.5</v>
    <v>100</v>
  </a>
  <a r="1" c="311">
    <v>407.6</v>
    <v>409.55</v>
    <v>411.6</v>
    <v>409.1</v>
    <v>411</v>
    <v>412.25</v>
    <v>410.2</v>
    <v>408.05</v>
    <v>400.75</v>
    <v>415.6</v>
    <v>413.1</v>
    <v>418.55</v>
    <v>416.8</v>
    <v>411.75</v>
    <v>428.75</v>
    <v>426.75</v>
    <v>422</v>
    <v>414.65</v>
    <v>428.4</v>
    <v>425.3</v>
    <v>400.5</v>
    <v>401.55</v>
    <v>401.15</v>
    <v>397.3</v>
    <v>397.05</v>
    <v>400</v>
    <v>397.35</v>
    <v>399.65</v>
    <v>397.4</v>
    <v>393.1</v>
    <v>393.35</v>
    <v>389.65</v>
    <v>390.55</v>
    <v>391.4</v>
    <v>397.95</v>
    <v>395.8</v>
    <v>390.4</v>
    <v>386.6</v>
    <v>378.15</v>
    <v>380.3</v>
    <v>378.4</v>
    <v>379.05</v>
    <v>370.2</v>
    <v>365.8</v>
    <v>371.1</v>
    <v>368</v>
    <v>363.2</v>
    <v>351.8</v>
    <v>348.45</v>
    <v>350.55</v>
    <v>350.45</v>
    <v>355.85</v>
    <v>355.75</v>
    <v>350.4</v>
    <v>356.65</v>
    <v>356.7</v>
    <v>361.45</v>
    <v>363.85</v>
    <v>366.55</v>
    <v>362.8</v>
    <v>361.85</v>
    <v>348.7</v>
    <v>346.45</v>
    <v>353.9</v>
    <v>351.75</v>
    <v>339.65</v>
    <v>328.8</v>
    <v>327.7</v>
    <v>323.7</v>
    <v>358.6</v>
    <v>339.55</v>
    <v>342.45</v>
    <v>342.6</v>
    <v>342.05</v>
    <v>326.05</v>
    <v>322.95</v>
    <v>321</v>
    <v>330.35</v>
    <v>338.95</v>
    <v>344</v>
    <v>342.5</v>
    <v>347.25</v>
    <v>344.1</v>
    <v>385.1</v>
    <v>385.2</v>
    <v>382</v>
    <v>384.2</v>
    <v>394.45</v>
    <v>390.2</v>
    <v>403.5</v>
    <v>402.25</v>
    <v>405.15</v>
    <v>404.15</v>
    <v>405.95</v>
    <v>408</v>
    <v>405.6</v>
    <v>399.7</v>
    <v>404.6</v>
    <v>397</v>
    <v>399.9</v>
    <v>406.4</v>
    <v>404.85</v>
    <v>403.85</v>
    <v>406.5</v>
    <v>403.45</v>
    <v>407.2</v>
    <v>406.55</v>
    <v>410.15</v>
    <v>412.75</v>
    <v>412</v>
    <v>411.25</v>
    <v>411.4</v>
    <v>414.1</v>
    <v>412.6</v>
    <v>413</v>
    <v>416</v>
    <v>418.5</v>
    <v>412.8</v>
    <v>414.85</v>
    <v>420.3</v>
    <v>422.5</v>
    <v>422.3</v>
    <v>424.45</v>
    <v>423</v>
    <v>424</v>
    <v>417.5</v>
    <v>417</v>
    <v>424</v>
    <v>422.25</v>
    <v>424.65</v>
    <v>423.05</v>
    <v>428.9</v>
    <v>429.1</v>
    <v>430.6</v>
    <v>431.15</v>
    <v>436</v>
    <v>434.45</v>
    <v>441.7</v>
    <v>439.4</v>
    <v>436.4</v>
    <v>430.65</v>
    <v>428.85</v>
    <v>434.7</v>
    <v>438.35</v>
    <v>440.6</v>
    <v>443.2</v>
    <v>448.1</v>
    <v>467</v>
    <v>453.6</v>
    <v>462</v>
    <v>457.1</v>
    <v>450.1</v>
    <v>446</v>
    <v>448.6</v>
    <v>449.1</v>
    <v>453.8</v>
    <v>444.15</v>
    <v>447.45</v>
    <v>444.5</v>
    <v>440.6</v>
    <v>437.45</v>
    <v>434.45</v>
    <v>435.05</v>
    <v>432.05</v>
    <v>433.85</v>
    <v>428.3</v>
    <v>435.95</v>
    <v>435.9</v>
    <v>434.8</v>
    <v>431.2</v>
    <v>432.85</v>
    <v>431</v>
    <v>434.75</v>
    <v>421.9</v>
    <v>423.1</v>
    <v>425.8</v>
    <v>427.7</v>
    <v>427.3</v>
    <v>435.9</v>
    <v>438</v>
    <v>429.55</v>
    <v>431</v>
    <v>431.4</v>
    <v>441.9</v>
    <v>435.05</v>
    <v>430.65</v>
    <v>432.25</v>
    <v>435.5</v>
    <v>437.45</v>
    <v>438.85</v>
    <v>440.65</v>
    <v>442.05</v>
    <v>440.8</v>
    <v>441.6</v>
    <v>452.75</v>
    <v>449.4</v>
    <v>450.95</v>
    <v>450</v>
    <v>439.5</v>
    <v>443.95</v>
    <v>442.75</v>
    <v>441.2</v>
    <v>437.4</v>
    <v>437.75</v>
    <v>443.05</v>
    <v>445.9</v>
    <v>448.25</v>
    <v>449.4</v>
    <v>451.6</v>
    <v>457.9</v>
    <v>465.1</v>
    <v>458.2</v>
    <v>455.85</v>
    <v>448.85</v>
    <v>447.5</v>
    <v>448.2</v>
    <v>441.6</v>
    <v>432.05</v>
    <v>429.4</v>
    <v>437.85</v>
    <v>438.75</v>
    <v>441.05</v>
    <v>433.15</v>
    <v>439.75</v>
    <v>436.4</v>
    <v>426.9</v>
    <v>422.4</v>
    <v>415.1</v>
    <v>409.3</v>
    <v>413.25</v>
    <v>414.1</v>
    <v>419.3</v>
    <v>421.5</v>
    <v>424.3</v>
    <v>420.05</v>
    <v>421.55</v>
    <v>410.2</v>
    <v>411.85</v>
    <v>412.9</v>
    <v>421.3</v>
    <v>422.7</v>
    <v>408.75</v>
    <v>411.75</v>
    <v>407.45</v>
    <v>404.5</v>
    <v>405.85</v>
    <v>406.85</v>
    <v>412.9</v>
    <v>415</v>
    <v>412.55</v>
    <v>413.35</v>
    <v>414.1</v>
    <v>413.2</v>
    <v>402.65</v>
    <v>403.85</v>
    <v>409.65</v>
    <v>413.9</v>
    <v>410.45</v>
    <v>412</v>
    <v>410.85</v>
    <v>403.6</v>
    <v>393.55</v>
    <v>393.1</v>
    <v>396.85</v>
    <v>388.4</v>
    <v>387.6</v>
    <v>379.8</v>
    <v>383.5</v>
    <v>394.7</v>
    <v>397.85</v>
    <v>399.05</v>
    <v>403.55</v>
    <v>361.65</v>
    <v>362.5</v>
    <v>359.3</v>
    <v>347.7</v>
    <v>350</v>
    <v>333.5</v>
    <v>339.75</v>
    <v>347.2</v>
    <v>347.25</v>
    <v>340.8</v>
    <v>339.85</v>
    <v>337.7</v>
    <v>339.9</v>
    <v>334.9</v>
    <v>339.9</v>
    <v>338.5</v>
    <v>337.8</v>
    <v>325.39999999999998</v>
    <v>329.9</v>
    <v>338.9</v>
    <v>340.1</v>
    <v>332.6</v>
    <v>341</v>
    <v>347.5</v>
    <v>349.7</v>
    <v>353</v>
    <v>352.05</v>
    <v>352.6</v>
    <v>349.15</v>
    <v>349.65</v>
    <v>349.75</v>
    <v>345.85</v>
    <v>347.15</v>
    <v>346.3</v>
    <v>341.7</v>
    <v>336.3</v>
    <v>330.7</v>
    <v>329.9</v>
    <v>322.95</v>
  </a>
  <a r="1" c="311">
    <v>194.6</v>
    <v>202</v>
    <v>211.5</v>
    <v>204.5</v>
    <v>202</v>
    <v>204.5</v>
    <v>202.5</v>
    <v>197.2</v>
    <v>193.6</v>
    <v>199.6</v>
    <v>211</v>
    <v>205.5</v>
    <v>212</v>
    <v>211</v>
    <v>214.5</v>
    <v>215.5</v>
    <v>212.5</v>
    <v>182.4</v>
    <v>193.8</v>
    <v>194</v>
    <v>199.6</v>
    <v>202.5</v>
    <v>194.8</v>
    <v>197</v>
    <v>200</v>
    <v>201.5</v>
    <v>200.5</v>
    <v>201</v>
    <v>202.5</v>
    <v>198</v>
    <v>193</v>
    <v>195</v>
    <v>196.2</v>
    <v>194</v>
    <v>193</v>
    <v>190.6</v>
    <v>188</v>
    <v>183</v>
    <v>179.2</v>
    <v>185.4</v>
    <v>174</v>
    <v>173.4</v>
    <v>164.2</v>
    <v>170.6</v>
    <v>170.4</v>
    <v>163.6</v>
    <v>159.80000000000001</v>
    <v>157</v>
    <v>158.19999999999999</v>
    <v>162.6</v>
    <v>158.6</v>
    <v>159.6</v>
    <v>162</v>
    <v>158.4</v>
    <v>160</v>
    <v>163.4</v>
    <v>163.6</v>
    <v>167.8</v>
    <v>167.4</v>
    <v>159.80000000000001</v>
    <v>156.6</v>
    <v>152.6</v>
    <v>152.6</v>
    <v>155.6</v>
    <v>156</v>
    <v>143.80000000000001</v>
    <v>134.6</v>
    <v>132.6</v>
    <v>129.4</v>
    <v>145</v>
    <v>134</v>
    <v>138</v>
    <v>137.4</v>
    <v>139</v>
    <v>133.4</v>
    <v>134</v>
    <v>132.19999999999999</v>
    <v>139.19999999999999</v>
    <v>143.19999999999999</v>
    <v>144.80000000000001</v>
    <v>143.19999999999999</v>
    <v>144.4</v>
    <v>146.80000000000001</v>
    <v>158</v>
    <v>156.6</v>
    <v>152.6</v>
    <v>154.19999999999999</v>
    <v>156.4</v>
    <v>158.6</v>
    <v>168.4</v>
    <v>173.6</v>
    <v>174.2</v>
    <v>173</v>
    <v>174.2</v>
    <v>171</v>
    <v>170.6</v>
    <v>169.2</v>
    <v>174</v>
    <v>168.4</v>
    <v>172.4</v>
    <v>174</v>
    <v>173.6</v>
    <v>173.8</v>
    <v>170.4</v>
    <v>170.2</v>
    <v>174</v>
    <v>177.8</v>
    <v>177</v>
    <v>180</v>
    <v>182.6</v>
    <v>186.2</v>
    <v>186</v>
    <v>186.4</v>
    <v>184</v>
    <v>187</v>
    <v>186</v>
    <v>185.8</v>
    <v>182</v>
    <v>181.6</v>
    <v>181.2</v>
    <v>189</v>
    <v>191.8</v>
    <v>192.2</v>
    <v>194.6</v>
    <v>192.6</v>
    <v>190.4</v>
    <v>197.8</v>
    <v>201.5</v>
    <v>198.2</v>
    <v>195</v>
    <v>195</v>
    <v>198.8</v>
    <v>197</v>
    <v>199.4</v>
    <v>196</v>
    <v>204</v>
    <v>204.5</v>
    <v>213</v>
    <v>207.5</v>
    <v>206</v>
    <v>200</v>
    <v>204</v>
    <v>205</v>
    <v>209</v>
    <v>210</v>
    <v>209.5</v>
    <v>212</v>
    <v>212.5</v>
    <v>202</v>
    <v>205</v>
    <v>202.5</v>
    <v>198.6</v>
    <v>208</v>
    <v>206.5</v>
    <v>210.5</v>
    <v>209.5</v>
    <v>206</v>
    <v>206.5</v>
    <v>205</v>
    <v>206.5</v>
    <v>200.5</v>
    <v>195</v>
    <v>195.4</v>
    <v>199.8</v>
    <v>203</v>
    <v>205</v>
    <v>204</v>
    <v>203.5</v>
    <v>196.8</v>
    <v>196.6</v>
    <v>195.2</v>
    <v>196.8</v>
    <v>201</v>
    <v>207.5</v>
    <v>210</v>
    <v>217.5</v>
    <v>222</v>
    <v>221.5</v>
    <v>221.5</v>
    <v>222</v>
    <v>221.5</v>
    <v>220</v>
    <v>227</v>
    <v>225</v>
    <v>232.5</v>
    <v>239.5</v>
    <v>239</v>
    <v>237.5</v>
    <v>234</v>
    <v>235.5</v>
    <v>236</v>
    <v>245</v>
    <v>246</v>
    <v>249.5</v>
    <v>260</v>
    <v>254</v>
    <v>262</v>
    <v>260</v>
    <v>243.5</v>
    <v>264</v>
    <v>260</v>
    <v>261</v>
    <v>257</v>
    <v>255</v>
    <v>258</v>
    <v>254</v>
    <v>248</v>
    <v>249.5</v>
    <v>255</v>
    <v>257</v>
    <v>255.5</v>
    <v>263.5</v>
    <v>263</v>
    <v>258</v>
    <v>265</v>
    <v>255.5</v>
    <v>257</v>
    <v>251</v>
    <v>245.5</v>
    <v>256</v>
    <v>250.5</v>
    <v>250.5</v>
    <v>244</v>
    <v>244.5</v>
    <v>241.5</v>
    <v>241</v>
    <v>246</v>
    <v>240.5</v>
    <v>238.5</v>
    <v>247</v>
    <v>244.5</v>
    <v>252.5</v>
    <v>249.5</v>
    <v>249.5</v>
    <v>248.5</v>
    <v>251</v>
    <v>253.5</v>
    <v>251.5</v>
    <v>256.5</v>
    <v>256</v>
    <v>261.5</v>
    <v>267.5</v>
    <v>259</v>
    <v>250.5</v>
    <v>245</v>
    <v>241</v>
    <v>234.5</v>
    <v>243</v>
    <v>247.5</v>
    <v>249</v>
    <v>252.5</v>
    <v>255</v>
    <v>255.5</v>
    <v>273.5</v>
    <v>274</v>
    <v>279</v>
    <v>273.5</v>
    <v>274.5</v>
    <v>278</v>
    <v>284.5</v>
    <v>285.5</v>
    <v>280.5</v>
    <v>297</v>
    <v>295.5</v>
    <v>292.5</v>
    <v>280.5</v>
    <v>281</v>
    <v>281.5</v>
    <v>283</v>
    <v>282.5</v>
    <v>281</v>
    <v>288</v>
    <v>282.5</v>
    <v>278</v>
    <v>289.5</v>
    <v>285</v>
    <v>275</v>
    <v>281.5</v>
    <v>295.5</v>
    <v>298.5</v>
    <v>304</v>
    <v>316</v>
    <v>310.5</v>
    <v>308</v>
    <v>313</v>
    <v>308.5</v>
    <v>306.5</v>
    <v>306</v>
    <v>313.5</v>
    <v>314</v>
    <v>329</v>
    <v>328</v>
    <v>318</v>
    <v>317</v>
    <v>318</v>
    <v>306</v>
    <v>310</v>
    <v>303.5</v>
    <v>290</v>
    <v>302.5</v>
    <v>300.5</v>
    <v>306.5</v>
    <v>294</v>
    <v>297.5</v>
    <v>296</v>
    <v>302.5</v>
    <v>296</v>
    <v>290</v>
    <v>282.5</v>
    <v>293</v>
    <v>296.5</v>
  </a>
  <a r="1" c="311">
    <v>230.05</v>
    <v>226.5</v>
    <v>226.75</v>
    <v>224</v>
    <v>223.45</v>
    <v>221.3</v>
    <v>218.05</v>
    <v>220.7</v>
    <v>219.85</v>
    <v>221.05</v>
    <v>225.6</v>
    <v>229.35</v>
    <v>230.7</v>
    <v>230.9</v>
    <v>234.8</v>
    <v>228.7</v>
    <v>233.35</v>
    <v>195.38</v>
    <v>192.8</v>
    <v>196.38</v>
    <v>211.1</v>
    <v>217.15</v>
    <v>213.3</v>
    <v>212.55</v>
    <v>225</v>
    <v>222.15</v>
    <v>219.85</v>
    <v>227.2</v>
    <v>225.55</v>
    <v>225.35</v>
    <v>222.2</v>
    <v>222.9</v>
    <v>221.9</v>
    <v>217.4</v>
    <v>218.95</v>
    <v>214.5</v>
    <v>213.5</v>
    <v>204.5</v>
    <v>192.04</v>
    <v>202.7</v>
    <v>200.7</v>
    <v>191.92</v>
    <v>186.14</v>
    <v>174.22</v>
    <v>174.14</v>
    <v>169.26</v>
    <v>170.76</v>
    <v>169.64</v>
    <v>175.3</v>
    <v>180.94</v>
    <v>177.84</v>
    <v>179.38</v>
    <v>176.14</v>
    <v>173.4</v>
    <v>177.3</v>
    <v>175.78</v>
    <v>177.08</v>
    <v>179.06</v>
    <v>176.5</v>
    <v>167.28</v>
    <v>160.08000000000001</v>
    <v>154.1</v>
    <v>151.54</v>
    <v>154.44</v>
    <v>156.88</v>
    <v>143.74</v>
    <v>130.6</v>
    <v>137.18</v>
    <v>151.63999999999999</v>
    <v>143.5</v>
    <v>153.41999999999999</v>
    <v>155.44</v>
    <v>157.19999999999999</v>
    <v>160.04</v>
    <v>154.30000000000001</v>
    <v>150.47999999999999</v>
    <v>146.4</v>
    <v>156.62</v>
    <v>163.12</v>
    <v>165.54</v>
    <v>165.62</v>
    <v>167.52</v>
    <v>167.28</v>
    <v>179.66</v>
    <v>178.42</v>
    <v>176.9</v>
    <v>177.98</v>
    <v>182.66</v>
    <v>184.64</v>
    <v>195.64</v>
    <v>207.05</v>
    <v>207.5</v>
    <v>207.2</v>
    <v>205.95</v>
    <v>203.05</v>
    <v>203.85</v>
    <v>206.8</v>
    <v>206</v>
    <v>202.05</v>
    <v>205.15</v>
    <v>206.65</v>
    <v>208.6</v>
    <v>211.9</v>
    <v>211.7</v>
    <v>216.15</v>
    <v>225.15</v>
    <v>227.45</v>
    <v>230.8</v>
    <v>220</v>
    <v>213.95</v>
    <v>212.15</v>
    <v>218.4</v>
    <v>221.2</v>
    <v>218.25</v>
    <v>218.2</v>
    <v>216.9</v>
    <v>218.9</v>
    <v>214.1</v>
    <v>215.1</v>
    <v>215.6</v>
    <v>226.85</v>
    <v>227.6</v>
    <v>228.3</v>
    <v>231.65</v>
    <v>235</v>
    <v>226.3</v>
    <v>228.2</v>
    <v>233.75</v>
    <v>232.35</v>
    <v>235.5</v>
    <v>233.95</v>
    <v>235.15</v>
    <v>235.4</v>
    <v>234.8</v>
    <v>235.8</v>
    <v>242.45</v>
    <v>236.7</v>
    <v>247.55</v>
    <v>242.35</v>
    <v>247.5</v>
    <v>239.65</v>
    <v>238</v>
    <v>243.65</v>
    <v>246.7</v>
    <v>251.25</v>
    <v>256.7</v>
    <v>260.64999999999998</v>
    <v>260.8</v>
    <v>250.7</v>
    <v>256.7</v>
    <v>252.25</v>
    <v>256.85000000000002</v>
    <v>261.55</v>
    <v>260.89999999999998</v>
    <v>263.7</v>
    <v>263.5</v>
    <v>263.75</v>
    <v>266.05</v>
    <v>260.75</v>
    <v>258.2</v>
    <v>256.64999999999998</v>
    <v>248.85</v>
    <v>249.7</v>
    <v>254.7</v>
    <v>254.4</v>
    <v>255.8</v>
    <v>257.14999999999998</v>
    <v>264.2</v>
    <v>252.75</v>
    <v>254.05</v>
    <v>253.25</v>
    <v>258.7</v>
    <v>261.89999999999998</v>
    <v>286.7</v>
    <v>296.55</v>
    <v>288.3</v>
    <v>315</v>
    <v>311.10000000000002</v>
    <v>307.95</v>
    <v>306.60000000000002</v>
    <v>303.25</v>
    <v>293.60000000000002</v>
    <v>295.7</v>
    <v>292</v>
    <v>292.05</v>
    <v>291.85000000000002</v>
    <v>289.35000000000002</v>
    <v>286.8</v>
    <v>284.75</v>
    <v>284.89999999999998</v>
    <v>278.14999999999998</v>
    <v>284</v>
    <v>291.14999999999998</v>
    <v>290.8</v>
    <v>289</v>
    <v>281.7</v>
    <v>294.05</v>
    <v>298.25</v>
    <v>287.64999999999998</v>
    <v>305.10000000000002</v>
    <v>297.25</v>
    <v>304.60000000000002</v>
    <v>305.7</v>
    <v>293.2</v>
    <v>302.10000000000002</v>
    <v>296.2</v>
    <v>291.10000000000002</v>
    <v>297.05</v>
    <v>307.3</v>
    <v>308.85000000000002</v>
    <v>315.60000000000002</v>
    <v>326.2</v>
    <v>324.75</v>
    <v>319.64999999999998</v>
    <v>316.85000000000002</v>
    <v>314.10000000000002</v>
    <v>316.64999999999998</v>
    <v>308.75</v>
    <v>293.45</v>
    <v>308</v>
    <v>305.5</v>
    <v>306.64999999999998</v>
    <v>289</v>
    <v>295</v>
    <v>298.55</v>
    <v>297.39999999999998</v>
    <v>303.10000000000002</v>
    <v>315.7</v>
    <v>294.95</v>
    <v>323.5</v>
    <v>324.60000000000002</v>
    <v>340.3</v>
    <v>345</v>
    <v>345.3</v>
    <v>337.05</v>
    <v>328.9</v>
    <v>322.14999999999998</v>
    <v>327.95</v>
    <v>332.2</v>
    <v>344.95</v>
    <v>346.5</v>
    <v>345.3</v>
    <v>337.8</v>
    <v>309.2</v>
    <v>293.3</v>
    <v>288.60000000000002</v>
    <v>275.14999999999998</v>
    <v>278.64999999999998</v>
    <v>285.8</v>
    <v>289.25</v>
    <v>293.55</v>
    <v>297.89999999999998</v>
    <v>297.8</v>
    <v>298.64999999999998</v>
    <v>292.60000000000002</v>
    <v>297.75</v>
    <v>297.3</v>
    <v>284.25</v>
    <v>296.05</v>
    <v>299.64999999999998</v>
    <v>307.10000000000002</v>
    <v>288.10000000000002</v>
    <v>299.2</v>
    <v>299.8</v>
    <v>298.5</v>
    <v>288.05</v>
    <v>281.25</v>
    <v>281.7</v>
    <v>272.5</v>
    <v>273.8</v>
    <v>277.2</v>
    <v>275.3</v>
    <v>271.75</v>
    <v>282.14999999999998</v>
    <v>281.45</v>
    <v>267.95</v>
    <v>259.45</v>
    <v>271.14999999999998</v>
    <v>279.60000000000002</v>
    <v>291.25</v>
    <v>287.55</v>
    <v>284.14999999999998</v>
    <v>282.2</v>
    <v>276</v>
    <v>276</v>
    <v>279.35000000000002</v>
    <v>285.10000000000002</v>
    <v>286</v>
    <v>284.45</v>
    <v>282.10000000000002</v>
    <v>275.75</v>
    <v>280.55</v>
    <v>267</v>
    <v>269</v>
    <v>269.3</v>
    <v>269.35000000000002</v>
    <v>275.39999999999998</v>
    <v>288.7</v>
    <v>291.60000000000002</v>
    <v>296.95</v>
    <v>297.39999999999998</v>
    <v>295.3</v>
    <v>293.10000000000002</v>
    <v>283.39999999999998</v>
    <v>284.55</v>
    <v>276.10000000000002</v>
    <v>276.25</v>
    <v>276.7</v>
    <v>274.35000000000002</v>
    <v>277.45</v>
    <v>274.45</v>
  </a>
  <a r="1" c="311">
    <v>144.6</v>
    <v>157.1</v>
    <v>156.80000000000001</v>
    <v>159.55000000000001</v>
    <v>152.85</v>
    <v>159.19999999999999</v>
    <v>162</v>
    <v>156.65</v>
    <v>165.5</v>
    <v>165.3</v>
    <v>172.2</v>
    <v>165.85</v>
    <v>169.9</v>
    <v>179.6</v>
    <v>180</v>
    <v>185.8</v>
    <v>181.5</v>
    <v>130.80000000000001</v>
    <v>142.15</v>
    <v>148.75</v>
    <v>168.35</v>
    <v>162.80000000000001</v>
    <v>162.65</v>
    <v>162.4</v>
    <v>162.35</v>
    <v>162.5</v>
    <v>167.9</v>
    <v>164.15</v>
    <v>161.1</v>
    <v>162.1</v>
    <v>157.65</v>
    <v>159.69999999999999</v>
    <v>157</v>
    <v>162.30000000000001</v>
    <v>161.80000000000001</v>
    <v>154.9</v>
    <v>143.80000000000001</v>
    <v>137.15</v>
    <v>130.5</v>
    <v>140.85</v>
    <v>125.05</v>
    <v>126.6</v>
    <v>116.2</v>
    <v>123.5</v>
    <v>117.55</v>
    <v>105.05</v>
    <v>106</v>
    <v>100.6</v>
    <v>104.8</v>
    <v>115</v>
    <v>108.9</v>
    <v>114.65</v>
    <v>117.1</v>
    <v>114.35</v>
    <v>118.75</v>
    <v>120.8</v>
    <v>120.75</v>
    <v>123.85</v>
    <v>121.9</v>
    <v>115.15</v>
    <v>110</v>
    <v>110.3</v>
    <v>106</v>
    <v>111.65</v>
    <v>113.7</v>
    <v>98.7</v>
    <v>88.38</v>
    <v>95.18</v>
    <v>100</v>
    <v>109.3</v>
    <v>98.96</v>
    <v>99.4</v>
    <v>98.08</v>
    <v>101.8</v>
    <v>97.8</v>
    <v>102.95</v>
    <v>98.84</v>
    <v>108.5</v>
    <v>108.65</v>
    <v>110.85</v>
    <v>110.7</v>
    <v>113.35</v>
    <v>113.05</v>
    <v>123</v>
    <v>124.15</v>
    <v>126</v>
    <v>120.85</v>
    <v>126</v>
    <v>119.05</v>
    <v>131.55000000000001</v>
    <v>136</v>
    <v>138.19999999999999</v>
    <v>137.65</v>
    <v>139.5</v>
    <v>140.05000000000001</v>
    <v>137.19999999999999</v>
    <v>134.15</v>
    <v>134</v>
    <v>138.05000000000001</v>
    <v>143</v>
    <v>142.85</v>
    <v>143.94999999999999</v>
    <v>140</v>
    <v>138.65</v>
    <v>146.44999999999999</v>
    <v>154.35</v>
    <v>155.9</v>
    <v>150.85</v>
    <v>149.65</v>
    <v>151.30000000000001</v>
    <v>141.44999999999999</v>
    <v>145.19999999999999</v>
    <v>149.75</v>
    <v>150.1</v>
    <v>154.30000000000001</v>
    <v>154</v>
    <v>157.35</v>
    <v>156.19999999999999</v>
    <v>159.25</v>
    <v>157.55000000000001</v>
    <v>160.44999999999999</v>
    <v>162.25</v>
    <v>161.94999999999999</v>
    <v>168.85</v>
    <v>163.80000000000001</v>
    <v>154.80000000000001</v>
    <v>156.9</v>
    <v>162.85</v>
    <v>162</v>
    <v>164</v>
    <v>160.5</v>
    <v>167.9</v>
    <v>169.7</v>
    <v>165.95</v>
    <v>166.75</v>
    <v>165.05</v>
    <v>157.55000000000001</v>
    <v>157.55000000000001</v>
    <v>165</v>
    <v>160.05000000000001</v>
    <v>159.94999999999999</v>
    <v>169.5</v>
    <v>168.25</v>
    <v>165.35</v>
    <v>165.7</v>
    <v>169.6</v>
    <v>181.05</v>
    <v>182.05</v>
    <v>179</v>
    <v>185.1</v>
    <v>180</v>
    <v>173.15</v>
    <v>175.5</v>
    <v>177.3</v>
    <v>174.5</v>
    <v>178.45</v>
    <v>174</v>
    <v>173.9</v>
    <v>168.7</v>
    <v>167.2</v>
    <v>164.05</v>
    <v>160</v>
    <v>165.2</v>
    <v>163.1</v>
    <v>165.5</v>
    <v>167.2</v>
    <v>168.9</v>
    <v>170</v>
    <v>160.6</v>
    <v>162.05000000000001</v>
    <v>159.1</v>
    <v>159.85</v>
    <v>162.05000000000001</v>
    <v>154.1</v>
    <v>157.44999999999999</v>
    <v>159.80000000000001</v>
    <v>176.65</v>
    <v>180.25</v>
    <v>173.9</v>
    <v>182.25</v>
    <v>176.9</v>
    <v>178</v>
    <v>178.65</v>
    <v>177.1</v>
    <v>184.85</v>
    <v>173.6</v>
    <v>174.45</v>
    <v>167.4</v>
    <v>175.35</v>
    <v>169</v>
    <v>163.85</v>
    <v>172.75</v>
    <v>172.05</v>
    <v>176.45</v>
    <v>170.2</v>
    <v>171.6</v>
    <v>173.95</v>
    <v>181</v>
    <v>175.1</v>
    <v>178.95</v>
    <v>177.65</v>
    <v>182.95</v>
    <v>180.25</v>
    <v>179.2</v>
    <v>167.2</v>
    <v>161.15</v>
    <v>157.15</v>
    <v>165</v>
    <v>170</v>
    <v>171.65</v>
    <v>160</v>
    <v>172</v>
    <v>164.9</v>
    <v>162.05000000000001</v>
    <v>167.3</v>
    <v>162.85</v>
    <v>161.25</v>
    <v>156</v>
    <v>163.5</v>
    <v>168</v>
    <v>156</v>
    <v>154.5</v>
    <v>151.30000000000001</v>
    <v>140</v>
    <v>150.05000000000001</v>
    <v>148.44999999999999</v>
    <v>156.5</v>
    <v>152.6</v>
    <v>144.94999999999999</v>
    <v>148.94999999999999</v>
    <v>151.69999999999999</v>
    <v>151.94999999999999</v>
    <v>152.5</v>
    <v>155.35</v>
    <v>151.69999999999999</v>
    <v>150</v>
    <v>148</v>
    <v>150.1</v>
    <v>151</v>
    <v>142.94999999999999</v>
    <v>142.55000000000001</v>
    <v>138.6</v>
    <v>144.6</v>
    <v>147.35</v>
    <v>144</v>
    <v>144.9</v>
    <v>135</v>
    <v>140.94999999999999</v>
    <v>141.25</v>
    <v>137.35</v>
    <v>136.94999999999999</v>
    <v>138.15</v>
    <v>137.80000000000001</v>
    <v>140.6</v>
    <v>138.30000000000001</v>
    <v>144</v>
    <v>134.30000000000001</v>
    <v>129.69999999999999</v>
    <v>144.5</v>
    <v>149.4</v>
    <v>148.19999999999999</v>
    <v>145.05000000000001</v>
    <v>155.6</v>
    <v>144.1</v>
    <v>140.65</v>
    <v>133.4</v>
    <v>134.6</v>
    <v>137.80000000000001</v>
    <v>136.15</v>
    <v>135.94999999999999</v>
    <v>134.4</v>
    <v>135.80000000000001</v>
    <v>134.25</v>
    <v>133.25</v>
    <v>132.19999999999999</v>
    <v>130.4</v>
    <v>119.7</v>
    <v>119.95</v>
    <v>127.05</v>
    <v>129.85</v>
    <v>133.9</v>
    <v>135.05000000000001</v>
    <v>137.85</v>
    <v>143.9</v>
    <v>144.44999999999999</v>
    <v>147.9</v>
    <v>147.65</v>
    <v>145.75</v>
    <v>144.65</v>
    <v>143.1</v>
    <v>142.35</v>
    <v>149.15</v>
    <v>142.05000000000001</v>
    <v>145.80000000000001</v>
    <v>148.6</v>
    <v>141.69999999999999</v>
    <v>136.4</v>
    <v>143.69999999999999</v>
    <v>143.35</v>
    <v>131.5</v>
    <v>139.75</v>
    <v>141.35</v>
    <v>139.05000000000001</v>
    <v>137.6</v>
    <v>139</v>
    <v>139.75</v>
    <v>147.9</v>
    <v>144.80000000000001</v>
    <v>127.95</v>
    <v>131.25</v>
    <v>130.25</v>
  </a>
  <a r="1" c="311">
    <v>214.55</v>
    <v>216.9</v>
    <v>218.85</v>
    <v>214.45</v>
    <v>215.85</v>
    <v>215.8</v>
    <v>214</v>
    <v>213.8</v>
    <v>210.85</v>
    <v>216.6</v>
    <v>215.1</v>
    <v>220</v>
    <v>219.2</v>
    <v>221.6</v>
    <v>225.9</v>
    <v>225.1</v>
    <v>223.75</v>
    <v>222.15</v>
    <v>229.2</v>
    <v>228.5</v>
    <v>226.55</v>
    <v>228.85</v>
    <v>230.8</v>
    <v>232.85</v>
    <v>226.65</v>
    <v>229.25</v>
    <v>221.8</v>
    <v>226.85</v>
    <v>224.05</v>
    <v>220.75</v>
    <v>219.45</v>
    <v>217.85</v>
    <v>219.2</v>
    <v>215.35</v>
    <v>217.25</v>
    <v>212.1</v>
    <v>207.35</v>
    <v>202.9</v>
    <v>202.75</v>
    <v>204.65</v>
    <v>200.7</v>
    <v>202.5</v>
    <v>193.88</v>
    <v>192.3</v>
    <v>193.32</v>
    <v>185</v>
    <v>183.24</v>
    <v>179.48</v>
    <v>179.64</v>
    <v>181.92</v>
    <v>178.94</v>
    <v>181.84</v>
    <v>179.24</v>
    <v>176.06</v>
    <v>179.42</v>
    <v>179.66</v>
    <v>181.72</v>
    <v>188.2</v>
    <v>191.16</v>
    <v>187.16</v>
    <v>186.5</v>
    <v>177.74</v>
    <v>176.1</v>
    <v>177.88</v>
    <v>181.16</v>
    <v>162</v>
    <v>156</v>
    <v>160.52000000000001</v>
    <v>154.24</v>
    <v>175.18</v>
    <v>161.06</v>
    <v>162.80000000000001</v>
    <v>160.68</v>
    <v>158.69999999999999</v>
    <v>151.96</v>
    <v>151.69999999999999</v>
    <v>151.84</v>
    <v>160.47999999999999</v>
    <v>163.4</v>
    <v>166.7</v>
    <v>164.4</v>
    <v>164.68</v>
    <v>160.6</v>
    <v>168.66</v>
    <v>164.82</v>
    <v>163.22</v>
    <v>167.18</v>
    <v>171.42</v>
    <v>171.76</v>
    <v>187.98</v>
    <v>189.96</v>
    <v>187.88</v>
    <v>183.58</v>
    <v>183.68</v>
    <v>183.32</v>
    <v>180.96</v>
    <v>178.02</v>
    <v>180.86</v>
    <v>177.82</v>
    <v>178.8</v>
    <v>181.32</v>
    <v>181.82</v>
    <v>180.92</v>
    <v>179.78</v>
    <v>181.08</v>
    <v>180.54</v>
    <v>181.7</v>
    <v>183.8</v>
    <v>187.12</v>
    <v>190</v>
    <v>190</v>
    <v>185.48</v>
    <v>183.98</v>
    <v>183.24</v>
    <v>187</v>
    <v>186.92</v>
    <v>187.3</v>
    <v>183.58</v>
    <v>181.5</v>
    <v>180.28</v>
    <v>183.7</v>
    <v>181.5</v>
    <v>185.28</v>
    <v>190</v>
    <v>186.84</v>
    <v>187.5</v>
    <v>186.72</v>
    <v>190.08</v>
    <v>188.34</v>
    <v>190.28</v>
    <v>187.5</v>
    <v>189.96</v>
    <v>190.32</v>
    <v>193.02</v>
    <v>192.82</v>
    <v>195.92</v>
    <v>191.6</v>
    <v>193.38</v>
    <v>194.5</v>
    <v>195.6</v>
    <v>193.62</v>
    <v>194.08</v>
    <v>197.22</v>
    <v>197.06</v>
    <v>200.9</v>
    <v>199.88</v>
    <v>201.5</v>
    <v>205.5</v>
    <v>186.22</v>
    <v>183.02</v>
    <v>184.58</v>
    <v>190.52</v>
    <v>191.02</v>
    <v>190.84</v>
    <v>190.3</v>
    <v>189.96</v>
    <v>192.28</v>
    <v>198.44</v>
    <v>197.22</v>
    <v>198.22</v>
    <v>195.44</v>
    <v>192.6</v>
    <v>190.8</v>
    <v>195.32</v>
    <v>196.7</v>
    <v>196.52</v>
    <v>196.4</v>
    <v>198.52</v>
    <v>195.48</v>
    <v>195.98</v>
    <v>194.04</v>
    <v>192.16</v>
    <v>201.6</v>
    <v>199.02</v>
    <v>201.2</v>
    <v>204</v>
    <v>197</v>
    <v>197.08</v>
    <v>194.28</v>
    <v>197.16</v>
    <v>197.76</v>
    <v>195.34</v>
    <v>196.92</v>
    <v>197.62</v>
    <v>194.04</v>
    <v>186.62</v>
    <v>187.32</v>
    <v>186.76</v>
    <v>187.98</v>
    <v>189.5</v>
    <v>187.28</v>
    <v>187.68</v>
    <v>189.24</v>
    <v>187.5</v>
    <v>188.66</v>
    <v>190.1</v>
    <v>195.2</v>
    <v>197</v>
    <v>186.98</v>
    <v>190.3</v>
    <v>186.22</v>
    <v>184.98</v>
    <v>183</v>
    <v>182.66</v>
    <v>185.94</v>
    <v>191.5</v>
    <v>188</v>
    <v>189.96</v>
    <v>193.54</v>
    <v>195.32</v>
    <v>196</v>
    <v>197.5</v>
    <v>215</v>
    <v>212.2</v>
    <v>220</v>
    <v>217.3</v>
    <v>217.45</v>
    <v>210.9</v>
    <v>211.3</v>
    <v>214.9</v>
    <v>214.9</v>
    <v>211.25</v>
    <v>204</v>
    <v>203.2</v>
    <v>199.96</v>
    <v>194.76</v>
    <v>193.4</v>
    <v>188.4</v>
    <v>191.54</v>
    <v>196.36</v>
    <v>198.2</v>
    <v>197.82</v>
    <v>198.82</v>
    <v>201</v>
    <v>201.6</v>
    <v>202.4</v>
    <v>199.44</v>
    <v>196.8</v>
    <v>196.74</v>
    <v>195.02</v>
    <v>195.8</v>
    <v>198.54</v>
    <v>196</v>
    <v>193.62</v>
    <v>189.2</v>
    <v>189.9</v>
    <v>189.18</v>
    <v>193.44</v>
    <v>194.48</v>
    <v>194.94</v>
    <v>196.72</v>
    <v>196.74</v>
    <v>196.84</v>
    <v>193.4</v>
    <v>198.68</v>
    <v>206.65</v>
    <v>207.6</v>
    <v>211.25</v>
    <v>212.4</v>
    <v>211.25</v>
    <v>208</v>
    <v>203.7</v>
    <v>204.65</v>
    <v>205.5</v>
    <v>200.75</v>
    <v>196.88</v>
    <v>197.88</v>
    <v>199.34</v>
    <v>202.3</v>
    <v>201.25</v>
    <v>203.85</v>
    <v>204</v>
    <v>200.55</v>
    <v>201.95</v>
    <v>206.5</v>
    <v>201</v>
    <v>197.2</v>
    <v>189</v>
    <v>177.8</v>
    <v>175.3</v>
    <v>174.04</v>
    <v>172.02</v>
    <v>167.32</v>
    <v>167.28</v>
    <v>168.86</v>
    <v>169.18</v>
    <v>174.02</v>
    <v>173.9</v>
    <v>177.64</v>
    <v>173.42</v>
    <v>176.8</v>
    <v>178.58</v>
    <v>176.1</v>
    <v>176.34</v>
    <v>179.14</v>
    <v>179.68</v>
    <v>185.88</v>
    <v>188.3</v>
    <v>183.16</v>
    <v>182.54</v>
    <v>184.98</v>
    <v>183.38</v>
    <v>182.48</v>
    <v>181.36</v>
    <v>184.38</v>
    <v>185.92</v>
    <v>183.02</v>
    <v>180.62</v>
    <v>177.64</v>
    <v>181.64</v>
    <v>179.28</v>
  </a>
  <a r="1" c="311">
    <v>161.91999999999999</v>
    <v>160.19999999999999</v>
    <v>154.68</v>
    <v>155.86000000000001</v>
    <v>156.78</v>
    <v>158</v>
    <v>154</v>
    <v>155.72</v>
    <v>155.24</v>
    <v>155</v>
    <v>155.72</v>
    <v>156.80000000000001</v>
    <v>158.4</v>
    <v>155.19999999999999</v>
    <v>158.69999999999999</v>
    <v>159.04</v>
    <v>156.19999999999999</v>
    <v>161.16</v>
    <v>159.84</v>
    <v>160.26</v>
    <v>160.56</v>
    <v>160.02000000000001</v>
    <v>163.41999999999999</v>
    <v>161.66</v>
    <v>161.97999999999999</v>
    <v>162.34</v>
    <v>162.63999999999999</v>
    <v>162.5</v>
    <v>162.30000000000001</v>
    <v>163.02000000000001</v>
    <v>163.63999999999999</v>
    <v>154.88</v>
    <v>157.18</v>
    <v>158.18</v>
    <v>159.47999999999999</v>
    <v>158.86000000000001</v>
    <v>162</v>
    <v>162.9</v>
    <v>163.88</v>
    <v>162.9</v>
    <v>165.12</v>
    <v>165.94</v>
    <v>166.8</v>
    <v>164</v>
    <v>161.58000000000001</v>
    <v>161.63999999999999</v>
    <v>162.62</v>
    <v>163.18</v>
    <v>158.36000000000001</v>
    <v>154.84</v>
    <v>155.18</v>
    <v>154.47999999999999</v>
    <v>155.68</v>
    <v>153.02000000000001</v>
    <v>154.30000000000001</v>
    <v>154</v>
    <v>154.22</v>
    <v>153.56</v>
    <v>150.74</v>
    <v>155</v>
    <v>156.12</v>
    <v>154.91999999999999</v>
    <v>157.18</v>
    <v>157.47999999999999</v>
    <v>155.86000000000001</v>
    <v>156.22</v>
    <v>149.72</v>
    <v>147.84</v>
    <v>144</v>
    <v>146.96</v>
    <v>146.69999999999999</v>
    <v>147.69999999999999</v>
    <v>149.52000000000001</v>
    <v>149.9</v>
    <v>146</v>
    <v>150.30000000000001</v>
    <v>146.69999999999999</v>
    <v>145</v>
    <v>139.94</v>
    <v>141.69999999999999</v>
    <v>141.74</v>
    <v>142.5</v>
    <v>142.74</v>
    <v>142.04</v>
    <v>139.84</v>
    <v>140.02000000000001</v>
    <v>140.72</v>
    <v>141.62</v>
    <v>140.04</v>
    <v>145.12</v>
    <v>141.97999999999999</v>
    <v>141.74</v>
    <v>145.32</v>
    <v>145.12</v>
    <v>146.82</v>
    <v>147.13999999999999</v>
    <v>146.04</v>
    <v>146.91999999999999</v>
    <v>145.91999999999999</v>
    <v>146.28</v>
    <v>148.04</v>
    <v>148.28</v>
    <v>148.24</v>
    <v>150</v>
    <v>146.66</v>
    <v>146.68</v>
    <v>146.80000000000001</v>
    <v>142.41999999999999</v>
    <v>143.86000000000001</v>
    <v>142.12</v>
    <v>142.28</v>
    <v>141.16</v>
    <v>140.69999999999999</v>
    <v>138.80000000000001</v>
    <v>139.06</v>
    <v>137.82</v>
    <v>137.72</v>
    <v>137.76</v>
    <v>137.91999999999999</v>
    <v>138.72</v>
    <v>137.97999999999999</v>
    <v>136.6</v>
    <v>134.6</v>
    <v>136.16</v>
    <v>135.56</v>
    <v>136.9</v>
    <v>136.52000000000001</v>
    <v>136.96</v>
    <v>136.66</v>
    <v>136.84</v>
    <v>135.47999999999999</v>
    <v>133.91999999999999</v>
    <v>135.74</v>
    <v>134.36000000000001</v>
    <v>132.24</v>
    <v>131.72</v>
    <v>131.86000000000001</v>
    <v>133.46</v>
    <v>133.6</v>
    <v>133.19999999999999</v>
    <v>134.1</v>
    <v>134.19999999999999</v>
    <v>134.6</v>
    <v>134.58000000000001</v>
    <v>135.62</v>
    <v>135.16</v>
    <v>133.24</v>
    <v>132.18</v>
    <v>130.84</v>
    <v>130.26</v>
    <v>130.18</v>
    <v>131.4</v>
    <v>131.24</v>
    <v>130.91999999999999</v>
    <v>133.56</v>
    <v>132.63999999999999</v>
    <v>133.62</v>
    <v>131.80000000000001</v>
    <v>132</v>
    <v>133.30000000000001</v>
    <v>135.62</v>
    <v>136.88</v>
    <v>136.41999999999999</v>
    <v>135.74</v>
    <v>134.69999999999999</v>
    <v>133.44</v>
    <v>134.82</v>
    <v>132.74</v>
    <v>134.32</v>
    <v>134.04</v>
    <v>135.63999999999999</v>
    <v>135.4</v>
    <v>136.69999999999999</v>
    <v>136.68</v>
    <v>134.76</v>
    <v>135.72</v>
    <v>134.36000000000001</v>
    <v>135.32</v>
    <v>134.74</v>
    <v>133.5</v>
    <v>132.80000000000001</v>
    <v>135.47999999999999</v>
    <v>133.56</v>
    <v>133.47999999999999</v>
    <v>129.96</v>
    <v>128.74</v>
    <v>130.41999999999999</v>
    <v>130.46</v>
    <v>129.94</v>
    <v>130.88</v>
    <v>130.82</v>
    <v>130.18</v>
    <v>129.47999999999999</v>
    <v>129.80000000000001</v>
    <v>128.5</v>
    <v>130.82</v>
    <v>129.74</v>
    <v>130.24</v>
    <v>128.80000000000001</v>
    <v>127.48</v>
    <v>128.18</v>
    <v>126.64</v>
    <v>127.82</v>
    <v>129.74</v>
    <v>130.5</v>
    <v>130.52000000000001</v>
    <v>131.08000000000001</v>
    <v>130.41999999999999</v>
    <v>131.34</v>
    <v>129.96</v>
    <v>130.04</v>
    <v>128.38</v>
    <v>129.54</v>
    <v>130.80000000000001</v>
    <v>128.63999999999999</v>
    <v>128.28</v>
    <v>126.94</v>
    <v>126.22</v>
    <v>126.56</v>
    <v>125.48</v>
    <v>127.76</v>
    <v>127.44</v>
    <v>127.24</v>
    <v>127.6</v>
    <v>125.88</v>
    <v>126.64</v>
    <v>127.56</v>
    <v>128.69999999999999</v>
    <v>128.9</v>
    <v>127.34</v>
    <v>128.38</v>
    <v>127.74</v>
    <v>128.76</v>
    <v>127.8</v>
    <v>127.66</v>
    <v>125.08</v>
    <v>126.28</v>
    <v>124.44</v>
    <v>123.44</v>
    <v>118.84</v>
    <v>119.92</v>
    <v>119.56</v>
    <v>119.78</v>
    <v>121.5</v>
    <v>123.46</v>
    <v>123.98</v>
    <v>125.98</v>
    <v>124.08</v>
    <v>123.06</v>
    <v>121.46</v>
    <v>121.6</v>
    <v>122.94</v>
    <v>122.94</v>
    <v>121.16</v>
    <v>119.72</v>
    <v>119.64</v>
    <v>118.34</v>
    <v>121.58</v>
    <v>121.96</v>
    <v>122.98</v>
    <v>123.52</v>
    <v>125.5</v>
    <v>125.06</v>
    <v>124.5</v>
    <v>124.56</v>
    <v>124.8</v>
    <v>124</v>
    <v>128.19999999999999</v>
    <v>127.82</v>
    <v>125.88</v>
    <v>124.5</v>
    <v>123</v>
    <v>125.26</v>
    <v>127.54</v>
    <v>130.34</v>
    <v>131.78</v>
    <v>132.86000000000001</v>
    <v>134.22</v>
    <v>135.02000000000001</v>
    <v>131.97999999999999</v>
    <v>134.30000000000001</v>
    <v>135.44</v>
    <v>137.06</v>
    <v>136.1</v>
    <v>136.1</v>
    <v>134.54</v>
    <v>132.36000000000001</v>
    <v>134.86000000000001</v>
    <v>136.26</v>
    <v>139</v>
    <v>140.47999999999999</v>
    <v>139.04</v>
    <v>138.32</v>
    <v>141.22</v>
    <v>140.80000000000001</v>
    <v>137.22</v>
    <v>135.9</v>
    <v>133.28</v>
    <v>131.97999999999999</v>
    <v>133.86000000000001</v>
    <v>134.78</v>
    <v>132.38</v>
    <v>130</v>
    <v>132.04</v>
    <v>131.74</v>
    <v>131.44</v>
    <v>128.04</v>
    <v>125.76</v>
    <v>125</v>
    <v>124.22</v>
    <v>123.86</v>
  </a>
  <a r="1" c="311">
    <v>446.9</v>
    <v>453.5</v>
    <v>449.35</v>
    <v>444.4</v>
    <v>459.1</v>
    <v>463.95</v>
    <v>450.35</v>
    <v>451.05</v>
    <v>453.7</v>
    <v>473.05</v>
    <v>482.3</v>
    <v>471.3</v>
    <v>459.25</v>
    <v>463.25</v>
    <v>479.85</v>
    <v>476.55</v>
    <v>482.4</v>
    <v>485.65</v>
    <v>503</v>
    <v>517.5</v>
    <v>532.70000000000005</v>
    <v>537.29999999999995</v>
    <v>535.20000000000005</v>
    <v>588</v>
    <v>600</v>
    <v>600.5</v>
    <v>609.29999999999995</v>
    <v>613.20000000000005</v>
    <v>603.6</v>
    <v>620.29999999999995</v>
    <v>620.5</v>
    <v>600.6</v>
    <v>612.4</v>
    <v>604.6</v>
    <v>613</v>
    <v>604.5</v>
    <v>608.29999999999995</v>
    <v>577.29999999999995</v>
    <v>552</v>
    <v>576.29999999999995</v>
    <v>580.9</v>
    <v>570.1</v>
    <v>581</v>
    <v>537.6</v>
    <v>530.5</v>
    <v>528.6</v>
    <v>472.1</v>
    <v>458.5</v>
    <v>467.4</v>
    <v>491.75</v>
    <v>493.2</v>
    <v>522.9</v>
    <v>534.79999999999995</v>
    <v>530</v>
    <v>538.9</v>
    <v>546.20000000000005</v>
    <v>555</v>
    <v>559</v>
    <v>570</v>
    <v>539.4</v>
    <v>541.5</v>
    <v>523.70000000000005</v>
    <v>497.35</v>
    <v>505.4</v>
    <v>523.5</v>
    <v>506.1</v>
    <v>471.35</v>
    <v>469.95</v>
    <v>496</v>
    <v>465.55</v>
    <v>497</v>
    <v>485.65</v>
    <v>487.5</v>
    <v>507.5</v>
    <v>502.5</v>
    <v>498.3</v>
    <v>517.70000000000005</v>
    <v>526.6</v>
    <v>532.29999999999995</v>
    <v>534.79999999999995</v>
    <v>528.20000000000005</v>
    <v>491.45</v>
    <v>528.70000000000005</v>
    <v>570.4</v>
    <v>564.9</v>
    <v>563.1</v>
    <v>574</v>
    <v>578.9</v>
    <v>572.79999999999995</v>
    <v>559.79999999999995</v>
    <v>564.9</v>
    <v>570.29999999999995</v>
    <v>569.70000000000005</v>
    <v>586.79999999999995</v>
    <v>585.6</v>
    <v>586.20000000000005</v>
    <v>581.4</v>
    <v>569</v>
    <v>572.1</v>
    <v>582.20000000000005</v>
    <v>583.6</v>
    <v>585.29999999999995</v>
    <v>573.29999999999995</v>
    <v>571.4</v>
    <v>579.20000000000005</v>
    <v>590.5</v>
    <v>612.70000000000005</v>
    <v>625.5</v>
    <v>626.1</v>
    <v>615.79999999999995</v>
    <v>592.79999999999995</v>
    <v>618.4</v>
    <v>604.5</v>
    <v>610</v>
    <v>623.5</v>
    <v>626.20000000000005</v>
    <v>617.4</v>
    <v>617.1</v>
    <v>618.79999999999995</v>
    <v>630.5</v>
    <v>645.20000000000005</v>
    <v>640.9</v>
    <v>654.70000000000005</v>
    <v>668.3</v>
    <v>649.6</v>
    <v>618.70000000000005</v>
    <v>609.70000000000005</v>
    <v>614</v>
    <v>615.70000000000005</v>
    <v>611.9</v>
    <v>612.20000000000005</v>
    <v>622.6</v>
    <v>610.1</v>
    <v>601.4</v>
    <v>613.29999999999995</v>
    <v>604.20000000000005</v>
    <v>602.6</v>
    <v>613.79999999999995</v>
    <v>598.9</v>
    <v>604.1</v>
    <v>591.9</v>
    <v>572</v>
    <v>578.9</v>
    <v>598.4</v>
    <v>600.4</v>
    <v>540</v>
    <v>553</v>
    <v>552.9</v>
    <v>549.79999999999995</v>
    <v>579</v>
    <v>554.20000000000005</v>
    <v>560.9</v>
    <v>590</v>
    <v>602.20000000000005</v>
    <v>600.70000000000005</v>
    <v>585.79999999999995</v>
    <v>588.6</v>
    <v>602.6</v>
    <v>632.1</v>
    <v>627.29999999999995</v>
    <v>623.5</v>
    <v>602</v>
    <v>594.20000000000005</v>
    <v>596.9</v>
    <v>601.20000000000005</v>
    <v>596.70000000000005</v>
    <v>597.1</v>
    <v>589.20000000000005</v>
    <v>577.70000000000005</v>
    <v>584.79999999999995</v>
    <v>588.5</v>
    <v>598.5</v>
    <v>600.29999999999995</v>
    <v>595.79999999999995</v>
    <v>608.4</v>
    <v>609.1</v>
    <v>601.79999999999995</v>
    <v>581.9</v>
    <v>589.4</v>
    <v>597.70000000000005</v>
    <v>592.4</v>
    <v>585</v>
    <v>624.4</v>
    <v>625.20000000000005</v>
    <v>621.4</v>
    <v>619</v>
    <v>598.20000000000005</v>
    <v>608.79999999999995</v>
    <v>605.29999999999995</v>
    <v>619.1</v>
    <v>591.6</v>
    <v>607</v>
    <v>605.1</v>
    <v>585.5</v>
    <v>591</v>
    <v>579.70000000000005</v>
    <v>588.79999999999995</v>
    <v>584.1</v>
    <v>579.5</v>
    <v>597.5</v>
    <v>599.70000000000005</v>
    <v>585.6</v>
    <v>576.20000000000005</v>
    <v>571.20000000000005</v>
    <v>581.1</v>
    <v>593.5</v>
    <v>575.29999999999995</v>
    <v>580.20000000000005</v>
    <v>575.1</v>
    <v>564.5</v>
    <v>571.6</v>
    <v>577.70000000000005</v>
    <v>578.1</v>
    <v>576.79999999999995</v>
    <v>559.79999999999995</v>
    <v>547.1</v>
    <v>559.1</v>
    <v>537.6</v>
    <v>531.6</v>
    <v>535.79999999999995</v>
    <v>539.9</v>
    <v>550.70000000000005</v>
    <v>560.29999999999995</v>
    <v>553.4</v>
    <v>550.29999999999995</v>
    <v>545.79999999999995</v>
    <v>544</v>
    <v>520.70000000000005</v>
    <v>512.20000000000005</v>
    <v>499.4</v>
    <v>512.9</v>
    <v>511.9</v>
    <v>515.9</v>
    <v>517.29999999999995</v>
    <v>502.4</v>
    <v>496.55</v>
    <v>483.8</v>
    <v>475.1</v>
    <v>486.4</v>
    <v>477.3</v>
    <v>504.5</v>
    <v>514.20000000000005</v>
    <v>512</v>
    <v>511.4</v>
    <v>493</v>
    <v>487.6</v>
    <v>484.15</v>
    <v>484.6</v>
    <v>496.5</v>
    <v>494.1</v>
    <v>492.65</v>
    <v>493.9</v>
    <v>495.2</v>
    <v>490.85</v>
    <v>513.6</v>
    <v>490.9</v>
    <v>491.85</v>
    <v>469.1</v>
    <v>467.85</v>
    <v>459.3</v>
    <v>458.9</v>
    <v>450.4</v>
    <v>441.2</v>
    <v>434.95</v>
    <v>428.8</v>
    <v>436.85</v>
    <v>432.35</v>
    <v>421.45</v>
    <v>437</v>
    <v>433.7</v>
    <v>428.55</v>
    <v>428.95</v>
    <v>416.9</v>
    <v>423.05</v>
    <v>432</v>
    <v>405.4</v>
    <v>382</v>
    <v>357.2</v>
    <v>357.95</v>
    <v>352.75</v>
    <v>405.05</v>
    <v>408.35</v>
    <v>371.25</v>
    <v>378.2</v>
    <v>386.9</v>
    <v>398.35</v>
    <v>405.25</v>
    <v>415.9</v>
    <v>420.25</v>
    <v>398.65</v>
    <v>395.6</v>
    <v>397.45</v>
    <v>413.4</v>
    <v>426</v>
    <v>428.75</v>
    <v>441.9</v>
    <v>463.2</v>
    <v>473.15</v>
    <v>477.55</v>
    <v>475.45</v>
    <v>463</v>
    <v>448.65</v>
    <v>447.25</v>
    <v>448.75</v>
    <v>453.2</v>
    <v>459.8</v>
    <v>448.35</v>
    <v>423.95</v>
    <v>417.25</v>
    <v>422.45</v>
    <v>425.55</v>
  </a>
  <a r="1" c="311">
    <v>486.85</v>
    <v>483.6</v>
    <v>487</v>
    <v>477.8</v>
    <v>476.6</v>
    <v>478.3</v>
    <v>473.75</v>
    <v>470.35</v>
    <v>469.45</v>
    <v>472.2</v>
    <v>484.75</v>
    <v>492</v>
    <v>491.65</v>
    <v>487.2</v>
    <v>488.2</v>
    <v>491.15</v>
    <v>491.75</v>
    <v>487.35</v>
    <v>495.3</v>
    <v>503.1</v>
    <v>495</v>
    <v>511.2</v>
    <v>501.9</v>
    <v>498</v>
    <v>489.55</v>
    <v>499.95</v>
    <v>505.2</v>
    <v>503.3</v>
    <v>522.6</v>
    <v>514</v>
    <v>514.79999999999995</v>
    <v>517.4</v>
    <v>521.1</v>
    <v>518.20000000000005</v>
    <v>520.79999999999995</v>
    <v>513.70000000000005</v>
    <v>513.4</v>
    <v>511.1</v>
    <v>503.8</v>
    <v>508</v>
    <v>509.2</v>
    <v>510.1</v>
    <v>504.2</v>
    <v>503</v>
    <v>482.65</v>
    <v>474.5</v>
    <v>460.25</v>
    <v>450.15</v>
    <v>443.4</v>
    <v>441.8</v>
    <v>444.25</v>
    <v>446.15</v>
    <v>453.85</v>
    <v>445</v>
    <v>448.15</v>
    <v>457</v>
    <v>461.25</v>
    <v>467.85</v>
    <v>470.75</v>
    <v>473.6</v>
    <v>474.3</v>
    <v>466.3</v>
    <v>462.15</v>
    <v>471.85</v>
    <v>473.65</v>
    <v>455.65</v>
    <v>429.5</v>
    <v>399</v>
    <v>399.35</v>
    <v>421.7</v>
    <v>420.95</v>
    <v>410.35</v>
    <v>416.25</v>
    <v>417.6</v>
    <v>413.1</v>
    <v>410.85</v>
    <v>401.9</v>
    <v>418.65</v>
    <v>411.95</v>
    <v>423.5</v>
    <v>426.1</v>
    <v>424</v>
    <v>429.05</v>
    <v>445.2</v>
    <v>445.7</v>
    <v>443.85</v>
    <v>445.1</v>
    <v>446.65</v>
    <v>448.1</v>
    <v>471.65</v>
    <v>464.85</v>
    <v>458.2</v>
    <v>463</v>
    <v>460.5</v>
    <v>464.65</v>
    <v>461.05</v>
    <v>455</v>
    <v>452.85</v>
    <v>446.7</v>
    <v>448.8</v>
    <v>454.65</v>
    <v>452</v>
    <v>449.45</v>
    <v>454.75</v>
    <v>446.4</v>
    <v>448.4</v>
    <v>447.2</v>
    <v>450.75</v>
    <v>458</v>
    <v>449.2</v>
    <v>449.25</v>
    <v>446.75</v>
    <v>436.95</v>
    <v>435.8</v>
    <v>437.5</v>
    <v>437.65</v>
    <v>438.1</v>
    <v>433.75</v>
    <v>434.3</v>
    <v>443.8</v>
    <v>450.1</v>
    <v>448.15</v>
    <v>442.85</v>
    <v>443.75</v>
    <v>443.1</v>
    <v>443.35</v>
    <v>447.8</v>
    <v>449</v>
    <v>450.95</v>
    <v>454.2</v>
    <v>451.15</v>
    <v>451.35</v>
    <v>455</v>
    <v>450.6</v>
    <v>452.05</v>
    <v>453.65</v>
    <v>446.75</v>
    <v>453.8</v>
    <v>453.5</v>
    <v>450</v>
    <v>449.1</v>
    <v>444</v>
    <v>444.4</v>
    <v>455</v>
    <v>461.45</v>
    <v>461.2</v>
    <v>463.6</v>
    <v>485.65</v>
    <v>472</v>
    <v>482.05</v>
    <v>488.1</v>
    <v>481.55</v>
    <v>486.15</v>
    <v>479.45</v>
    <v>481.3</v>
    <v>481.45</v>
    <v>482.9</v>
    <v>485.55</v>
    <v>485.2</v>
    <v>474</v>
    <v>479.4</v>
    <v>473.3</v>
    <v>479.8</v>
    <v>474.1</v>
    <v>475</v>
    <v>473.1</v>
    <v>475</v>
    <v>472.85</v>
    <v>473.5</v>
    <v>470.5</v>
    <v>462.5</v>
    <v>462.5</v>
    <v>465.8</v>
    <v>460.6</v>
    <v>460.6</v>
    <v>467.2</v>
    <v>459.8</v>
    <v>464.7</v>
    <v>469.6</v>
    <v>460.85</v>
    <v>456.95</v>
    <v>456.95</v>
    <v>449.85</v>
    <v>437.2</v>
    <v>429.6</v>
    <v>423.9</v>
    <v>418.3</v>
    <v>416</v>
    <v>417.15</v>
    <v>421.05</v>
    <v>415.35</v>
    <v>413.85</v>
    <v>406.75</v>
    <v>405.15</v>
    <v>411.25</v>
    <v>411.2</v>
    <v>415</v>
    <v>421.65</v>
    <v>423.45</v>
    <v>418.2</v>
    <v>417.85</v>
    <v>422.9</v>
    <v>404.1</v>
    <v>407</v>
    <v>410.1</v>
    <v>414.05</v>
    <v>416.5</v>
    <v>414.35</v>
    <v>421.35</v>
    <v>421.85</v>
    <v>426.45</v>
    <v>414.1</v>
    <v>423.35</v>
    <v>426</v>
    <v>429.75</v>
    <v>435</v>
    <v>432.5</v>
    <v>424.7</v>
    <v>425.1</v>
    <v>421.7</v>
    <v>430.25</v>
    <v>428.2</v>
    <v>432.35</v>
    <v>430.25</v>
    <v>421.85</v>
    <v>422.9</v>
    <v>423.8</v>
    <v>427.4</v>
    <v>430.8</v>
    <v>426.85</v>
    <v>428.45</v>
    <v>427.75</v>
    <v>429.8</v>
    <v>430.85</v>
    <v>429.25</v>
    <v>426</v>
    <v>428.95</v>
    <v>431</v>
    <v>423.3</v>
    <v>431.6</v>
    <v>420</v>
    <v>418.1</v>
    <v>418.4</v>
    <v>430.75</v>
    <v>428.75</v>
    <v>427.25</v>
    <v>434.3</v>
    <v>439.2</v>
    <v>430</v>
    <v>437.55</v>
    <v>439.15</v>
    <v>452.8</v>
    <v>446.75</v>
    <v>444.55</v>
    <v>461.9</v>
    <v>452</v>
    <v>460.05</v>
    <v>469.75</v>
    <v>462.4</v>
    <v>462</v>
    <v>462.35</v>
    <v>467</v>
    <v>477</v>
    <v>473.95</v>
    <v>462.65</v>
    <v>450</v>
    <v>446.95</v>
    <v>451.7</v>
    <v>455.55</v>
    <v>455.75</v>
    <v>433.4</v>
    <v>433.65</v>
    <v>440.65</v>
    <v>447.25</v>
    <v>451.85</v>
    <v>395.45</v>
    <v>396.7</v>
    <v>384.9</v>
    <v>374</v>
    <v>373.4</v>
    <v>342.8</v>
    <v>335</v>
    <v>325</v>
    <v>337.8</v>
    <v>349</v>
    <v>349.25</v>
    <v>358.75</v>
    <v>358.05</v>
    <v>357.5</v>
    <v>346</v>
    <v>352</v>
    <v>363</v>
    <v>374.35</v>
    <v>367.35</v>
    <v>372.8</v>
    <v>379.5</v>
    <v>385</v>
    <v>385.6</v>
    <v>390.7</v>
    <v>383.65</v>
    <v>377.9</v>
    <v>372.35</v>
    <v>366.35</v>
    <v>362.4</v>
    <v>373.4</v>
    <v>372.6</v>
    <v>380</v>
    <v>368.85</v>
    <v>365</v>
    <v>370.3</v>
    <v>353.8</v>
  </a>
  <a r="1" c="310">
    <v t="i">1</v>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93</v>
    <v t="i">96</v>
    <v t="i">97</v>
    <v t="i">98</v>
    <v t="i">99</v>
    <v t="i">100</v>
    <v t="i">103</v>
    <v t="i">104</v>
    <v t="i">105</v>
    <v t="i">106</v>
    <v t="i">111</v>
    <v t="i">112</v>
    <v t="i">113</v>
    <v t="i">114</v>
    <v t="i">117</v>
    <v t="i">118</v>
    <v t="i">119</v>
    <v t="i">121</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v t="i">299</v>
    <v t="i">300</v>
    <v t="i">301</v>
    <v t="i">302</v>
    <v t="i">303</v>
    <v t="i">306</v>
    <v t="i">307</v>
    <v t="i">308</v>
    <v t="i">309</v>
    <v t="i">310</v>
    <v t="i">313</v>
    <v t="i">314</v>
    <v t="i">315</v>
    <v t="i">316</v>
    <v t="i">317</v>
    <v t="i">320</v>
    <v t="i">321</v>
    <v t="i">322</v>
    <v t="i">323</v>
    <v t="i">324</v>
    <v t="i">327</v>
    <v t="i">328</v>
    <v t="i">329</v>
    <v t="i">330</v>
    <v t="i">331</v>
    <v t="i">334</v>
    <v t="i">335</v>
    <v t="i">336</v>
    <v t="i">337</v>
    <v t="i">338</v>
    <v t="i">341</v>
    <v t="i">342</v>
    <v t="i">343</v>
    <v t="i">344</v>
    <v t="i">345</v>
    <v t="i">348</v>
    <v t="i">349</v>
    <v t="i">350</v>
    <v t="i">351</v>
    <v t="i">352</v>
    <v t="i">355</v>
    <v t="i">356</v>
    <v t="i">362</v>
    <v t="i">363</v>
    <v t="i">366</v>
    <v t="i">369</v>
    <v t="i">370</v>
    <v t="i">371</v>
    <v t="i">372</v>
    <v t="i">373</v>
    <v t="i">376</v>
    <v t="i">377</v>
    <v t="i">378</v>
    <v t="i">379</v>
    <v t="i">380</v>
    <v t="i">383</v>
    <v t="i">384</v>
    <v t="i">385</v>
    <v t="i">386</v>
    <v t="i">387</v>
    <v t="i">390</v>
    <v t="i">391</v>
    <v t="i">392</v>
    <v t="i">393</v>
    <v t="i">394</v>
    <v t="i">397</v>
    <v t="i">398</v>
    <v t="i">399</v>
    <v t="i">400</v>
    <v t="i">401</v>
    <v t="i">404</v>
    <v t="i">405</v>
    <v t="i">406</v>
    <v t="i">407</v>
    <v t="i">408</v>
    <v t="i">411</v>
    <v t="i">412</v>
    <v t="i">413</v>
    <v t="i">414</v>
    <v t="i">415</v>
    <v t="i">418</v>
    <v t="i">419</v>
    <v t="i">420</v>
    <v t="i">421</v>
    <v t="i">422</v>
    <v t="i">425</v>
    <v t="i">426</v>
    <v t="i">427</v>
    <v t="i">428</v>
    <v t="i">429</v>
    <v t="i">432</v>
    <v t="i">433</v>
    <v t="i">434</v>
    <v t="i">435</v>
    <v t="i">436</v>
    <v t="i">439</v>
    <v t="i">440</v>
    <v t="i">441</v>
    <v t="i">442</v>
    <v t="i">443</v>
    <v t="i">446</v>
    <v t="i">447</v>
  </a>
  <a r="1" c="310">
    <v>24.93</v>
    <v>24.36</v>
    <v>25.71</v>
    <v>26.08</v>
    <v>25.65</v>
    <v>25.68</v>
    <v>25.2</v>
    <v>25.83</v>
    <v>26.02</v>
    <v>26.41</v>
    <v>26.55</v>
    <v>26.14</v>
    <v>26.07</v>
    <v>25.98</v>
    <v>26.27</v>
    <v>26.09</v>
    <v>25.65</v>
    <v>25.84</v>
    <v>25.85</v>
    <v>25.86</v>
    <v>25.93</v>
    <v>25.89</v>
    <v>25.57</v>
    <v>25.89</v>
    <v>25.88</v>
    <v>26.19</v>
    <v>26.1</v>
    <v>26.48</v>
    <v>26.63</v>
    <v>26.51</v>
    <v>26.95</v>
    <v>26.89</v>
    <v>26.29</v>
    <v>25.66</v>
    <v>25.14</v>
    <v>25.11</v>
    <v>25.22</v>
    <v>25.24</v>
    <v>24.62</v>
    <v>24.65</v>
    <v>24.49</v>
    <v>24.39</v>
    <v>23.79</v>
    <v>23.28</v>
    <v>24.19</v>
    <v>20.399999999999999</v>
    <v>20.86</v>
    <v>21.29</v>
    <v>20.67</v>
    <v>20.32</v>
    <v>20.149999999999999</v>
    <v>19.975000000000001</v>
    <v>19.95</v>
    <v>19.829999999999998</v>
    <v>19.8</v>
    <v>19.715</v>
    <v>19.45</v>
    <v>19.465</v>
    <v>19.715</v>
    <v>19.5</v>
    <v>19.55</v>
    <v>19.234999999999999</v>
    <v>18.675000000000001</v>
    <v>18.895</v>
    <v>18.484999999999999</v>
    <v>18.600000000000001</v>
    <v>18.510000000000002</v>
    <v>17.329999999999998</v>
    <v>17.835000000000001</v>
    <v>17.100000000000001</v>
    <v>17.760000000000002</v>
    <v>17.84</v>
    <v>17.559999999999999</v>
    <v>16.75</v>
    <v>16.36</v>
    <v>16.21</v>
    <v>16.329999999999998</v>
    <v>16.920000000000002</v>
    <v>17.05</v>
    <v>16.934999999999999</v>
    <v>16.809999999999999</v>
    <v>16.79</v>
    <v>16.805</v>
    <v>17.43</v>
    <v>17.45</v>
    <v>18.54</v>
    <v>19.05</v>
    <v>19.135000000000002</v>
    <v>18.7</v>
    <v>19.285</v>
    <v>19.945</v>
    <v>19.95</v>
    <v>19.655000000000001</v>
    <v>19.68</v>
    <v>19.335000000000001</v>
    <v>19.440000000000001</v>
    <v>19.215</v>
    <v>19.28</v>
    <v>19.285</v>
    <v>19.434999999999999</v>
    <v>19.940000000000001</v>
    <v>19.97</v>
    <v>20.190000000000001</v>
    <v>20.23</v>
    <v>19.895</v>
    <v>20.399999999999999</v>
    <v>20.77</v>
    <v>20.77</v>
    <v>20.63</v>
    <v>20.82</v>
    <v>21.07</v>
    <v>21.1</v>
    <v>21.32</v>
    <v>20.65</v>
    <v>21.15</v>
    <v>20.58</v>
    <v>20.88</v>
    <v>20.52</v>
    <v>20.63</v>
    <v>20.47</v>
    <v>20.9</v>
    <v>20.78</v>
    <v>21.22</v>
    <v>19.670000000000002</v>
    <v>19.93</v>
    <v>19.8</v>
    <v>20.16</v>
    <v>20.27</v>
    <v>20.45</v>
    <v>20.25</v>
    <v>20.11</v>
    <v>19.97</v>
    <v>20.22</v>
    <v>19.45</v>
    <v>19.55</v>
    <v>19.62</v>
    <v>19.765000000000001</v>
    <v>19.64</v>
    <v>20.18</v>
    <v>19.95</v>
    <v>20.2</v>
    <v>20.02</v>
    <v>20.170000000000002</v>
    <v>20.190000000000001</v>
    <v>19.93</v>
    <v>20.03</v>
    <v>14.93</v>
    <v>14.765000000000001</v>
    <v>14.835000000000001</v>
    <v>14.455</v>
    <v>15.07</v>
    <v>15.08</v>
    <v>15.315</v>
    <v>15.18</v>
    <v>15.18</v>
    <v>15.08</v>
    <v>15.01</v>
    <v>14.935</v>
    <v>14.84</v>
    <v>15.42</v>
    <v>15.28</v>
    <v>15.265000000000001</v>
    <v>15.545</v>
    <v>15.654999999999999</v>
    <v>15.46</v>
    <v>15.775</v>
    <v>15.65</v>
    <v>15.565</v>
    <v>15.475</v>
    <v>15.154999999999999</v>
    <v>15.085000000000001</v>
    <v>15.095000000000001</v>
    <v>15.28</v>
    <v>15.664999999999999</v>
    <v>15.525</v>
    <v>15.265000000000001</v>
    <v>15.35</v>
    <v>15.19</v>
    <v>14.84</v>
    <v>14.64</v>
    <v>14.68</v>
    <v>15.09</v>
    <v>14.97</v>
    <v>14.65</v>
    <v>14.68</v>
    <v>14.35</v>
    <v>13.984999999999999</v>
    <v>13.92</v>
    <v>14.14</v>
    <v>13.855</v>
    <v>14.34</v>
    <v>14.715</v>
    <v>14.824999999999999</v>
    <v>14.88</v>
    <v>14.92</v>
    <v>15.17</v>
    <v>15.035</v>
    <v>14.775</v>
    <v>14.89</v>
    <v>14.225</v>
    <v>14.6</v>
    <v>14.8</v>
    <v>14.574999999999999</v>
    <v>15.154999999999999</v>
    <v>15.61</v>
    <v>15.72</v>
    <v>15.53</v>
    <v>15.645</v>
    <v>15.43</v>
    <v>15.335000000000001</v>
    <v>14.99</v>
    <v>14.72</v>
    <v>14.8</v>
    <v>14.54</v>
    <v>14.574999999999999</v>
    <v>14.64</v>
    <v>14.24</v>
    <v>13.94</v>
    <v>14.09</v>
    <v>14.484999999999999</v>
    <v>14.305</v>
    <v>14.06</v>
    <v>13.65</v>
    <v>13.44</v>
    <v>13.15</v>
    <v>12.96</v>
    <v>12.95</v>
    <v>13.205</v>
    <v>13.42</v>
    <v>13.39</v>
    <v>13.16</v>
    <v>13.335000000000001</v>
    <v>13.24</v>
    <v>13.33</v>
    <v>13.19</v>
    <v>13.21</v>
    <v>13.42</v>
    <v>13.885</v>
    <v>13.525</v>
    <v>13.385</v>
    <v>13.445</v>
    <v>13.695</v>
    <v>13.975</v>
    <v>13.935</v>
    <v>13.88</v>
    <v>13.904999999999999</v>
    <v>13.775</v>
    <v>13.645</v>
    <v>13.795</v>
    <v>13.63</v>
    <v>13.715</v>
    <v>13.75</v>
    <v>13.895</v>
    <v>13.945</v>
    <v>13.785</v>
    <v>14</v>
    <v>13.365</v>
    <v>13.57</v>
    <v>13.615</v>
    <v>13.664999999999999</v>
    <v>13.84</v>
    <v>13.8</v>
    <v>13.645</v>
    <v>12.8</v>
    <v>13.43</v>
    <v>13.77</v>
    <v>13.77</v>
    <v>13.91</v>
    <v>13.95</v>
    <v>13.425000000000001</v>
    <v>13.31</v>
    <v>13.375</v>
    <v>13.59</v>
    <v>13.61</v>
    <v>13.23</v>
    <v>13.39</v>
    <v>13.785</v>
    <v>13.86</v>
    <v>13.96</v>
    <v>14.14</v>
    <v>14.085000000000001</v>
    <v>13.97</v>
    <v>13.77</v>
    <v>13.535</v>
    <v>13.545</v>
    <v>13.255000000000001</v>
    <v>13.135</v>
    <v>13.234999999999999</v>
    <v>13.05</v>
    <v>12.91</v>
    <v>12.965</v>
    <v>13.4</v>
    <v>13.175000000000001</v>
    <v>12.92</v>
    <v>12.39</v>
    <v>12.12</v>
    <v>10.52</v>
    <v>10.52</v>
    <v>10.435</v>
    <v>10.77</v>
    <v>10.62</v>
    <v>10.395</v>
    <v>10.52</v>
    <v>9.0180000000000007</v>
    <v>8.06</v>
    <v>8.0679999999999996</v>
    <v>8.032</v>
    <v>8.3699999999999992</v>
    <v>8.4</v>
    <v>8.7439999999999998</v>
  </a>
</arrayData>
</file>

<file path=xl/richData/rdrichvalue.xml><?xml version="1.0" encoding="utf-8"?>
<rvData xmlns="http://schemas.microsoft.com/office/spreadsheetml/2017/richdata" count="4632">
  <rv s="0">
    <fb>45659</fb>
    <v>0</v>
  </rv>
  <rv s="0">
    <fb>135</fb>
    <v>1</v>
  </rv>
  <rv s="0">
    <fb>194.6</fb>
    <v>1</v>
  </rv>
  <rv s="0">
    <fb>306.45</fb>
    <v>1</v>
  </rv>
  <rv s="0">
    <fb>320.89999999999998</fb>
    <v>1</v>
  </rv>
  <rv s="0">
    <fb>214.55</fb>
    <v>1</v>
  </rv>
  <rv s="0">
    <fb>144.6</fb>
    <v>1</v>
  </rv>
  <rv s="0">
    <fb>407.6</fb>
    <v>1</v>
  </rv>
  <rv s="0">
    <fb>161.91999999999999</fb>
    <v>1</v>
  </rv>
  <rv s="0">
    <fb>486.85</fb>
    <v>1</v>
  </rv>
  <rv s="1">
    <fb t="e">#N/A</fb>
    <v>6</v>
    <v>4</v>
  </rv>
  <rv s="0">
    <fb>230.05</fb>
    <v>1</v>
  </rv>
  <rv s="0">
    <fb>235.25</fb>
    <v>1</v>
  </rv>
  <rv s="0">
    <fb>24.93</fb>
    <v>1</v>
  </rv>
  <rv s="0">
    <fb>446.9</fb>
    <v>1</v>
  </rv>
  <rv s="0">
    <fb>107.84</fb>
    <v>1</v>
  </rv>
  <rv s="0">
    <fb>105.3</fb>
    <v>1</v>
  </rv>
  <rv s="0">
    <fb>49.045000000000002</fb>
    <v>1</v>
  </rv>
  <rv s="0">
    <fb>45660</fb>
    <v>0</v>
  </rv>
  <rv s="0">
    <fb>140.08000000000001</fb>
    <v>1</v>
  </rv>
  <rv s="0">
    <fb>202</fb>
    <v>1</v>
  </rv>
  <rv s="0">
    <fb>305.85000000000002</fb>
    <v>1</v>
  </rv>
  <rv s="0">
    <fb>322.89999999999998</fb>
    <v>1</v>
  </rv>
  <rv s="0">
    <fb>216.9</fb>
    <v>1</v>
  </rv>
  <rv s="0">
    <fb>157.1</fb>
    <v>1</v>
  </rv>
  <rv s="0">
    <fb>409.55</fb>
    <v>1</v>
  </rv>
  <rv s="0">
    <fb>160.19999999999999</fb>
    <v>1</v>
  </rv>
  <rv s="0">
    <fb>483.6</fb>
    <v>1</v>
  </rv>
  <rv s="0">
    <fb>226.5</fb>
    <v>1</v>
  </rv>
  <rv s="0">
    <fb>234.75</fb>
    <v>1</v>
  </rv>
  <rv s="0">
    <fb>24.36</fb>
    <v>1</v>
  </rv>
  <rv s="0">
    <fb>453.5</fb>
    <v>1</v>
  </rv>
  <rv s="0">
    <fb>109.32</fb>
    <v>1</v>
  </rv>
  <rv s="0">
    <fb>105.09</fb>
    <v>1</v>
  </rv>
  <rv s="0">
    <fb>49.034999999999997</fb>
    <v>1</v>
  </rv>
  <rv s="0">
    <fb>45663</fb>
    <v>0</v>
  </rv>
  <rv s="0">
    <fb>143.52000000000001</fb>
    <v>1</v>
  </rv>
  <rv s="0">
    <fb>211.5</fb>
    <v>1</v>
  </rv>
  <rv s="0">
    <fb>300.35000000000002</fb>
    <v>1</v>
  </rv>
  <rv s="0">
    <fb>315</fb>
    <v>1</v>
  </rv>
  <rv s="0">
    <fb>218.85</fb>
    <v>1</v>
  </rv>
  <rv s="0">
    <fb>156.80000000000001</fb>
    <v>1</v>
  </rv>
  <rv s="0">
    <fb>411.6</fb>
    <v>1</v>
  </rv>
  <rv s="0">
    <fb>154.68</fb>
    <v>1</v>
  </rv>
  <rv s="0">
    <fb>487</fb>
    <v>1</v>
  </rv>
  <rv s="0">
    <fb>226.75</fb>
    <v>1</v>
  </rv>
  <rv s="0">
    <fb>233.15</fb>
    <v>1</v>
  </rv>
  <rv s="0">
    <fb>25.71</fb>
    <v>1</v>
  </rv>
  <rv s="0">
    <fb>449.35</fb>
    <v>1</v>
  </rv>
  <rv s="0">
    <fb>109.035</fb>
    <v>1</v>
  </rv>
  <rv s="0">
    <fb>105.77500000000001</fb>
    <v>1</v>
  </rv>
  <rv s="0">
    <fb>50.02</fb>
    <v>1</v>
  </rv>
  <rv s="0">
    <fb>45664</fb>
    <v>0</v>
  </rv>
  <rv s="0">
    <fb>135.78</fb>
    <v>1</v>
  </rv>
  <rv s="0">
    <fb>204.5</fb>
    <v>1</v>
  </rv>
  <rv s="0">
    <fb>302.60000000000002</fb>
    <v>1</v>
  </rv>
  <rv s="0">
    <fb>313.85000000000002</fb>
    <v>1</v>
  </rv>
  <rv s="0">
    <fb>214.45</fb>
    <v>1</v>
  </rv>
  <rv s="0">
    <fb>159.55000000000001</fb>
    <v>1</v>
  </rv>
  <rv s="0">
    <fb>409.1</fb>
    <v>1</v>
  </rv>
  <rv s="0">
    <fb>155.86000000000001</fb>
    <v>1</v>
  </rv>
  <rv s="0">
    <fb>477.8</fb>
    <v>1</v>
  </rv>
  <rv s="0">
    <fb>224</fb>
    <v>1</v>
  </rv>
  <rv s="0">
    <fb>236.1</fb>
    <v>1</v>
  </rv>
  <rv s="0">
    <fb>26.08</fb>
    <v>1</v>
  </rv>
  <rv s="0">
    <fb>444.4</fb>
    <v>1</v>
  </rv>
  <rv s="0">
    <fb>108.27</fb>
    <v>1</v>
  </rv>
  <rv s="0">
    <fb>105.05</fb>
    <v>1</v>
  </rv>
  <rv s="0">
    <fb>50.23</fb>
    <v>1</v>
  </rv>
  <rv s="0">
    <fb>45665</fb>
    <v>0</v>
  </rv>
  <rv s="0">
    <fb>135.76</fb>
    <v>1</v>
  </rv>
  <rv s="0">
    <fb>304</fb>
    <v>1</v>
  </rv>
  <rv s="0">
    <fb>316.05</fb>
    <v>1</v>
  </rv>
  <rv s="0">
    <fb>215.85</fb>
    <v>1</v>
  </rv>
  <rv s="0">
    <fb>152.85</fb>
    <v>1</v>
  </rv>
  <rv s="0">
    <fb>411</fb>
    <v>1</v>
  </rv>
  <rv s="0">
    <fb>156.78</fb>
    <v>1</v>
  </rv>
  <rv s="0">
    <fb>476.6</fb>
    <v>1</v>
  </rv>
  <rv s="0">
    <fb>223.45</fb>
    <v>1</v>
  </rv>
  <rv s="0">
    <fb>235.05</fb>
    <v>1</v>
  </rv>
  <rv s="0">
    <fb>25.65</fb>
    <v>1</v>
  </rv>
  <rv s="0">
    <fb>459.1</fb>
    <v>1</v>
  </rv>
  <rv s="0">
    <fb>108.64</fb>
    <v>1</v>
  </rv>
  <rv s="0">
    <fb>105.08</fb>
    <v>1</v>
  </rv>
  <rv s="0">
    <fb>50.17</fb>
    <v>1</v>
  </rv>
  <rv s="0">
    <fb>45666</fb>
    <v>0</v>
  </rv>
  <rv s="0">
    <fb>135.13999999999999</fb>
    <v>1</v>
  </rv>
  <rv s="0">
    <fb>304.05</fb>
    <v>1</v>
  </rv>
  <rv s="0">
    <fb>317.35000000000002</fb>
    <v>1</v>
  </rv>
  <rv s="0">
    <fb>215.8</fb>
    <v>1</v>
  </rv>
  <rv s="0">
    <fb>159.19999999999999</fb>
    <v>1</v>
  </rv>
  <rv s="0">
    <fb>412.25</fb>
    <v>1</v>
  </rv>
  <rv s="0">
    <fb>158</fb>
    <v>1</v>
  </rv>
  <rv s="0">
    <fb>478.3</fb>
    <v>1</v>
  </rv>
  <rv s="0">
    <fb>221.3</fb>
    <v>1</v>
  </rv>
  <rv s="0">
    <fb>238.7</fb>
    <v>1</v>
  </rv>
  <rv s="0">
    <fb>25.68</fb>
    <v>1</v>
  </rv>
  <rv s="0">
    <fb>463.95</fb>
    <v>1</v>
  </rv>
  <rv s="0">
    <fb>108.69</fb>
    <v>1</v>
  </rv>
  <rv s="0">
    <fb>105.15</fb>
    <v>1</v>
  </rv>
  <rv s="0">
    <fb>50.44</fb>
    <v>1</v>
  </rv>
  <rv s="0">
    <fb>45667</fb>
    <v>0</v>
  </rv>
  <rv s="0">
    <fb>132.5</fb>
    <v>1</v>
  </rv>
  <rv s="0">
    <fb>202.5</fb>
    <v>1</v>
  </rv>
  <rv s="0">
    <fb>299.39999999999998</fb>
    <v>1</v>
  </rv>
  <rv s="0">
    <fb>309.5</fb>
    <v>1</v>
  </rv>
  <rv s="0">
    <fb>214</fb>
    <v>1</v>
  </rv>
  <rv s="0">
    <fb>162</fb>
    <v>1</v>
  </rv>
  <rv s="0">
    <fb>410.2</fb>
    <v>1</v>
  </rv>
  <rv s="0">
    <fb>154</fb>
    <v>1</v>
  </rv>
  <rv s="0">
    <fb>473.75</fb>
    <v>1</v>
  </rv>
  <rv s="0">
    <fb>218.05</fb>
    <v>1</v>
  </rv>
  <rv s="0">
    <fb>234.6</fb>
    <v>1</v>
  </rv>
  <rv s="0">
    <fb>25.2</fb>
    <v>1</v>
  </rv>
  <rv s="0">
    <fb>450.35</fb>
    <v>1</v>
  </rv>
  <rv s="0">
    <fb>108.52</fb>
    <v>1</v>
  </rv>
  <rv s="0">
    <fb>104.14</fb>
    <v>1</v>
  </rv>
  <rv s="0">
    <fb>50.3</fb>
    <v>1</v>
  </rv>
  <rv s="0">
    <fb>45670</fb>
    <v>0</v>
  </rv>
  <rv s="0">
    <fb>130.34</fb>
    <v>1</v>
  </rv>
  <rv s="0">
    <fb>197.2</fb>
    <v>1</v>
  </rv>
  <rv s="0">
    <fb>299.60000000000002</fb>
    <v>1</v>
  </rv>
  <rv s="0">
    <fb>311.25</fb>
    <v>1</v>
  </rv>
  <rv s="0">
    <fb>213.8</fb>
    <v>1</v>
  </rv>
  <rv s="0">
    <fb>156.65</fb>
    <v>1</v>
  </rv>
  <rv s="0">
    <fb>408.05</fb>
    <v>1</v>
  </rv>
  <rv s="0">
    <fb>155.72</fb>
    <v>1</v>
  </rv>
  <rv s="0">
    <fb>470.35</fb>
    <v>1</v>
  </rv>
  <rv s="0">
    <fb>220.7</fb>
    <v>1</v>
  </rv>
  <rv s="0">
    <fb>236.9</fb>
    <v>1</v>
  </rv>
  <rv s="0">
    <fb>25.83</fb>
    <v>1</v>
  </rv>
  <rv s="0">
    <fb>451.05</fb>
    <v>1</v>
  </rv>
  <rv s="0">
    <fb>107.91</fb>
    <v>1</v>
  </rv>
  <rv s="0">
    <fb>103.97</fb>
    <v>1</v>
  </rv>
  <rv s="0">
    <fb>49.98</fb>
    <v>1</v>
  </rv>
  <rv s="0">
    <fb>45671</fb>
    <v>0</v>
  </rv>
  <rv s="0">
    <fb>127.22</fb>
    <v>1</v>
  </rv>
  <rv s="0">
    <fb>193.6</fb>
    <v>1</v>
  </rv>
  <rv s="0">
    <fb>301.10000000000002</fb>
    <v>1</v>
  </rv>
  <rv s="0">
    <fb>313.45</fb>
    <v>1</v>
  </rv>
  <rv s="0">
    <fb>210.85</fb>
    <v>1</v>
  </rv>
  <rv s="0">
    <fb>165.5</fb>
    <v>1</v>
  </rv>
  <rv s="0">
    <fb>400.75</fb>
    <v>1</v>
  </rv>
  <rv s="0">
    <fb>155.24</fb>
    <v>1</v>
  </rv>
  <rv s="0">
    <fb>469.45</fb>
    <v>1</v>
  </rv>
  <rv s="0">
    <fb>219.85</fb>
    <v>1</v>
  </rv>
  <rv s="0">
    <fb>240</fb>
    <v>1</v>
  </rv>
  <rv s="0">
    <fb>26.02</fb>
    <v>1</v>
  </rv>
  <rv s="0">
    <fb>453.7</fb>
    <v>1</v>
  </rv>
  <rv s="0">
    <fb>107.495</fb>
    <v>1</v>
  </rv>
  <rv s="0">
    <fb>103.83</fb>
    <v>1</v>
  </rv>
  <rv s="0">
    <fb>50.08</fb>
    <v>1</v>
  </rv>
  <rv s="0">
    <fb>45672</fb>
    <v>0</v>
  </rv>
  <rv s="0">
    <fb>132.08000000000001</fb>
    <v>1</v>
  </rv>
  <rv s="0">
    <fb>199.6</fb>
    <v>1</v>
  </rv>
  <rv s="0">
    <fb>307.89999999999998</fb>
    <v>1</v>
  </rv>
  <rv s="0">
    <fb>314.7</fb>
    <v>1</v>
  </rv>
  <rv s="0">
    <fb>216.6</fb>
    <v>1</v>
  </rv>
  <rv s="0">
    <fb>165.3</fb>
    <v>1</v>
  </rv>
  <rv s="0">
    <fb>415.6</fb>
    <v>1</v>
  </rv>
  <rv s="0">
    <fb>155</fb>
    <v>1</v>
  </rv>
  <rv s="0">
    <fb>472.2</fb>
    <v>1</v>
  </rv>
  <rv s="0">
    <fb>221.05</fb>
    <v>1</v>
  </rv>
  <rv s="0">
    <fb>245.85</fb>
    <v>1</v>
  </rv>
  <rv s="0">
    <fb>26.41</fb>
    <v>1</v>
  </rv>
  <rv s="0">
    <fb>473.05</fb>
    <v>1</v>
  </rv>
  <rv s="0">
    <fb>109.515</fb>
    <v>1</v>
  </rv>
  <rv s="0">
    <fb>105.46</fb>
    <v>1</v>
  </rv>
  <rv s="0">
    <fb>50.64</fb>
    <v>1</v>
  </rv>
  <rv s="0">
    <fb>45673</fb>
    <v>0</v>
  </rv>
  <rv s="0">
    <fb>130</fb>
    <v>1</v>
  </rv>
  <rv s="0">
    <fb>211</fb>
    <v>1</v>
  </rv>
  <rv s="0">
    <fb>308.8</fb>
    <v>1</v>
  </rv>
  <rv s="0">
    <fb>314.3</fb>
    <v>1</v>
  </rv>
  <rv s="0">
    <fb>215.1</fb>
    <v>1</v>
  </rv>
  <rv s="0">
    <fb>172.2</fb>
    <v>1</v>
  </rv>
  <rv s="0">
    <fb>413.1</fb>
    <v>1</v>
  </rv>
  <rv s="0">
    <fb>484.75</fb>
    <v>1</v>
  </rv>
  <rv s="0">
    <fb>225.6</fb>
    <v>1</v>
  </rv>
  <rv s="0">
    <fb>245.45</fb>
    <v>1</v>
  </rv>
  <rv s="0">
    <fb>26.55</fb>
    <v>1</v>
  </rv>
  <rv s="0">
    <fb>482.3</fb>
    <v>1</v>
  </rv>
  <rv s="0">
    <fb>109.345</fb>
    <v>1</v>
  </rv>
  <rv s="0">
    <fb>105.77</fb>
    <v>1</v>
  </rv>
  <rv s="0">
    <fb>51.34</fb>
    <v>1</v>
  </rv>
  <rv s="0">
    <fb>45674</fb>
    <v>0</v>
  </rv>
  <rv s="0">
    <fb>134.16</fb>
    <v>1</v>
  </rv>
  <rv s="0">
    <fb>205.5</fb>
    <v>1</v>
  </rv>
  <rv s="0">
    <fb>320.2</fb>
    <v>1</v>
  </rv>
  <rv s="0">
    <fb>220</fb>
    <v>1</v>
  </rv>
  <rv s="0">
    <fb>165.85</fb>
    <v>1</v>
  </rv>
  <rv s="0">
    <fb>418.55</fb>
    <v>1</v>
  </rv>
  <rv s="0">
    <fb>492</fb>
    <v>1</v>
  </rv>
  <rv s="0">
    <fb>229.35</fb>
    <v>1</v>
  </rv>
  <rv s="0">
    <fb>249.3</fb>
    <v>1</v>
  </rv>
  <rv s="0">
    <fb>26.14</fb>
    <v>1</v>
  </rv>
  <rv s="0">
    <fb>471.3</fb>
    <v>1</v>
  </rv>
  <rv s="0">
    <fb>110.76</fb>
    <v>1</v>
  </rv>
  <rv s="0">
    <fb>106.715</fb>
    <v>1</v>
  </rv>
  <rv s="0">
    <fb>51.69</fb>
    <v>1</v>
  </rv>
  <rv s="0">
    <fb>45677</fb>
    <v>0</v>
  </rv>
  <rv s="0">
    <fb>212</fb>
    <v>1</v>
  </rv>
  <rv s="0">
    <fb>311.05</fb>
    <v>1</v>
  </rv>
  <rv s="0">
    <fb>316.2</fb>
    <v>1</v>
  </rv>
  <rv s="0">
    <fb>219.2</fb>
    <v>1</v>
  </rv>
  <rv s="0">
    <fb>169.9</fb>
    <v>1</v>
  </rv>
  <rv s="0">
    <fb>416.8</fb>
    <v>1</v>
  </rv>
  <rv s="0">
    <fb>158.4</fb>
    <v>1</v>
  </rv>
  <rv s="0">
    <fb>491.65</fb>
    <v>1</v>
  </rv>
  <rv s="0">
    <fb>230.7</fb>
    <v>1</v>
  </rv>
  <rv s="0">
    <fb>253.75</fb>
    <v>1</v>
  </rv>
  <rv s="0">
    <fb>26.07</fb>
    <v>1</v>
  </rv>
  <rv s="0">
    <fb>459.25</fb>
    <v>1</v>
  </rv>
  <rv s="0">
    <fb>109.76</fb>
    <v>1</v>
  </rv>
  <rv s="0">
    <fb>106.18</fb>
    <v>1</v>
  </rv>
  <rv s="0">
    <fb>51.81</fb>
    <v>1</v>
  </rv>
  <rv s="0">
    <fb>45678</fb>
    <v>0</v>
  </rv>
  <rv s="0">
    <fb>135.26</fb>
    <v>1</v>
  </rv>
  <rv s="0">
    <fb>310.89999999999998</fb>
    <v>1</v>
  </rv>
  <rv s="0">
    <fb>313.75</fb>
    <v>1</v>
  </rv>
  <rv s="0">
    <fb>221.6</fb>
    <v>1</v>
  </rv>
  <rv s="0">
    <fb>179.6</fb>
    <v>1</v>
  </rv>
  <rv s="0">
    <fb>411.75</fb>
    <v>1</v>
  </rv>
  <rv s="0">
    <fb>155.19999999999999</fb>
    <v>1</v>
  </rv>
  <rv s="0">
    <fb>487.2</fb>
    <v>1</v>
  </rv>
  <rv s="0">
    <fb>230.9</fb>
    <v>1</v>
  </rv>
  <rv s="0">
    <fb>253.05</fb>
    <v>1</v>
  </rv>
  <rv s="0">
    <fb>25.98</fb>
    <v>1</v>
  </rv>
  <rv s="0">
    <fb>463.25</fb>
    <v>1</v>
  </rv>
  <rv s="0">
    <fb>109.87</fb>
    <v>1</v>
  </rv>
  <rv s="0">
    <fb>106.26</fb>
    <v>1</v>
  </rv>
  <rv s="0">
    <fb>52.05</fb>
    <v>1</v>
  </rv>
  <rv s="0">
    <fb>45679</fb>
    <v>0</v>
  </rv>
  <rv s="0">
    <fb>141.22</fb>
    <v>1</v>
  </rv>
  <rv s="0">
    <fb>214.5</fb>
    <v>1</v>
  </rv>
  <rv s="0">
    <fb>310.75</fb>
    <v>1</v>
  </rv>
  <rv s="0">
    <fb>319.2</fb>
    <v>1</v>
  </rv>
  <rv s="0">
    <fb>225.9</fb>
    <v>1</v>
  </rv>
  <rv s="0">
    <fb>180</fb>
    <v>1</v>
  </rv>
  <rv s="0">
    <fb>428.75</fb>
    <v>1</v>
  </rv>
  <rv s="0">
    <fb>158.69999999999999</fb>
    <v>1</v>
  </rv>
  <rv s="0">
    <fb>488.2</fb>
    <v>1</v>
  </rv>
  <rv s="0">
    <fb>234.8</fb>
    <v>1</v>
  </rv>
  <rv s="0">
    <fb>252.65</fb>
    <v>1</v>
  </rv>
  <rv s="0">
    <fb>26.27</fb>
    <v>1</v>
  </rv>
  <rv s="0">
    <fb>479.85</fb>
    <v>1</v>
  </rv>
  <rv s="0">
    <fb>110.955</fb>
    <v>1</v>
  </rv>
  <rv s="0">
    <fb>107.19</fb>
    <v>1</v>
  </rv>
  <rv s="0">
    <fb>52.28</fb>
    <v>1</v>
  </rv>
  <rv s="0">
    <fb>45680</fb>
    <v>0</v>
  </rv>
  <rv s="0">
    <fb>215.5</fb>
    <v>1</v>
  </rv>
  <rv s="0">
    <fb>313.25</fb>
    <v>1</v>
  </rv>
  <rv s="0">
    <fb>320.75</fb>
    <v>1</v>
  </rv>
  <rv s="0">
    <fb>225.1</fb>
    <v>1</v>
  </rv>
  <rv s="0">
    <fb>185.8</fb>
    <v>1</v>
  </rv>
  <rv s="0">
    <fb>426.75</fb>
    <v>1</v>
  </rv>
  <rv s="0">
    <fb>159.04</fb>
    <v>1</v>
  </rv>
  <rv s="0">
    <fb>491.15</fb>
    <v>1</v>
  </rv>
  <rv s="0">
    <fb>228.7</fb>
    <v>1</v>
  </rv>
  <rv s="0">
    <fb>254.2</fb>
    <v>1</v>
  </rv>
  <rv s="0">
    <fb>26.09</fb>
    <v>1</v>
  </rv>
  <rv s="0">
    <fb>476.55</fb>
    <v>1</v>
  </rv>
  <rv s="0">
    <fb>110.96</fb>
    <v>1</v>
  </rv>
  <rv s="0">
    <fb>107.33</fb>
    <v>1</v>
  </rv>
  <rv s="0">
    <fb>52.57</fb>
    <v>1</v>
  </rv>
  <rv s="0">
    <fb>45681</fb>
    <v>0</v>
  </rv>
  <rv s="0">
    <fb>136.1</fb>
    <v>1</v>
  </rv>
  <rv s="0">
    <fb>212.5</fb>
    <v>1</v>
  </rv>
  <rv s="0">
    <fb>314.85000000000002</fb>
    <v>1</v>
  </rv>
  <rv s="0">
    <fb>321</fb>
    <v>1</v>
  </rv>
  <rv s="0">
    <fb>223.75</fb>
    <v>1</v>
  </rv>
  <rv s="0">
    <fb>181.5</fb>
    <v>1</v>
  </rv>
  <rv s="0">
    <fb>422</fb>
    <v>1</v>
  </rv>
  <rv s="0">
    <fb>156.19999999999999</fb>
    <v>1</v>
  </rv>
  <rv s="0">
    <fb>491.75</fb>
    <v>1</v>
  </rv>
  <rv s="0">
    <fb>233.35</fb>
    <v>1</v>
  </rv>
  <rv s="0">
    <fb>251.95</fb>
    <v>1</v>
  </rv>
  <rv s="0">
    <fb>482.4</fb>
    <v>1</v>
  </rv>
  <rv s="0">
    <fb>110.205</fb>
    <v>1</v>
  </rv>
  <rv s="0">
    <fb>106.86</fb>
    <v>1</v>
  </rv>
  <rv s="0">
    <fb>52.42</fb>
    <v>1</v>
  </rv>
  <rv s="0">
    <fb>45684</fb>
    <v>0</v>
  </rv>
  <rv s="0">
    <fb>112.82</fb>
    <v>1</v>
  </rv>
  <rv s="0">
    <fb>182.4</fb>
    <v>1</v>
  </rv>
  <rv s="0">
    <fb>318.85000000000002</fb>
    <v>1</v>
  </rv>
  <rv s="0">
    <fb>334.5</fb>
    <v>1</v>
  </rv>
  <rv s="0">
    <fb>222.15</fb>
    <v>1</v>
  </rv>
  <rv s="0">
    <fb>130.80000000000001</fb>
    <v>1</v>
  </rv>
  <rv s="0">
    <fb>414.65</fb>
    <v>1</v>
  </rv>
  <rv s="0">
    <fb>161.16</fb>
    <v>1</v>
  </rv>
  <rv s="0">
    <fb>487.35</fb>
    <v>1</v>
  </rv>
  <rv s="0">
    <fb>195.38</fb>
    <v>1</v>
  </rv>
  <rv s="0">
    <fb>252.5</fb>
    <v>1</v>
  </rv>
  <rv s="0">
    <fb>25.84</fb>
    <v>1</v>
  </rv>
  <rv s="0">
    <fb>485.65</fb>
    <v>1</v>
  </rv>
  <rv s="0">
    <fb>108.395</fb>
    <v>1</v>
  </rv>
  <rv s="0">
    <fb>105.105</fb>
    <v>1</v>
  </rv>
  <rv s="0">
    <fb>52.22</fb>
    <v>1</v>
  </rv>
  <rv s="0">
    <fb>45685</fb>
    <v>0</v>
  </rv>
  <rv s="0">
    <fb>123.22</fb>
    <v>1</v>
  </rv>
  <rv s="0">
    <fb>193.8</fb>
    <v>1</v>
  </rv>
  <rv s="0">
    <fb>323.05</fb>
    <v>1</v>
  </rv>
  <rv s="0">
    <fb>345</fb>
    <v>1</v>
  </rv>
  <rv s="0">
    <fb>229.2</fb>
    <v>1</v>
  </rv>
  <rv s="0">
    <fb>142.15</fb>
    <v>1</v>
  </rv>
  <rv s="0">
    <fb>428.4</fb>
    <v>1</v>
  </rv>
  <rv s="0">
    <fb>159.84</fb>
    <v>1</v>
  </rv>
  <rv s="0">
    <fb>495.3</fb>
    <v>1</v>
  </rv>
  <rv s="0">
    <fb>192.8</fb>
    <v>1</v>
  </rv>
  <rv s="0">
    <fb>254.15</fb>
    <v>1</v>
  </rv>
  <rv s="0">
    <fb>25.85</fb>
    <v>1</v>
  </rv>
  <rv s="0">
    <fb>503</fb>
    <v>1</v>
  </rv>
  <rv s="0">
    <fb>110.125</fb>
    <v>1</v>
  </rv>
  <rv s="0">
    <fb>106.485</fb>
    <v>1</v>
  </rv>
  <rv s="0">
    <fb>52.3</fb>
    <v>1</v>
  </rv>
  <rv s="0">
    <fb>45686</fb>
    <v>0</v>
  </rv>
  <rv s="0">
    <fb>118.62</fb>
    <v>1</v>
  </rv>
  <rv s="0">
    <fb>194</fb>
    <v>1</v>
  </rv>
  <rv s="0">
    <fb>323.7</fb>
    <v>1</v>
  </rv>
  <rv s="0">
    <fb>340.2</fb>
    <v>1</v>
  </rv>
  <rv s="0">
    <fb>228.5</fb>
    <v>1</v>
  </rv>
  <rv s="0">
    <fb>148.75</fb>
    <v>1</v>
  </rv>
  <rv s="0">
    <fb>425.3</fb>
    <v>1</v>
  </rv>
  <rv s="0">
    <fb>160.26</fb>
    <v>1</v>
  </rv>
  <rv s="0">
    <fb>503.1</fb>
    <v>1</v>
  </rv>
  <rv s="0">
    <fb>196.38</fb>
    <v>1</v>
  </rv>
  <rv s="0">
    <fb>257.39999999999998</fb>
    <v>1</v>
  </rv>
  <rv s="0">
    <fb>25.86</fb>
    <v>1</v>
  </rv>
  <rv s="0">
    <fb>517.5</fb>
    <v>1</v>
  </rv>
  <rv s="0">
    <fb>109.86</fb>
    <v>1</v>
  </rv>
  <rv s="0">
    <fb>106.82</fb>
    <v>1</v>
  </rv>
  <rv s="0">
    <fb>52.65</fb>
    <v>1</v>
  </rv>
  <rv s="0">
    <fb>45687</fb>
    <v>0</v>
  </rv>
  <rv s="0">
    <fb>119.34</fb>
    <v>1</v>
  </rv>
  <rv s="0">
    <fb>329.6</fb>
    <v>1</v>
  </rv>
  <rv s="0">
    <fb>330.3</fb>
    <v>1</v>
  </rv>
  <rv s="0">
    <fb>226.55</fb>
    <v>1</v>
  </rv>
  <rv s="0">
    <fb>168.35</fb>
    <v>1</v>
  </rv>
  <rv s="0">
    <fb>400.5</fb>
    <v>1</v>
  </rv>
  <rv s="0">
    <fb>160.56</fb>
    <v>1</v>
  </rv>
  <rv s="0">
    <fb>495</fb>
    <v>1</v>
  </rv>
  <rv s="0">
    <fb>211.1</fb>
    <v>1</v>
  </rv>
  <rv s="0">
    <fb>258.75</fb>
    <v>1</v>
  </rv>
  <rv s="0">
    <fb>25.93</fb>
    <v>1</v>
  </rv>
  <rv s="0">
    <fb>532.70000000000005</fb>
    <v>1</v>
  </rv>
  <rv s="0">
    <fb>107.08</fb>
    <v>1</v>
  </rv>
  <rv s="0">
    <fb>53.31</fb>
    <v>1</v>
  </rv>
  <rv s="0">
    <fb>45688</fb>
    <v>0</v>
  </rv>
  <rv s="0">
    <fb>115.84</fb>
    <v>1</v>
  </rv>
  <rv s="0">
    <fb>330.75</fb>
    <v>1</v>
  </rv>
  <rv s="0">
    <fb>329.95</fb>
    <v>1</v>
  </rv>
  <rv s="0">
    <fb>228.85</fb>
    <v>1</v>
  </rv>
  <rv s="0">
    <fb>162.80000000000001</fb>
    <v>1</v>
  </rv>
  <rv s="0">
    <fb>401.55</fb>
    <v>1</v>
  </rv>
  <rv s="0">
    <fb>160.02000000000001</fb>
    <v>1</v>
  </rv>
  <rv s="0">
    <fb>511.2</fb>
    <v>1</v>
  </rv>
  <rv s="0">
    <fb>217.15</fb>
    <v>1</v>
  </rv>
  <rv s="0">
    <fb>259.75</fb>
    <v>1</v>
  </rv>
  <rv s="0">
    <fb>25.89</fb>
    <v>1</v>
  </rv>
  <rv s="0">
    <fb>537.29999999999995</fb>
    <v>1</v>
  </rv>
  <rv s="0">
    <fb>111.27500000000001</fb>
    <v>1</v>
  </rv>
  <rv s="0">
    <fb>108.18</fb>
    <v>1</v>
  </rv>
  <rv s="0">
    <fb>53.02</fb>
    <v>1</v>
  </rv>
  <rv s="0">
    <fb>45691</fb>
    <v>0</v>
  </rv>
  <rv s="0">
    <fb>113.16</fb>
    <v>1</v>
  </rv>
  <rv s="0">
    <fb>194.8</fb>
    <v>1</v>
  </rv>
  <rv s="0">
    <fb>336.45</fb>
    <v>1</v>
  </rv>
  <rv s="0">
    <fb>329.35</fb>
    <v>1</v>
  </rv>
  <rv s="0">
    <fb>230.8</fb>
    <v>1</v>
  </rv>
  <rv s="0">
    <fb>162.65</fb>
    <v>1</v>
  </rv>
  <rv s="0">
    <fb>401.15</fb>
    <v>1</v>
  </rv>
  <rv s="0">
    <fb>163.41999999999999</fb>
    <v>1</v>
  </rv>
  <rv s="0">
    <fb>501.9</fb>
    <v>1</v>
  </rv>
  <rv s="0">
    <fb>32.6</fb>
    <v>1</v>
  </rv>
  <rv s="0">
    <fb>213.3</fb>
    <v>1</v>
  </rv>
  <rv s="0">
    <fb>258.89999999999998</fb>
    <v>1</v>
  </rv>
  <rv s="0">
    <fb>25.57</fb>
    <v>1</v>
  </rv>
  <rv s="0">
    <fb>535.20000000000005</fb>
    <v>1</v>
  </rv>
  <rv s="0">
    <fb>110.54</fb>
    <v>1</v>
  </rv>
  <rv s="0">
    <fb>107.245</fb>
    <v>1</v>
  </rv>
  <rv s="0">
    <fb>52.38</fb>
    <v>1</v>
  </rv>
  <rv s="0">
    <fb>45692</fb>
    <v>0</v>
  </rv>
  <rv s="0">
    <fb>113.84</fb>
    <v>1</v>
  </rv>
  <rv s="0">
    <fb>197</fb>
    <v>1</v>
  </rv>
  <rv s="0">
    <fb>331.95</fb>
    <v>1</v>
  </rv>
  <rv s="0">
    <fb>327.75</fb>
    <v>1</v>
  </rv>
  <rv s="0">
    <fb>232.85</fb>
    <v>1</v>
  </rv>
  <rv s="0">
    <fb>162.4</fb>
    <v>1</v>
  </rv>
  <rv s="0">
    <fb>397.3</fb>
    <v>1</v>
  </rv>
  <rv s="0">
    <fb>161.66</fb>
    <v>1</v>
  </rv>
  <rv s="0">
    <fb>498</fb>
    <v>1</v>
  </rv>
  <rv s="0">
    <fb>32.4</fb>
    <v>1</v>
  </rv>
  <rv s="0">
    <fb>212.55</fb>
    <v>1</v>
  </rv>
  <rv s="0">
    <fb>257.60000000000002</fb>
    <v>1</v>
  </rv>
  <rv s="0">
    <fb>588</fb>
    <v>1</v>
  </rv>
  <rv s="0">
    <fb>110.08</fb>
    <v>1</v>
  </rv>
  <rv s="0">
    <fb>107.205</fb>
    <v>1</v>
  </rv>
  <rv s="0">
    <fb>52.92</fb>
    <v>1</v>
  </rv>
  <rv s="0">
    <fb>45693</fb>
    <v>0</v>
  </rv>
  <rv s="0">
    <fb>120</fb>
    <v>1</v>
  </rv>
  <rv s="0">
    <fb>200</fb>
    <v>1</v>
  </rv>
  <rv s="0">
    <fb>334.75</fb>
    <v>1</v>
  </rv>
  <rv s="0">
    <fb>332.05</fb>
    <v>1</v>
  </rv>
  <rv s="0">
    <fb>226.65</fb>
    <v>1</v>
  </rv>
  <rv s="0">
    <fb>162.35</fb>
    <v>1</v>
  </rv>
  <rv s="0">
    <fb>397.05</fb>
    <v>1</v>
  </rv>
  <rv s="0">
    <fb>161.97999999999999</fb>
    <v>1</v>
  </rv>
  <rv s="0">
    <fb>489.55</fb>
    <v>1</v>
  </rv>
  <rv s="0">
    <fb>33.799999999999997</fb>
    <v>1</v>
  </rv>
  <rv s="0">
    <fb>225</fb>
    <v>1</v>
  </rv>
  <rv s="0">
    <fb>258.5</fb>
    <v>1</v>
  </rv>
  <rv s="0">
    <fb>25.88</fb>
    <v>1</v>
  </rv>
  <rv s="0">
    <fb>600</fb>
    <v>1</v>
  </rv>
  <rv s="0">
    <fb>110.01</fb>
    <v>1</v>
  </rv>
  <rv s="0">
    <fb>106.91500000000001</fb>
    <v>1</v>
  </rv>
  <rv s="0">
    <fb>53.12</fb>
    <v>1</v>
  </rv>
  <rv s="0">
    <fb>45694</fb>
    <v>0</v>
  </rv>
  <rv s="0">
    <fb>123.88</fb>
    <v>1</v>
  </rv>
  <rv s="0">
    <fb>201.5</fb>
    <v>1</v>
  </rv>
  <rv s="0">
    <fb>334.25</fb>
    <v>1</v>
  </rv>
  <rv s="0">
    <fb>317.8</fb>
    <v>1</v>
  </rv>
  <rv s="0">
    <fb>229.25</fb>
    <v>1</v>
  </rv>
  <rv s="0">
    <fb>162.5</fb>
    <v>1</v>
  </rv>
  <rv s="0">
    <fb>400</fb>
    <v>1</v>
  </rv>
  <rv s="0">
    <fb>162.34</fb>
    <v>1</v>
  </rv>
  <rv s="0">
    <fb>499.95</fb>
    <v>1</v>
  </rv>
  <rv s="0">
    <fb>31.8</fb>
    <v>1</v>
  </rv>
  <rv s="0">
    <fb>263.85000000000002</fb>
    <v>1</v>
  </rv>
  <rv s="0">
    <fb>26.19</fb>
    <v>1</v>
  </rv>
  <rv s="0">
    <fb>600.5</fb>
    <v>1</v>
  </rv>
  <rv s="0">
    <fb>110.91</fb>
    <v>1</v>
  </rv>
  <rv s="0">
    <fb>108.125</fb>
    <v>1</v>
  </rv>
  <rv s="0">
    <fb>53.82</fb>
    <v>1</v>
  </rv>
  <rv s="0">
    <fb>45695</fb>
    <v>0</v>
  </rv>
  <rv s="0">
    <fb>125.66</fb>
    <v>1</v>
  </rv>
  <rv s="0">
    <fb>200.5</fb>
    <v>1</v>
  </rv>
  <rv s="0">
    <fb>337.25</fb>
    <v>1</v>
  </rv>
  <rv s="0">
    <fb>221.8</fb>
    <v>1</v>
  </rv>
  <rv s="0">
    <fb>167.9</fb>
    <v>1</v>
  </rv>
  <rv s="0">
    <fb>397.35</fb>
    <v>1</v>
  </rv>
  <rv s="0">
    <fb>162.63999999999999</fb>
    <v>1</v>
  </rv>
  <rv s="0">
    <fb>505.2</fb>
    <v>1</v>
  </rv>
  <rv s="0">
    <fb>37.200000000000003</fb>
    <v>1</v>
  </rv>
  <rv s="0">
    <fb>268.25</fb>
    <v>1</v>
  </rv>
  <rv s="0">
    <fb>26.1</fb>
    <v>1</v>
  </rv>
  <rv s="0">
    <fb>609.29999999999995</fb>
    <v>1</v>
  </rv>
  <rv s="0">
    <fb>110.83499999999999</fb>
    <v>1</v>
  </rv>
  <rv s="0">
    <fb>107.92</fb>
    <v>1</v>
  </rv>
  <rv s="0">
    <fb>53.61</fb>
    <v>1</v>
  </rv>
  <rv s="0">
    <fb>45698</fb>
    <v>0</v>
  </rv>
  <rv s="0">
    <fb>129.66</fb>
    <v>1</v>
  </rv>
  <rv s="0">
    <fb>201</fb>
    <v>1</v>
  </rv>
  <rv s="0">
    <fb>339.45</fb>
    <v>1</v>
  </rv>
  <rv s="0">
    <fb>319.5</fb>
    <v>1</v>
  </rv>
  <rv s="0">
    <fb>226.85</fb>
    <v>1</v>
  </rv>
  <rv s="0">
    <fb>164.15</fb>
    <v>1</v>
  </rv>
  <rv s="0">
    <fb>399.65</fb>
    <v>1</v>
  </rv>
  <rv s="0">
    <fb>503.3</fb>
    <v>1</v>
  </rv>
  <rv s="0">
    <fb>40.6</fb>
    <v>1</v>
  </rv>
  <rv s="0">
    <fb>227.2</fb>
    <v>1</v>
  </rv>
  <rv s="0">
    <fb>263.55</fb>
    <v>1</v>
  </rv>
  <rv s="0">
    <fb>26.48</fb>
    <v>1</v>
  </rv>
  <rv s="0">
    <fb>613.20000000000005</fb>
    <v>1</v>
  </rv>
  <rv s="0">
    <fb>111.51</fb>
    <v>1</v>
  </rv>
  <rv s="0">
    <fb>108.515</fb>
    <v>1</v>
  </rv>
  <rv s="0">
    <fb>53.98</fb>
    <v>1</v>
  </rv>
  <rv s="0">
    <fb>45699</fb>
    <v>0</v>
  </rv>
  <rv s="0">
    <fb>128.16</fb>
    <v>1</v>
  </rv>
  <rv s="0">
    <fb>337.95</fb>
    <v>1</v>
  </rv>
  <rv s="0">
    <fb>312.10000000000002</fb>
    <v>1</v>
  </rv>
  <rv s="0">
    <fb>224.05</fb>
    <v>1</v>
  </rv>
  <rv s="0">
    <fb>161.1</fb>
    <v>1</v>
  </rv>
  <rv s="0">
    <fb>397.4</fb>
    <v>1</v>
  </rv>
  <rv s="0">
    <fb>162.30000000000001</fb>
    <v>1</v>
  </rv>
  <rv s="0">
    <fb>522.6</fb>
    <v>1</v>
  </rv>
  <rv s="0">
    <fb>40.799999999999997</fb>
    <v>1</v>
  </rv>
  <rv s="0">
    <fb>225.55</fb>
    <v>1</v>
  </rv>
  <rv s="0">
    <fb>264.89999999999998</fb>
    <v>1</v>
  </rv>
  <rv s="0">
    <fb>26.63</fb>
    <v>1</v>
  </rv>
  <rv s="0">
    <fb>603.6</fb>
    <v>1</v>
  </rv>
  <rv s="0">
    <fb>111.175</fb>
    <v>1</v>
  </rv>
  <rv s="0">
    <fb>108.27500000000001</fb>
    <v>1</v>
  </rv>
  <rv s="0">
    <fb>54.41</fb>
    <v>1</v>
  </rv>
  <rv s="0">
    <fb>45700</fb>
    <v>0</v>
  </rv>
  <rv s="0">
    <fb>126.3</fb>
    <v>1</v>
  </rv>
  <rv s="0">
    <fb>198</fb>
    <v>1</v>
  </rv>
  <rv s="0">
    <fb>312.95</fb>
    <v>1</v>
  </rv>
  <rv s="0">
    <fb>220.75</fb>
    <v>1</v>
  </rv>
  <rv s="0">
    <fb>162.1</fb>
    <v>1</v>
  </rv>
  <rv s="0">
    <fb>393.1</fb>
    <v>1</v>
  </rv>
  <rv s="0">
    <fb>163.02000000000001</fb>
    <v>1</v>
  </rv>
  <rv s="0">
    <fb>514</fb>
    <v>1</v>
  </rv>
  <rv s="0">
    <fb>38</fb>
    <v>1</v>
  </rv>
  <rv s="0">
    <fb>225.35</fb>
    <v>1</v>
  </rv>
  <rv s="0">
    <fb>265</fb>
    <v>1</v>
  </rv>
  <rv s="0">
    <fb>26.51</fb>
    <v>1</v>
  </rv>
  <rv s="0">
    <fb>620.29999999999995</fb>
    <v>1</v>
  </rv>
  <rv s="0">
    <fb>110.4</fb>
    <v>1</v>
  </rv>
  <rv s="0">
    <fb>107.56</fb>
    <v>1</v>
  </rv>
  <rv s="0">
    <fb>54.71</fb>
    <v>1</v>
  </rv>
  <rv s="0">
    <fb>45701</fb>
    <v>0</v>
  </rv>
  <rv s="0">
    <fb>128.86000000000001</fb>
    <v>1</v>
  </rv>
  <rv s="0">
    <fb>193</fb>
    <v>1</v>
  </rv>
  <rv s="0">
    <fb>339.3</fb>
    <v>1</v>
  </rv>
  <rv s="0">
    <fb>311.2</fb>
    <v>1</v>
  </rv>
  <rv s="0">
    <fb>219.45</fb>
    <v>1</v>
  </rv>
  <rv s="0">
    <fb>157.65</fb>
    <v>1</v>
  </rv>
  <rv s="0">
    <fb>393.35</fb>
    <v>1</v>
  </rv>
  <rv s="0">
    <fb>163.63999999999999</fb>
    <v>1</v>
  </rv>
  <rv s="0">
    <fb>514.79999999999995</fb>
    <v>1</v>
  </rv>
  <rv s="0">
    <fb>40</fb>
    <v>1</v>
  </rv>
  <rv s="0">
    <fb>222.2</fb>
    <v>1</v>
  </rv>
  <rv s="0">
    <fb>263.14999999999998</fb>
    <v>1</v>
  </rv>
  <rv s="0">
    <fb>26.95</fb>
    <v>1</v>
  </rv>
  <rv s="0">
    <fb>620.5</fb>
    <v>1</v>
  </rv>
  <rv s="0">
    <fb>110.88</fb>
    <v>1</v>
  </rv>
  <rv s="0">
    <fb>55.1</fb>
    <v>1</v>
  </rv>
  <rv s="0">
    <fb>45702</fb>
    <v>0</v>
  </rv>
  <rv s="0">
    <fb>132.30000000000001</fb>
    <v>1</v>
  </rv>
  <rv s="0">
    <fb>195</fb>
    <v>1</v>
  </rv>
  <rv s="0">
    <fb>336.6</fb>
    <v>1</v>
  </rv>
  <rv s="0">
    <fb>310.5</fb>
    <v>1</v>
  </rv>
  <rv s="0">
    <fb>217.85</fb>
    <v>1</v>
  </rv>
  <rv s="0">
    <fb>159.69999999999999</fb>
    <v>1</v>
  </rv>
  <rv s="0">
    <fb>389.65</fb>
    <v>1</v>
  </rv>
  <rv s="0">
    <fb>154.88</fb>
    <v>1</v>
  </rv>
  <rv s="0">
    <fb>517.4</fb>
    <v>1</v>
  </rv>
  <rv s="0">
    <fb>42.6</fb>
    <v>1</v>
  </rv>
  <rv s="0">
    <fb>222.9</fb>
    <v>1</v>
  </rv>
  <rv s="0">
    <fb>264.3</fb>
    <v>1</v>
  </rv>
  <rv s="0">
    <fb>26.89</fb>
    <v>1</v>
  </rv>
  <rv s="0">
    <fb>600.6</fb>
    <v>1</v>
  </rv>
  <rv s="0">
    <fb>110.44499999999999</fb>
    <v>1</v>
  </rv>
  <rv s="0">
    <fb>107.875</fb>
    <v>1</v>
  </rv>
  <rv s="0">
    <fb>55.32</fb>
    <v>1</v>
  </rv>
  <rv s="0">
    <fb>45705</fb>
    <v>0</v>
  </rv>
  <rv s="0">
    <fb>133.28</fb>
    <v>1</v>
  </rv>
  <rv s="0">
    <fb>196.2</fb>
    <v>1</v>
  </rv>
  <rv s="0">
    <fb>341.85</fb>
    <v>1</v>
  </rv>
  <rv s="0">
    <fb>314.75</fb>
    <v>1</v>
  </rv>
  <rv s="0">
    <fb>157</fb>
    <v>1</v>
  </rv>
  <rv s="0">
    <fb>390.55</fb>
    <v>1</v>
  </rv>
  <rv s="0">
    <fb>157.18</fb>
    <v>1</v>
  </rv>
  <rv s="0">
    <fb>521.1</fb>
    <v>1</v>
  </rv>
  <rv s="0">
    <fb>49.8</fb>
    <v>1</v>
  </rv>
  <rv s="0">
    <fb>221.9</fb>
    <v>1</v>
  </rv>
  <rv s="0">
    <fb>266.60000000000002</fb>
    <v>1</v>
  </rv>
  <rv s="0">
    <fb>26.29</fb>
    <v>1</v>
  </rv>
  <rv s="0">
    <fb>612.4</fb>
    <v>1</v>
  </rv>
  <rv s="0">
    <fb>110.91500000000001</fb>
    <v>1</v>
  </rv>
  <rv s="0">
    <fb>108.41</fb>
    <v>1</v>
  </rv>
  <rv s="0">
    <fb>55.62</fb>
    <v>1</v>
  </rv>
  <rv s="0">
    <fb>45706</fb>
    <v>0</v>
  </rv>
  <rv s="0">
    <fb>132.91999999999999</fb>
    <v>1</v>
  </rv>
  <rv s="0">
    <fb>340.45</fb>
    <v>1</v>
  </rv>
  <rv s="0">
    <fb>215.35</fb>
    <v>1</v>
  </rv>
  <rv s="0">
    <fb>391.4</fb>
    <v>1</v>
  </rv>
  <rv s="0">
    <fb>158.18</fb>
    <v>1</v>
  </rv>
  <rv s="0">
    <fb>518.20000000000005</fb>
    <v>1</v>
  </rv>
  <rv s="0">
    <fb>45.2</fb>
    <v>1</v>
  </rv>
  <rv s="0">
    <fb>217.4</fb>
    <v>1</v>
  </rv>
  <rv s="0">
    <fb>267.2</fb>
    <v>1</v>
  </rv>
  <rv s="0">
    <fb>25.66</fb>
    <v>1</v>
  </rv>
  <rv s="0">
    <fb>604.6</fb>
    <v>1</v>
  </rv>
  <rv s="0">
    <fb>111.12</fb>
    <v>1</v>
  </rv>
  <rv s="0">
    <fb>108.45</fb>
    <v>1</v>
  </rv>
  <rv s="0">
    <fb>55.8</fb>
    <v>1</v>
  </rv>
  <rv s="0">
    <fb>45707</fb>
    <v>0</v>
  </rv>
  <rv s="0">
    <fb>134.02000000000001</fb>
    <v>1</v>
  </rv>
  <rv s="0">
    <fb>341.55</fb>
    <v>1</v>
  </rv>
  <rv s="0">
    <fb>310.2</fb>
    <v>1</v>
  </rv>
  <rv s="0">
    <fb>217.25</fb>
    <v>1</v>
  </rv>
  <rv s="0">
    <fb>161.80000000000001</fb>
    <v>1</v>
  </rv>
  <rv s="0">
    <fb>397.95</fb>
    <v>1</v>
  </rv>
  <rv s="0">
    <fb>159.47999999999999</fb>
    <v>1</v>
  </rv>
  <rv s="0">
    <fb>520.79999999999995</fb>
    <v>1</v>
  </rv>
  <rv s="0">
    <fb>42.8</fb>
    <v>1</v>
  </rv>
  <rv s="0">
    <fb>218.95</fb>
    <v>1</v>
  </rv>
  <rv s="0">
    <fb>268.5</fb>
    <v>1</v>
  </rv>
  <rv s="0">
    <fb>25.14</fb>
    <v>1</v>
  </rv>
  <rv s="0">
    <fb>613</fb>
    <v>1</v>
  </rv>
  <rv s="0">
    <fb>111.87</fb>
    <v>1</v>
  </rv>
  <rv s="0">
    <fb>108.82</fb>
    <v>1</v>
  </rv>
  <rv s="0">
    <fb>55</fb>
    <v>1</v>
  </rv>
  <rv s="0">
    <fb>45708</fb>
    <v>0</v>
  </rv>
  <rv s="0">
    <fb>133.26</fb>
    <v>1</v>
  </rv>
  <rv s="0">
    <fb>190.6</fb>
    <v>1</v>
  </rv>
  <rv s="0">
    <fb>333.8</fb>
    <v>1</v>
  </rv>
  <rv s="0">
    <fb>305.7</fb>
    <v>1</v>
  </rv>
  <rv s="0">
    <fb>212.1</fb>
    <v>1</v>
  </rv>
  <rv s="0">
    <fb>154.9</fb>
    <v>1</v>
  </rv>
  <rv s="0">
    <fb>395.8</fb>
    <v>1</v>
  </rv>
  <rv s="0">
    <fb>158.86000000000001</fb>
    <v>1</v>
  </rv>
  <rv s="0">
    <fb>513.70000000000005</fb>
    <v>1</v>
  </rv>
  <rv s="0">
    <fb>44.6</fb>
    <v>1</v>
  </rv>
  <rv s="0">
    <fb>254.8</fb>
    <v>1</v>
  </rv>
  <rv s="0">
    <fb>25.11</fb>
    <v>1</v>
  </rv>
  <rv s="0">
    <fb>604.5</fb>
    <v>1</v>
  </rv>
  <rv s="0">
    <fb>110.21</fb>
    <v>1</v>
  </rv>
  <rv s="0">
    <fb>107.78</fb>
    <v>1</v>
  </rv>
  <rv s="0">
    <fb>55.01</fb>
    <v>1</v>
  </rv>
  <rv s="0">
    <fb>45709</fb>
    <v>0</v>
  </rv>
  <rv s="0">
    <fb>128.54</fb>
    <v>1</v>
  </rv>
  <rv s="0">
    <fb>188</fb>
    <v>1</v>
  </rv>
  <rv s="0">
    <fb>295.10000000000002</fb>
    <v>1</v>
  </rv>
  <rv s="0">
    <fb>207.35</fb>
    <v>1</v>
  </rv>
  <rv s="0">
    <fb>143.80000000000001</fb>
    <v>1</v>
  </rv>
  <rv s="0">
    <fb>390.4</fb>
    <v>1</v>
  </rv>
  <rv s="0">
    <fb>513.4</fb>
    <v>1</v>
  </rv>
  <rv s="0">
    <fb>213.5</fb>
    <v>1</v>
  </rv>
  <rv s="0">
    <fb>253.15</fb>
    <v>1</v>
  </rv>
  <rv s="0">
    <fb>25.22</fb>
    <v>1</v>
  </rv>
  <rv s="0">
    <fb>608.29999999999995</fb>
    <v>1</v>
  </rv>
  <rv s="0">
    <fb>109.52</fb>
    <v>1</v>
  </rv>
  <rv s="0">
    <fb>107.825</fb>
    <v>1</v>
  </rv>
  <rv s="0">
    <fb>54.87</fb>
    <v>1</v>
  </rv>
  <rv s="0">
    <fb>45712</fb>
    <v>0</v>
  </rv>
  <rv s="0">
    <fb>125.06</fb>
    <v>1</v>
  </rv>
  <rv s="0">
    <fb>183</fb>
    <v>1</v>
  </rv>
  <rv s="0">
    <fb>294.45</fb>
    <v>1</v>
  </rv>
  <rv s="0">
    <fb>202.9</fb>
    <v>1</v>
  </rv>
  <rv s="0">
    <fb>137.15</fb>
    <v>1</v>
  </rv>
  <rv s="0">
    <fb>386.6</fb>
    <v>1</v>
  </rv>
  <rv s="0">
    <fb>162.9</fb>
    <v>1</v>
  </rv>
  <rv s="0">
    <fb>511.1</fb>
    <v>1</v>
  </rv>
  <rv s="0">
    <fb>36</fb>
    <v>1</v>
  </rv>
  <rv s="0">
    <fb>249.9</fb>
    <v>1</v>
  </rv>
  <rv s="0">
    <fb>25.24</fb>
    <v>1</v>
  </rv>
  <rv s="0">
    <fb>577.29999999999995</fb>
    <v>1</v>
  </rv>
  <rv s="0">
    <fb>109.105</fb>
    <v>1</v>
  </rv>
  <rv s="0">
    <fb>106.63</fb>
    <v>1</v>
  </rv>
  <rv s="0">
    <fb>54.93</fb>
    <v>1</v>
  </rv>
  <rv s="0">
    <fb>45713</fb>
    <v>0</v>
  </rv>
  <rv s="0">
    <fb>120.58</fb>
    <v>1</v>
  </rv>
  <rv s="0">
    <fb>179.2</fb>
    <v>1</v>
  </rv>
  <rv s="0">
    <fb>333.7</fb>
    <v>1</v>
  </rv>
  <rv s="0">
    <fb>291.10000000000002</fb>
    <v>1</v>
  </rv>
  <rv s="0">
    <fb>202.75</fb>
    <v>1</v>
  </rv>
  <rv s="0">
    <fb>130.5</fb>
    <v>1</v>
  </rv>
  <rv s="0">
    <fb>378.15</fb>
    <v>1</v>
  </rv>
  <rv s="0">
    <fb>163.88</fb>
    <v>1</v>
  </rv>
  <rv s="0">
    <fb>503.8</fb>
    <v>1</v>
  </rv>
  <rv s="0">
    <fb>33.4</fb>
    <v>1</v>
  </rv>
  <rv s="0">
    <fb>192.04</fb>
    <v>1</v>
  </rv>
  <rv s="0">
    <fb>244</fb>
    <v>1</v>
  </rv>
  <rv s="0">
    <fb>24.62</fb>
    <v>1</v>
  </rv>
  <rv s="0">
    <fb>552</fb>
    <v>1</v>
  </rv>
  <rv s="0">
    <fb>107.75</fb>
    <v>1</v>
  </rv>
  <rv s="0">
    <fb>105</fb>
    <v>1</v>
  </rv>
  <rv s="0">
    <fb>55.07</fb>
    <v>1</v>
  </rv>
  <rv s="0">
    <fb>45714</fb>
    <v>0</v>
  </rv>
  <rv s="0">
    <fb>125.34</fb>
    <v>1</v>
  </rv>
  <rv s="0">
    <fb>185.4</fb>
    <v>1</v>
  </rv>
  <rv s="0">
    <fb>333.9</fb>
    <v>1</v>
  </rv>
  <rv s="0">
    <fb>295.55</fb>
    <v>1</v>
  </rv>
  <rv s="0">
    <fb>204.65</fb>
    <v>1</v>
  </rv>
  <rv s="0">
    <fb>140.85</fb>
    <v>1</v>
  </rv>
  <rv s="0">
    <fb>380.3</fb>
    <v>1</v>
  </rv>
  <rv s="0">
    <fb>508</fb>
    <v>1</v>
  </rv>
  <rv s="0">
    <fb>34.799999999999997</fb>
    <v>1</v>
  </rv>
  <rv s="0">
    <fb>202.7</fb>
    <v>1</v>
  </rv>
  <rv s="0">
    <fb>247</fb>
    <v>1</v>
  </rv>
  <rv s="0">
    <fb>24.65</fb>
    <v>1</v>
  </rv>
  <rv s="0">
    <fb>576.29999999999995</fb>
    <v>1</v>
  </rv>
  <rv s="0">
    <fb>107.565</fb>
    <v>1</v>
  </rv>
  <rv s="0">
    <fb>106.38500000000001</fb>
    <v>1</v>
  </rv>
  <rv s="0">
    <fb>55.26</fb>
    <v>1</v>
  </rv>
  <rv s="0">
    <fb>45715</fb>
    <v>0</v>
  </rv>
  <rv s="0">
    <fb>115.5</fb>
    <v>1</v>
  </rv>
  <rv s="0">
    <fb>174</fb>
    <v>1</v>
  </rv>
  <rv s="0">
    <fb>341.4</fb>
    <v>1</v>
  </rv>
  <rv s="0">
    <fb>290.3</fb>
    <v>1</v>
  </rv>
  <rv s="0">
    <fb>200.7</fb>
    <v>1</v>
  </rv>
  <rv s="0">
    <fb>125.05</fb>
    <v>1</v>
  </rv>
  <rv s="0">
    <fb>378.4</fb>
    <v>1</v>
  </rv>
  <rv s="0">
    <fb>165.12</fb>
    <v>1</v>
  </rv>
  <rv s="0">
    <fb>509.2</fb>
    <v>1</v>
  </rv>
  <rv s="0">
    <fb>30</fb>
    <v>1</v>
  </rv>
  <rv s="0">
    <fb>251.8</fb>
    <v>1</v>
  </rv>
  <rv s="0">
    <fb>24.49</fb>
    <v>1</v>
  </rv>
  <rv s="0">
    <fb>580.9</fb>
    <v>1</v>
  </rv>
  <rv s="0">
    <fb>107.29</fb>
    <v>1</v>
  </rv>
  <rv s="0">
    <fb>106.575</fb>
    <v>1</v>
  </rv>
  <rv s="0">
    <fb>54.77</fb>
    <v>1</v>
  </rv>
  <rv s="0">
    <fb>45716</fb>
    <v>0</v>
  </rv>
  <rv s="0">
    <fb>120.2</fb>
    <v>1</v>
  </rv>
  <rv s="0">
    <fb>173.4</fb>
    <v>1</v>
  </rv>
  <rv s="0">
    <fb>348.7</fb>
    <v>1</v>
  </rv>
  <rv s="0">
    <fb>283.60000000000002</fb>
    <v>1</v>
  </rv>
  <rv s="0">
    <fb>126.6</fb>
    <v>1</v>
  </rv>
  <rv s="0">
    <fb>379.05</fb>
    <v>1</v>
  </rv>
  <rv s="0">
    <fb>165.94</fb>
    <v>1</v>
  </rv>
  <rv s="0">
    <fb>510.1</fb>
    <v>1</v>
  </rv>
  <rv s="0">
    <fb>30.8</fb>
    <v>1</v>
  </rv>
  <rv s="0">
    <fb>191.92</fb>
    <v>1</v>
  </rv>
  <rv s="0">
    <fb>251.5</fb>
    <v>1</v>
  </rv>
  <rv s="0">
    <fb>24.39</fb>
    <v>1</v>
  </rv>
  <rv s="0">
    <fb>570.1</fb>
    <v>1</v>
  </rv>
  <rv s="0">
    <fb>107.12</fb>
    <v>1</v>
  </rv>
  <rv s="0">
    <fb>105.44499999999999</fb>
    <v>1</v>
  </rv>
  <rv s="0">
    <fb>54.58</fb>
    <v>1</v>
  </rv>
  <rv s="0">
    <fb>45719</fb>
    <v>0</v>
  </rv>
  <rv s="0">
    <fb>108.88</fb>
    <v>1</v>
  </rv>
  <rv s="0">
    <fb>164.2</fb>
    <v>1</v>
  </rv>
  <rv s="0">
    <fb>346.85</fb>
    <v>1</v>
  </rv>
  <rv s="0">
    <fb>279.75</fb>
    <v>1</v>
  </rv>
  <rv s="0">
    <fb>193.88</fb>
    <v>1</v>
  </rv>
  <rv s="0">
    <fb>116.2</fb>
    <v>1</v>
  </rv>
  <rv s="0">
    <fb>370.2</fb>
    <v>1</v>
  </rv>
  <rv s="0">
    <fb>166.8</fb>
    <v>1</v>
  </rv>
  <rv s="0">
    <fb>504.2</fb>
    <v>1</v>
  </rv>
  <rv s="0">
    <fb>29.2</fb>
    <v>1</v>
  </rv>
  <rv s="0">
    <fb>186.14</fb>
    <v>1</v>
  </rv>
  <rv s="0">
    <fb>250.15</fb>
    <v>1</v>
  </rv>
  <rv s="0">
    <fb>23.79</fb>
    <v>1</v>
  </rv>
  <rv s="0">
    <fb>581</fb>
    <v>1</v>
  </rv>
  <rv s="0">
    <fb>106.69</fb>
    <v>1</v>
  </rv>
  <rv s="0">
    <fb>105.75</fb>
    <v>1</v>
  </rv>
  <rv s="0">
    <fb>55.6</fb>
    <v>1</v>
  </rv>
  <rv s="0">
    <fb>45720</fb>
    <v>0</v>
  </rv>
  <rv s="0">
    <fb>109.28</fb>
    <v>1</v>
  </rv>
  <rv s="0">
    <fb>170.6</fb>
    <v>1</v>
  </rv>
  <rv s="0">
    <fb>335.05</fb>
    <v>1</v>
  </rv>
  <rv s="0">
    <fb>270.60000000000002</fb>
    <v>1</v>
  </rv>
  <rv s="0">
    <fb>192.3</fb>
    <v>1</v>
  </rv>
  <rv s="0">
    <fb>123.5</fb>
    <v>1</v>
  </rv>
  <rv s="0">
    <fb>365.8</fb>
    <v>1</v>
  </rv>
  <rv s="0">
    <fb>164</fb>
    <v>1</v>
  </rv>
  <rv s="0">
    <fb>174.22</fb>
    <v>1</v>
  </rv>
  <rv s="0">
    <fb>238.2</fb>
    <v>1</v>
  </rv>
  <rv s="0">
    <fb>23.28</fb>
    <v>1</v>
  </rv>
  <rv s="0">
    <fb>537.6</fb>
    <v>1</v>
  </rv>
  <rv s="0">
    <fb>103.48</fb>
    <v>1</v>
  </rv>
  <rv s="0">
    <fb>102.21</fb>
    <v>1</v>
  </rv>
  <rv s="0">
    <fb>55.3</fb>
    <v>1</v>
  </rv>
  <rv s="0">
    <fb>45721</fb>
    <v>0</v>
  </rv>
  <rv s="0">
    <fb>170.4</fb>
    <v>1</v>
  </rv>
  <rv s="0">
    <fb>326.05</fb>
    <v>1</v>
  </rv>
  <rv s="0">
    <fb>271</fb>
    <v>1</v>
  </rv>
  <rv s="0">
    <fb>193.32</fb>
    <v>1</v>
  </rv>
  <rv s="0">
    <fb>117.55</fb>
    <v>1</v>
  </rv>
  <rv s="0">
    <fb>371.1</fb>
    <v>1</v>
  </rv>
  <rv s="0">
    <fb>161.58000000000001</fb>
    <v>1</v>
  </rv>
  <rv s="0">
    <fb>482.65</fb>
    <v>1</v>
  </rv>
  <rv s="0">
    <fb>28.8</fb>
    <v>1</v>
  </rv>
  <rv s="0">
    <fb>174.14</fb>
    <v>1</v>
  </rv>
  <rv s="0">
    <fb>233.6</fb>
    <v>1</v>
  </rv>
  <rv s="0">
    <fb>24.19</fb>
    <v>1</v>
  </rv>
  <rv s="0">
    <fb>530.5</fb>
    <v>1</v>
  </rv>
  <rv s="0">
    <fb>102.16500000000001</fb>
    <v>1</v>
  </rv>
  <rv s="0">
    <fb>100.745</fb>
    <v>1</v>
  </rv>
  <rv s="0">
    <fb>55.83</fb>
    <v>1</v>
  </rv>
  <rv s="0">
    <fb>45722</fb>
    <v>0</v>
  </rv>
  <rv s="0">
    <fb>102.78</fb>
    <v>1</v>
  </rv>
  <rv s="0">
    <fb>163.6</fb>
    <v>1</v>
  </rv>
  <rv s="0">
    <fb>318.10000000000002</fb>
    <v>1</v>
  </rv>
  <rv s="0">
    <fb>265.2</fb>
    <v>1</v>
  </rv>
  <rv s="0">
    <fb>185</fb>
    <v>1</v>
  </rv>
  <rv s="0">
    <fb>368</fb>
    <v>1</v>
  </rv>
  <rv s="0">
    <fb>161.63999999999999</fb>
    <v>1</v>
  </rv>
  <rv s="0">
    <fb>474.5</fb>
    <v>1</v>
  </rv>
  <rv s="0">
    <fb>169.26</fb>
    <v>1</v>
  </rv>
  <rv s="0">
    <fb>227.3</fb>
    <v>1</v>
  </rv>
  <rv s="0">
    <fb>20.399999999999999</fb>
    <v>1</v>
  </rv>
  <rv s="0">
    <fb>528.6</fb>
    <v>1</v>
  </rv>
  <rv s="0">
    <fb>100.63</fb>
    <v>1</v>
  </rv>
  <rv s="0">
    <fb>101.045</fb>
    <v>1</v>
  </rv>
  <rv s="0">
    <fb>55.16</fb>
    <v>1</v>
  </rv>
  <rv s="0">
    <fb>45723</fb>
    <v>0</v>
  </rv>
  <rv s="0">
    <fb>103.98</fb>
    <v>1</v>
  </rv>
  <rv s="0">
    <fb>159.80000000000001</fb>
    <v>1</v>
  </rv>
  <rv s="0">
    <fb>317.45</fb>
    <v>1</v>
  </rv>
  <rv s="0">
    <fb>259.60000000000002</fb>
    <v>1</v>
  </rv>
  <rv s="0">
    <fb>183.24</fb>
    <v>1</v>
  </rv>
  <rv s="0">
    <fb>106</fb>
    <v>1</v>
  </rv>
  <rv s="0">
    <fb>363.2</fb>
    <v>1</v>
  </rv>
  <rv s="0">
    <fb>162.62</fb>
    <v>1</v>
  </rv>
  <rv s="0">
    <fb>460.25</fb>
    <v>1</v>
  </rv>
  <rv s="0">
    <fb>24.6</fb>
    <v>1</v>
  </rv>
  <rv s="0">
    <fb>170.76</fb>
    <v>1</v>
  </rv>
  <rv s="0">
    <fb>223</fb>
    <v>1</v>
  </rv>
  <rv s="0">
    <fb>20.86</fb>
    <v>1</v>
  </rv>
  <rv s="0">
    <fb>472.1</fb>
    <v>1</v>
  </rv>
  <rv s="0">
    <fb>100.97499999999999</fb>
    <v>1</v>
  </rv>
  <rv s="0">
    <fb>99.17</fb>
    <v>1</v>
  </rv>
  <rv s="0">
    <fb>55.39</fb>
    <v>1</v>
  </rv>
  <rv s="0">
    <fb>45726</fb>
    <v>0</v>
  </rv>
  <rv s="0">
    <fb>98.67</fb>
    <v>1</v>
  </rv>
  <rv s="0">
    <fb>314.14999999999998</fb>
    <v>1</v>
  </rv>
  <rv s="0">
    <fb>250.5</fb>
    <v>1</v>
  </rv>
  <rv s="0">
    <fb>179.48</fb>
    <v>1</v>
  </rv>
  <rv s="0">
    <fb>100.6</fb>
    <v>1</v>
  </rv>
  <rv s="0">
    <fb>351.8</fb>
    <v>1</v>
  </rv>
  <rv s="0">
    <fb>163.18</fb>
    <v>1</v>
  </rv>
  <rv s="0">
    <fb>450.15</fb>
    <v>1</v>
  </rv>
  <rv s="0">
    <fb>24.2</fb>
    <v>1</v>
  </rv>
  <rv s="0">
    <fb>169.64</fb>
    <v>1</v>
  </rv>
  <rv s="0">
    <fb>214.2</fb>
    <v>1</v>
  </rv>
  <rv s="0">
    <fb>21.29</fb>
    <v>1</v>
  </rv>
  <rv s="0">
    <fb>458.5</fb>
    <v>1</v>
  </rv>
  <rv s="0">
    <fb>97.831999999999994</fb>
    <v>1</v>
  </rv>
  <rv s="0">
    <fb>98.43</fb>
    <v>1</v>
  </rv>
  <rv s="0">
    <fb>45727</fb>
    <v>0</v>
  </rv>
  <rv s="0">
    <fb>99.51</fb>
    <v>1</v>
  </rv>
  <rv s="0">
    <fb>158.19999999999999</fb>
    <v>1</v>
  </rv>
  <rv s="0">
    <fb>303.10000000000002</fb>
    <v>1</v>
  </rv>
  <rv s="0">
    <fb>254.35</fb>
    <v>1</v>
  </rv>
  <rv s="0">
    <fb>179.64</fb>
    <v>1</v>
  </rv>
  <rv s="0">
    <fb>104.8</fb>
    <v>1</v>
  </rv>
  <rv s="0">
    <fb>348.45</fb>
    <v>1</v>
  </rv>
  <rv s="0">
    <fb>158.36000000000001</fb>
    <v>1</v>
  </rv>
  <rv s="0">
    <fb>443.4</fb>
    <v>1</v>
  </rv>
  <rv s="0">
    <fb>23.6</fb>
    <v>1</v>
  </rv>
  <rv s="0">
    <fb>175.3</fb>
    <v>1</v>
  </rv>
  <rv s="0">
    <fb>210.35</fb>
    <v>1</v>
  </rv>
  <rv s="0">
    <fb>20.67</fb>
    <v>1</v>
  </rv>
  <rv s="0">
    <fb>467.4</fb>
    <v>1</v>
  </rv>
  <rv s="0">
    <fb>96.96</fb>
    <v>1</v>
  </rv>
  <rv s="0">
    <fb>96.39</fb>
    <v>1</v>
  </rv>
  <rv s="0">
    <fb>53.86</fb>
    <v>1</v>
  </rv>
  <rv s="0">
    <fb>45728</fb>
    <v>0</v>
  </rv>
  <rv s="0">
    <fb>162.6</fb>
    <v>1</v>
  </rv>
  <rv s="0">
    <fb>262</fb>
    <v>1</v>
  </rv>
  <rv s="0">
    <fb>181.92</fb>
    <v>1</v>
  </rv>
  <rv s="0">
    <fb>115</fb>
    <v>1</v>
  </rv>
  <rv s="0">
    <fb>350.55</fb>
    <v>1</v>
  </rv>
  <rv s="0">
    <fb>154.84</fb>
    <v>1</v>
  </rv>
  <rv s="0">
    <fb>441.8</fb>
    <v>1</v>
  </rv>
  <rv s="0">
    <fb>25</fb>
    <v>1</v>
  </rv>
  <rv s="0">
    <fb>180.94</fb>
    <v>1</v>
  </rv>
  <rv s="0">
    <fb>211.2</fb>
    <v>1</v>
  </rv>
  <rv s="0">
    <fb>20.32</fb>
    <v>1</v>
  </rv>
  <rv s="0">
    <fb>97.501999999999995</fb>
    <v>1</v>
  </rv>
  <rv s="0">
    <fb>97.394999999999996</fb>
    <v>1</v>
  </rv>
  <rv s="0">
    <fb>45729</fb>
    <v>0</v>
  </rv>
  <rv s="0">
    <fb>158.6</fb>
    <v>1</v>
  </rv>
  <rv s="0">
    <fb>303.35000000000002</fb>
    <v>1</v>
  </rv>
  <rv s="0">
    <fb>250.9</fb>
    <v>1</v>
  </rv>
  <rv s="0">
    <fb>178.94</fb>
    <v>1</v>
  </rv>
  <rv s="0">
    <fb>108.9</fb>
    <v>1</v>
  </rv>
  <rv s="0">
    <fb>350.45</fb>
    <v>1</v>
  </rv>
  <rv s="0">
    <fb>155.18</fb>
    <v>1</v>
  </rv>
  <rv s="0">
    <fb>444.25</fb>
    <v>1</v>
  </rv>
  <rv s="0">
    <fb>177.84</fb>
    <v>1</v>
  </rv>
  <rv s="0">
    <fb>206.7</fb>
    <v>1</v>
  </rv>
  <rv s="0">
    <fb>20.149999999999999</fb>
    <v>1</v>
  </rv>
  <rv s="0">
    <fb>493.2</fb>
    <v>1</v>
  </rv>
  <rv s="0">
    <fb>96.93</fb>
    <v>1</v>
  </rv>
  <rv s="0">
    <fb>96.724999999999994</fb>
    <v>1</v>
  </rv>
  <rv s="0">
    <fb>53.6</fb>
    <v>1</v>
  </rv>
  <rv s="0">
    <fb>45730</fb>
    <v>0</v>
  </rv>
  <rv s="0">
    <fb>111.48</fb>
    <v>1</v>
  </rv>
  <rv s="0">
    <fb>159.6</fb>
    <v>1</v>
  </rv>
  <rv s="0">
    <fb>256.75</fb>
    <v>1</v>
  </rv>
  <rv s="0">
    <fb>181.84</fb>
    <v>1</v>
  </rv>
  <rv s="0">
    <fb>114.65</fb>
    <v>1</v>
  </rv>
  <rv s="0">
    <fb>355.85</fb>
    <v>1</v>
  </rv>
  <rv s="0">
    <fb>154.47999999999999</fb>
    <v>1</v>
  </rv>
  <rv s="0">
    <fb>446.15</fb>
    <v>1</v>
  </rv>
  <rv s="0">
    <fb>26.6</fb>
    <v>1</v>
  </rv>
  <rv s="0">
    <fb>179.38</fb>
    <v>1</v>
  </rv>
  <rv s="0">
    <fb>213.7</fb>
    <v>1</v>
  </rv>
  <rv s="0">
    <fb>19.975000000000001</fb>
    <v>1</v>
  </rv>
  <rv s="0">
    <fb>522.9</fb>
    <v>1</v>
  </rv>
  <rv s="0">
    <fb>98.245999999999995</fb>
    <v>1</v>
  </rv>
  <rv s="0">
    <fb>97.814999999999998</fb>
    <v>1</v>
  </rv>
  <rv s="0">
    <fb>54.61</fb>
    <v>1</v>
  </rv>
  <rv s="0">
    <fb>45733</fb>
    <v>0</v>
  </rv>
  <rv s="0">
    <fb>109.38</fb>
    <v>1</v>
  </rv>
  <rv s="0">
    <fb>307.5</fb>
    <v>1</v>
  </rv>
  <rv s="0">
    <fb>257.05</fb>
    <v>1</v>
  </rv>
  <rv s="0">
    <fb>179.24</fb>
    <v>1</v>
  </rv>
  <rv s="0">
    <fb>117.1</fb>
    <v>1</v>
  </rv>
  <rv s="0">
    <fb>355.75</fb>
    <v>1</v>
  </rv>
  <rv s="0">
    <fb>155.68</fb>
    <v>1</v>
  </rv>
  <rv s="0">
    <fb>453.85</fb>
    <v>1</v>
  </rv>
  <rv s="0">
    <fb>25.6</fb>
    <v>1</v>
  </rv>
  <rv s="0">
    <fb>176.14</fb>
    <v>1</v>
  </rv>
  <rv s="0">
    <fb>214.4</fb>
    <v>1</v>
  </rv>
  <rv s="0">
    <fb>19.95</fb>
    <v>1</v>
  </rv>
  <rv s="0">
    <fb>534.79999999999995</fb>
    <v>1</v>
  </rv>
  <rv s="0">
    <fb>99.08</fb>
    <v>1</v>
  </rv>
  <rv s="0">
    <fb>98.25</fb>
    <v>1</v>
  </rv>
  <rv s="0">
    <fb>54.94</fb>
    <v>1</v>
  </rv>
  <rv s="0">
    <fb>45734</fb>
    <v>0</v>
  </rv>
  <rv s="0">
    <fb>105.28</fb>
    <v>1</v>
  </rv>
  <rv s="0">
    <fb>306.05</fb>
    <v>1</v>
  </rv>
  <rv s="0">
    <fb>255.35</fb>
    <v>1</v>
  </rv>
  <rv s="0">
    <fb>176.06</fb>
    <v>1</v>
  </rv>
  <rv s="0">
    <fb>114.35</fb>
    <v>1</v>
  </rv>
  <rv s="0">
    <fb>350.4</fb>
    <v>1</v>
  </rv>
  <rv s="0">
    <fb>153.02000000000001</fb>
    <v>1</v>
  </rv>
  <rv s="0">
    <fb>445</fb>
    <v>1</v>
  </rv>
  <rv s="0">
    <fb>24.8</fb>
    <v>1</v>
  </rv>
  <rv s="0">
    <fb>19.829999999999998</fb>
    <v>1</v>
  </rv>
  <rv s="0">
    <fb>530</fb>
    <v>1</v>
  </rv>
  <rv s="0">
    <fb>97.462000000000003</fb>
    <v>1</v>
  </rv>
  <rv s="0">
    <fb>97.864999999999995</fb>
    <v>1</v>
  </rv>
  <rv s="0">
    <fb>55.06</fb>
    <v>1</v>
  </rv>
  <rv s="0">
    <fb>45735</fb>
    <v>0</v>
  </rv>
  <rv s="0">
    <fb>107.86</fb>
    <v>1</v>
  </rv>
  <rv s="0">
    <fb>160</fb>
    <v>1</v>
  </rv>
  <rv s="0">
    <fb>256.64999999999998</fb>
    <v>1</v>
  </rv>
  <rv s="0">
    <fb>179.42</fb>
    <v>1</v>
  </rv>
  <rv s="0">
    <fb>118.75</fb>
    <v>1</v>
  </rv>
  <rv s="0">
    <fb>356.65</fb>
    <v>1</v>
  </rv>
  <rv s="0">
    <fb>154.30000000000001</fb>
    <v>1</v>
  </rv>
  <rv s="0">
    <fb>448.15</fb>
    <v>1</v>
  </rv>
  <rv s="0">
    <fb>26</fb>
    <v>1</v>
  </rv>
  <rv s="0">
    <fb>177.3</fb>
    <v>1</v>
  </rv>
  <rv s="0">
    <fb>219.5</fb>
    <v>1</v>
  </rv>
  <rv s="0">
    <fb>19.8</fb>
    <v>1</v>
  </rv>
  <rv s="0">
    <fb>538.9</fb>
    <v>1</v>
  </rv>
  <rv s="0">
    <fb>98.94</fb>
    <v>1</v>
  </rv>
  <rv s="0">
    <fb>98.864999999999995</fb>
    <v>1</v>
  </rv>
  <rv s="0">
    <fb>55.47</fb>
    <v>1</v>
  </rv>
  <rv s="0">
    <fb>45736</fb>
    <v>0</v>
  </rv>
  <rv s="0">
    <fb>109.46</fb>
    <v>1</v>
  </rv>
  <rv s="0">
    <fb>163.4</fb>
    <v>1</v>
  </rv>
  <rv s="0">
    <fb>313.95</fb>
    <v>1</v>
  </rv>
  <rv s="0">
    <fb>256.7</fb>
    <v>1</v>
  </rv>
  <rv s="0">
    <fb>179.66</fb>
    <v>1</v>
  </rv>
  <rv s="0">
    <fb>120.8</fb>
    <v>1</v>
  </rv>
  <rv s="0">
    <fb>356.7</fb>
    <v>1</v>
  </rv>
  <rv s="0">
    <fb>457</fb>
    <v>1</v>
  </rv>
  <rv s="0">
    <fb>175.78</fb>
    <v>1</v>
  </rv>
  <rv s="0">
    <fb>220.9</fb>
    <v>1</v>
  </rv>
  <rv s="0">
    <fb>19.715</fb>
    <v>1</v>
  </rv>
  <rv s="0">
    <fb>546.20000000000005</fb>
    <v>1</v>
  </rv>
  <rv s="0">
    <fb>98.66</fb>
    <v>1</v>
  </rv>
  <rv s="0">
    <fb>99.185000000000002</fb>
    <v>1</v>
  </rv>
  <rv s="0">
    <fb>54.59</fb>
    <v>1</v>
  </rv>
  <rv s="0">
    <fb>45737</fb>
    <v>0</v>
  </rv>
  <rv s="0">
    <fb>108.8</fb>
    <v>1</v>
  </rv>
  <rv s="0">
    <fb>312.64999999999998</fb>
    <v>1</v>
  </rv>
  <rv s="0">
    <fb>256.8</fb>
    <v>1</v>
  </rv>
  <rv s="0">
    <fb>181.72</fb>
    <v>1</v>
  </rv>
  <rv s="0">
    <fb>120.75</fb>
    <v>1</v>
  </rv>
  <rv s="0">
    <fb>361.45</fb>
    <v>1</v>
  </rv>
  <rv s="0">
    <fb>154.22</fb>
    <v>1</v>
  </rv>
  <rv s="0">
    <fb>461.25</fb>
    <v>1</v>
  </rv>
  <rv s="0">
    <fb>177.08</fb>
    <v>1</v>
  </rv>
  <rv s="0">
    <fb>223.55</fb>
    <v>1</v>
  </rv>
  <rv s="0">
    <fb>19.45</fb>
    <v>1</v>
  </rv>
  <rv s="0">
    <fb>555</fb>
    <v>1</v>
  </rv>
  <rv s="0">
    <fb>98.778000000000006</fb>
    <v>1</v>
  </rv>
  <rv s="0">
    <fb>98.98</fb>
    <v>1</v>
  </rv>
  <rv s="0">
    <fb>54.44</fb>
    <v>1</v>
  </rv>
  <rv s="0">
    <fb>45740</fb>
    <v>0</v>
  </rv>
  <rv s="0">
    <fb>112.4</fb>
    <v>1</v>
  </rv>
  <rv s="0">
    <fb>167.8</fb>
    <v>1</v>
  </rv>
  <rv s="0">
    <fb>319.55</fb>
    <v>1</v>
  </rv>
  <rv s="0">
    <fb>263.75</fb>
    <v>1</v>
  </rv>
  <rv s="0">
    <fb>188.2</fb>
    <v>1</v>
  </rv>
  <rv s="0">
    <fb>123.85</fb>
    <v>1</v>
  </rv>
  <rv s="0">
    <fb>363.85</fb>
    <v>1</v>
  </rv>
  <rv s="0">
    <fb>153.56</fb>
    <v>1</v>
  </rv>
  <rv s="0">
    <fb>467.85</fb>
    <v>1</v>
  </rv>
  <rv s="0">
    <fb>27</fb>
    <v>1</v>
  </rv>
  <rv s="0">
    <fb>179.06</fb>
    <v>1</v>
  </rv>
  <rv s="0">
    <fb>228.35</fb>
    <v>1</v>
  </rv>
  <rv s="0">
    <fb>19.465</fb>
    <v>1</v>
  </rv>
  <rv s="0">
    <fb>559</fb>
    <v>1</v>
  </rv>
  <rv s="0">
    <fb>100.795</fb>
    <v>1</v>
  </rv>
  <rv s="0">
    <fb>100.685</fb>
    <v>1</v>
  </rv>
  <rv s="0">
    <fb>54.34</fb>
    <v>1</v>
  </rv>
  <rv s="0">
    <fb>45741</fb>
    <v>0</v>
  </rv>
  <rv s="0">
    <fb>111.64</fb>
    <v>1</v>
  </rv>
  <rv s="0">
    <fb>167.4</fb>
    <v>1</v>
  </rv>
  <rv s="0">
    <fb>265.39999999999998</fb>
    <v>1</v>
  </rv>
  <rv s="0">
    <fb>191.16</fb>
    <v>1</v>
  </rv>
  <rv s="0">
    <fb>121.9</fb>
    <v>1</v>
  </rv>
  <rv s="0">
    <fb>366.55</fb>
    <v>1</v>
  </rv>
  <rv s="0">
    <fb>150.74</fb>
    <v>1</v>
  </rv>
  <rv s="0">
    <fb>470.75</fb>
    <v>1</v>
  </rv>
  <rv s="0">
    <fb>176.5</fb>
    <v>1</v>
  </rv>
  <rv s="0">
    <fb>231.25</fb>
    <v>1</v>
  </rv>
  <rv s="0">
    <fb>570</fb>
    <v>1</v>
  </rv>
  <rv s="0">
    <fb>101.08499999999999</fb>
    <v>1</v>
  </rv>
  <rv s="0">
    <fb>100.84</fb>
    <v>1</v>
  </rv>
  <rv s="0">
    <fb>55.03</fb>
    <v>1</v>
  </rv>
  <rv s="0">
    <fb>45742</fb>
    <v>0</v>
  </rv>
  <rv s="0">
    <fb>105.58</fb>
    <v>1</v>
  </rv>
  <rv s="0">
    <fb>319.35000000000002</fb>
    <v>1</v>
  </rv>
  <rv s="0">
    <fb>262.5</fb>
    <v>1</v>
  </rv>
  <rv s="0">
    <fb>187.16</fb>
    <v>1</v>
  </rv>
  <rv s="0">
    <fb>115.15</fb>
    <v>1</v>
  </rv>
  <rv s="0">
    <fb>362.8</fb>
    <v>1</v>
  </rv>
  <rv s="0">
    <fb>473.6</fb>
    <v>1</v>
  </rv>
  <rv s="0">
    <fb>23.2</fb>
    <v>1</v>
  </rv>
  <rv s="0">
    <fb>167.28</fb>
    <v>1</v>
  </rv>
  <rv s="0">
    <fb>233.5</fb>
    <v>1</v>
  </rv>
  <rv s="0">
    <fb>19.5</fb>
    <v>1</v>
  </rv>
  <rv s="0">
    <fb>539.4</fb>
    <v>1</v>
  </rv>
  <rv s="0">
    <fb>100.62</fb>
    <v>1</v>
  </rv>
  <rv s="0">
    <fb>100.35</fb>
    <v>1</v>
  </rv>
  <rv s="0">
    <fb>54.19</fb>
    <v>1</v>
  </rv>
  <rv s="0">
    <fb>45743</fb>
    <v>0</v>
  </rv>
  <rv s="0">
    <fb>103.46</fb>
    <v>1</v>
  </rv>
  <rv s="0">
    <fb>156.6</fb>
    <v>1</v>
  </rv>
  <rv s="0">
    <fb>324.45</fb>
    <v>1</v>
  </rv>
  <rv s="0">
    <fb>258.10000000000002</fb>
    <v>1</v>
  </rv>
  <rv s="0">
    <fb>186.5</fb>
    <v>1</v>
  </rv>
  <rv s="0">
    <fb>110</fb>
    <v>1</v>
  </rv>
  <rv s="0">
    <fb>361.85</fb>
    <v>1</v>
  </rv>
  <rv s="0">
    <fb>156.12</fb>
    <v>1</v>
  </rv>
  <rv s="0">
    <fb>474.3</fb>
    <v>1</v>
  </rv>
  <rv s="0">
    <fb>22.2</fb>
    <v>1</v>
  </rv>
  <rv s="0">
    <fb>160.08000000000001</fb>
    <v>1</v>
  </rv>
  <rv s="0">
    <fb>230</fb>
    <v>1</v>
  </rv>
  <rv s="0">
    <fb>19.55</fb>
    <v>1</v>
  </rv>
  <rv s="0">
    <fb>541.5</fb>
    <v>1</v>
  </rv>
  <rv s="0">
    <fb>100.11</fb>
    <v>1</v>
  </rv>
  <rv s="0">
    <fb>99.944999999999993</fb>
    <v>1</v>
  </rv>
  <rv s="0">
    <fb>54.13</fb>
    <v>1</v>
  </rv>
  <rv s="0">
    <fb>45744</fb>
    <v>0</v>
  </rv>
  <rv s="0">
    <fb>100.74</fb>
    <v>1</v>
  </rv>
  <rv s="0">
    <fb>152.6</fb>
    <v>1</v>
  </rv>
  <rv s="0">
    <fb>317.95</fb>
    <v>1</v>
  </rv>
  <rv s="0">
    <fb>177.74</fb>
    <v>1</v>
  </rv>
  <rv s="0">
    <fb>110.3</fb>
    <v>1</v>
  </rv>
  <rv s="0">
    <fb>154.91999999999999</fb>
    <v>1</v>
  </rv>
  <rv s="0">
    <fb>466.3</fb>
    <v>1</v>
  </rv>
  <rv s="0">
    <fb>20.6</fb>
    <v>1</v>
  </rv>
  <rv s="0">
    <fb>154.1</fb>
    <v>1</v>
  </rv>
  <rv s="0">
    <fb>19.234999999999999</fb>
    <v>1</v>
  </rv>
  <rv s="0">
    <fb>523.70000000000005</fb>
    <v>1</v>
  </rv>
  <rv s="0">
    <fb>97.762</fb>
    <v>1</v>
  </rv>
  <rv s="0">
    <fb>97.825000000000003</fb>
    <v>1</v>
  </rv>
  <rv s="0">
    <fb>53.68</fb>
    <v>1</v>
  </rv>
  <rv s="0">
    <fb>45747</fb>
    <v>0</v>
  </rv>
  <rv s="0">
    <fb>100.44</fb>
    <v>1</v>
  </rv>
  <rv s="0">
    <fb>316</fb>
    <v>1</v>
  </rv>
  <rv s="0">
    <fb>246.1</fb>
    <v>1</v>
  </rv>
  <rv s="0">
    <fb>176.1</fb>
    <v>1</v>
  </rv>
  <rv s="0">
    <fb>346.45</fb>
    <v>1</v>
  </rv>
  <rv s="0">
    <fb>462.15</fb>
    <v>1</v>
  </rv>
  <rv s="0">
    <fb>19.399999999999999</fb>
    <v>1</v>
  </rv>
  <rv s="0">
    <fb>151.54</fb>
    <v>1</v>
  </rv>
  <rv s="0">
    <fb>224.45</fb>
    <v>1</v>
  </rv>
  <rv s="0">
    <fb>18.675000000000001</fb>
    <v>1</v>
  </rv>
  <rv s="0">
    <fb>497.35</fb>
    <v>1</v>
  </rv>
  <rv s="0">
    <fb>97.26</fb>
    <v>1</v>
  </rv>
  <rv s="0">
    <fb>97.125</fb>
    <v>1</v>
  </rv>
  <rv s="0">
    <fb>52.94</fb>
    <v>1</v>
  </rv>
  <rv s="0">
    <fb>45748</fb>
    <v>0</v>
  </rv>
  <rv s="0">
    <fb>101.98</fb>
    <v>1</v>
  </rv>
  <rv s="0">
    <fb>155.6</fb>
    <v>1</v>
  </rv>
  <rv s="0">
    <fb>319.8</fb>
    <v>1</v>
  </rv>
  <rv s="0">
    <fb>248.85</fb>
    <v>1</v>
  </rv>
  <rv s="0">
    <fb>177.88</fb>
    <v>1</v>
  </rv>
  <rv s="0">
    <fb>111.65</fb>
    <v>1</v>
  </rv>
  <rv s="0">
    <fb>353.9</fb>
    <v>1</v>
  </rv>
  <rv s="0">
    <fb>157.47999999999999</fb>
    <v>1</v>
  </rv>
  <rv s="0">
    <fb>471.85</fb>
    <v>1</v>
  </rv>
  <rv s="0">
    <fb>21</fb>
    <v>1</v>
  </rv>
  <rv s="0">
    <fb>154.44</fb>
    <v>1</v>
  </rv>
  <rv s="0">
    <fb>227.55</fb>
    <v>1</v>
  </rv>
  <rv s="0">
    <fb>18.895</fb>
    <v>1</v>
  </rv>
  <rv s="0">
    <fb>505.4</fb>
    <v>1</v>
  </rv>
  <rv s="0">
    <fb>98.623999999999995</fb>
    <v>1</v>
  </rv>
  <rv s="0">
    <fb>98.38</fb>
    <v>1</v>
  </rv>
  <rv s="0">
    <fb>53.45</fb>
    <v>1</v>
  </rv>
  <rv s="0">
    <fb>45749</fb>
    <v>0</v>
  </rv>
  <rv s="0">
    <fb>101.5</fb>
    <v>1</v>
  </rv>
  <rv s="0">
    <fb>156</fb>
    <v>1</v>
  </rv>
  <rv s="0">
    <fb>316.8</fb>
    <v>1</v>
  </rv>
  <rv s="0">
    <fb>251</fb>
    <v>1</v>
  </rv>
  <rv s="0">
    <fb>181.16</fb>
    <v>1</v>
  </rv>
  <rv s="0">
    <fb>113.7</fb>
    <v>1</v>
  </rv>
  <rv s="0">
    <fb>351.75</fb>
    <v>1</v>
  </rv>
  <rv s="0">
    <fb>473.65</fb>
    <v>1</v>
  </rv>
  <rv s="0">
    <fb>22.4</fb>
    <v>1</v>
  </rv>
  <rv s="0">
    <fb>156.88</fb>
    <v>1</v>
  </rv>
  <rv s="0">
    <fb>226.15</fb>
    <v>1</v>
  </rv>
  <rv s="0">
    <fb>18.484999999999999</fb>
    <v>1</v>
  </rv>
  <rv s="0">
    <fb>523.5</fb>
    <v>1</v>
  </rv>
  <rv s="0">
    <fb>99.14</fb>
    <v>1</v>
  </rv>
  <rv s="0">
    <fb>98.314999999999998</fb>
    <v>1</v>
  </rv>
  <rv s="0">
    <fb>53.38</fb>
    <v>1</v>
  </rv>
  <rv s="0">
    <fb>45750</fb>
    <v>0</v>
  </rv>
  <rv s="0">
    <fb>92.23</fb>
    <v>1</v>
  </rv>
  <rv s="0">
    <fb>307.8</fb>
    <v>1</v>
  </rv>
  <rv s="0">
    <fb>233.25</fb>
    <v>1</v>
  </rv>
  <rv s="0">
    <fb>98.7</fb>
    <v>1</v>
  </rv>
  <rv s="0">
    <fb>339.65</fb>
    <v>1</v>
  </rv>
  <rv s="0">
    <fb>156.22</fb>
    <v>1</v>
  </rv>
  <rv s="0">
    <fb>455.65</fb>
    <v>1</v>
  </rv>
  <rv s="0">
    <fb>19.899999999999999</fb>
    <v>1</v>
  </rv>
  <rv s="0">
    <fb>143.74</fb>
    <v>1</v>
  </rv>
  <rv s="0">
    <fb>207.55</fb>
    <v>1</v>
  </rv>
  <rv s="0">
    <fb>18.600000000000001</fb>
    <v>1</v>
  </rv>
  <rv s="0">
    <fb>506.1</fb>
    <v>1</v>
  </rv>
  <rv s="0">
    <fb>93.77</fb>
    <v>1</v>
  </rv>
  <rv s="0">
    <fb>93.52</fb>
    <v>1</v>
  </rv>
  <rv s="0">
    <fb>51.57</fb>
    <v>1</v>
  </rv>
  <rv s="0">
    <fb>45751</fb>
    <v>0</v>
  </rv>
  <rv s="0">
    <fb>86.32</fb>
    <v>1</v>
  </rv>
  <rv s="0">
    <fb>134.6</fb>
    <v>1</v>
  </rv>
  <rv s="0">
    <fb>285.45</fb>
    <v>1</v>
  </rv>
  <rv s="0">
    <fb>220.1</fb>
    <v>1</v>
  </rv>
  <rv s="0">
    <fb>88.38</fb>
    <v>1</v>
  </rv>
  <rv s="0">
    <fb>328.8</fb>
    <v>1</v>
  </rv>
  <rv s="0">
    <fb>149.72</fb>
    <v>1</v>
  </rv>
  <rv s="0">
    <fb>429.5</fb>
    <v>1</v>
  </rv>
  <rv s="0">
    <fb>18.5</fb>
    <v>1</v>
  </rv>
  <rv s="0">
    <fb>130.6</fb>
    <v>1</v>
  </rv>
  <rv s="0">
    <fb>193.58</fb>
    <v>1</v>
  </rv>
  <rv s="0">
    <fb>18.510000000000002</fb>
    <v>1</v>
  </rv>
  <rv s="0">
    <fb>471.35</fb>
    <v>1</v>
  </rv>
  <rv s="0">
    <fb>88.96</fb>
    <v>1</v>
  </rv>
  <rv s="0">
    <fb>89.114999999999995</fb>
    <v>1</v>
  </rv>
  <rv s="0">
    <fb>48.844999999999999</fb>
    <v>1</v>
  </rv>
  <rv s="0">
    <fb>45754</fb>
    <v>0</v>
  </rv>
  <rv s="0">
    <fb>89.4</fb>
    <v>1</v>
  </rv>
  <rv s="0">
    <fb>132.6</fb>
    <v>1</v>
  </rv>
  <rv s="0">
    <fb>285.85000000000002</fb>
    <v>1</v>
  </rv>
  <rv s="0">
    <fb>223.15</fb>
    <v>1</v>
  </rv>
  <rv s="0">
    <fb>160.52000000000001</fb>
    <v>1</v>
  </rv>
  <rv s="0">
    <fb>95.18</fb>
    <v>1</v>
  </rv>
  <rv s="0">
    <fb>327.7</fb>
    <v>1</v>
  </rv>
  <rv s="0">
    <fb>147.84</fb>
    <v>1</v>
  </rv>
  <rv s="0">
    <fb>399</fb>
    <v>1</v>
  </rv>
  <rv s="0">
    <fb>137.18</fb>
    <v>1</v>
  </rv>
  <rv s="0">
    <fb>196.74</fb>
    <v>1</v>
  </rv>
  <rv s="0">
    <fb>17.329999999999998</fb>
    <v>1</v>
  </rv>
  <rv s="0">
    <fb>469.95</fb>
    <v>1</v>
  </rv>
  <rv s="0">
    <fb>87.19</fb>
    <v>1</v>
  </rv>
  <rv s="0">
    <fb>86.5</fb>
    <v>1</v>
  </rv>
  <rv s="0">
    <fb>47.534999999999997</fb>
    <v>1</v>
  </rv>
  <rv s="0">
    <fb>45755</fb>
    <v>0</v>
  </rv>
  <rv s="0">
    <fb>87.61</fb>
    <v>1</v>
  </rv>
  <rv s="0">
    <fb>129.4</fb>
    <v>1</v>
  </rv>
  <rv s="0">
    <fb>280.60000000000002</fb>
    <v>1</v>
  </rv>
  <rv s="0">
    <fb>154.24</fb>
    <v>1</v>
  </rv>
  <rv s="0">
    <fb>100</fb>
    <v>1</v>
  </rv>
  <rv s="0">
    <fb>144</fb>
    <v>1</v>
  </rv>
  <rv s="0">
    <fb>399.35</fb>
    <v>1</v>
  </rv>
  <rv s="0">
    <fb>20</fb>
    <v>1</v>
  </rv>
  <rv s="0">
    <fb>151.63999999999999</fb>
    <v>1</v>
  </rv>
  <rv s="0">
    <fb>201.35</fb>
    <v>1</v>
  </rv>
  <rv s="0">
    <fb>17.835000000000001</fb>
    <v>1</v>
  </rv>
  <rv s="0">
    <fb>496</fb>
    <v>1</v>
  </rv>
  <rv s="0">
    <fb>85.774000000000001</fb>
    <v>1</v>
  </rv>
  <rv s="0">
    <fb>89.45</fb>
    <v>1</v>
  </rv>
  <rv s="0">
    <fb>47.06</fb>
    <v>1</v>
  </rv>
  <rv s="0">
    <fb>45756</fb>
    <v>0</v>
  </rv>
  <rv s="0">
    <fb>103.96</fb>
    <v>1</v>
  </rv>
  <rv s="0">
    <fb>145</fb>
    <v>1</v>
  </rv>
  <rv s="0">
    <fb>299.35000000000002</fb>
    <v>1</v>
  </rv>
  <rv s="0">
    <fb>241</fb>
    <v>1</v>
  </rv>
  <rv s="0">
    <fb>175.18</fb>
    <v>1</v>
  </rv>
  <rv s="0">
    <fb>109.3</fb>
    <v>1</v>
  </rv>
  <rv s="0">
    <fb>358.6</fb>
    <v>1</v>
  </rv>
  <rv s="0">
    <fb>146.96</fb>
    <v>1</v>
  </rv>
  <rv s="0">
    <fb>421.7</fb>
    <v>1</v>
  </rv>
  <rv s="0">
    <fb>21.2</fb>
    <v>1</v>
  </rv>
  <rv s="0">
    <fb>143.5</fb>
    <v>1</v>
  </rv>
  <rv s="0">
    <fb>215.05</fb>
    <v>1</v>
  </rv>
  <rv s="0">
    <fb>17.100000000000001</fb>
    <v>1</v>
  </rv>
  <rv s="0">
    <fb>465.55</fb>
    <v>1</v>
  </rv>
  <rv s="0">
    <fb>94.537999999999997</fb>
    <v>1</v>
  </rv>
  <rv s="0">
    <fb>85.325000000000003</fb>
    <v>1</v>
  </rv>
  <rv s="0">
    <fb>50.9</fb>
    <v>1</v>
  </rv>
  <rv s="0">
    <fb>45757</fb>
    <v>0</v>
  </rv>
  <rv s="0">
    <fb>96</fb>
    <v>1</v>
  </rv>
  <rv s="0">
    <fb>134</fb>
    <v>1</v>
  </rv>
  <rv s="0">
    <fb>290.64999999999998</fb>
    <v>1</v>
  </rv>
  <rv s="0">
    <fb>226.9</fb>
    <v>1</v>
  </rv>
  <rv s="0">
    <fb>161.06</fb>
    <v>1</v>
  </rv>
  <rv s="0">
    <fb>98.96</fb>
    <v>1</v>
  </rv>
  <rv s="0">
    <fb>339.55</fb>
    <v>1</v>
  </rv>
  <rv s="0">
    <fb>146.69999999999999</fb>
    <v>1</v>
  </rv>
  <rv s="0">
    <fb>420.95</fb>
    <v>1</v>
  </rv>
  <rv s="0">
    <fb>153.41999999999999</fb>
    <v>1</v>
  </rv>
  <rv s="0">
    <fb>202.4</fb>
    <v>1</v>
  </rv>
  <rv s="0">
    <fb>17.760000000000002</fb>
    <v>1</v>
  </rv>
  <rv s="0">
    <fb>497</fb>
    <v>1</v>
  </rv>
  <rv s="0">
    <fb>88.632000000000005</fb>
    <v>1</v>
  </rv>
  <rv s="0">
    <fb>88.704999999999998</fb>
    <v>1</v>
  </rv>
  <rv s="0">
    <fb>48.174999999999997</fb>
    <v>1</v>
  </rv>
  <rv s="0">
    <fb>45758</fb>
    <v>0</v>
  </rv>
  <rv s="0">
    <fb>97.38</fb>
    <v>1</v>
  </rv>
  <rv s="0">
    <fb>138</fb>
    <v>1</v>
  </rv>
  <rv s="0">
    <fb>295.14999999999998</fb>
    <v>1</v>
  </rv>
  <rv s="0">
    <fb>99.4</fb>
    <v>1</v>
  </rv>
  <rv s="0">
    <fb>342.45</fb>
    <v>1</v>
  </rv>
  <rv s="0">
    <fb>147.69999999999999</fb>
    <v>1</v>
  </rv>
  <rv s="0">
    <fb>410.35</fb>
    <v>1</v>
  </rv>
  <rv s="0">
    <fb>18.3</fb>
    <v>1</v>
  </rv>
  <rv s="0">
    <fb>155.44</fb>
    <v>1</v>
  </rv>
  <rv s="0">
    <fb>209.25</fb>
    <v>1</v>
  </rv>
  <rv s="0">
    <fb>17.84</fb>
    <v>1</v>
  </rv>
  <rv s="0">
    <fb>89.754000000000005</fb>
    <v>1</v>
  </rv>
  <rv s="0">
    <fb>87.805000000000007</fb>
    <v>1</v>
  </rv>
  <rv s="0">
    <fb>48.734999999999999</fb>
    <v>1</v>
  </rv>
  <rv s="0">
    <fb>45761</fb>
    <v>0</v>
  </rv>
  <rv s="0">
    <fb>97.49</fb>
    <v>1</v>
  </rv>
  <rv s="0">
    <fb>137.4</fb>
    <v>1</v>
  </rv>
  <rv s="0">
    <fb>297</fb>
    <v>1</v>
  </rv>
  <rv s="0">
    <fb>225.15</fb>
    <v>1</v>
  </rv>
  <rv s="0">
    <fb>160.68</fb>
    <v>1</v>
  </rv>
  <rv s="0">
    <fb>98.08</fb>
    <v>1</v>
  </rv>
  <rv s="0">
    <fb>342.6</fb>
    <v>1</v>
  </rv>
  <rv s="0">
    <fb>149.52000000000001</fb>
    <v>1</v>
  </rv>
  <rv s="0">
    <fb>416.25</fb>
    <v>1</v>
  </rv>
  <rv s="0">
    <fb>19.600000000000001</fb>
    <v>1</v>
  </rv>
  <rv s="0">
    <fb>157.19999999999999</fb>
    <v>1</v>
  </rv>
  <rv s="0">
    <fb>17.559999999999999</fb>
    <v>1</v>
  </rv>
  <rv s="0">
    <fb>487.5</fb>
    <v>1</v>
  </rv>
  <rv s="0">
    <fb>90.022000000000006</fb>
    <v>1</v>
  </rv>
  <rv s="0">
    <fb>90.34</fb>
    <v>1</v>
  </rv>
  <rv s="0">
    <fb>49.164999999999999</fb>
    <v>1</v>
  </rv>
  <rv s="0">
    <fb>45762</fb>
    <v>0</v>
  </rv>
  <rv s="0">
    <fb>99.49</fb>
    <v>1</v>
  </rv>
  <rv s="0">
    <fb>139</fb>
    <v>1</v>
  </rv>
  <rv s="0">
    <fb>297.75</fb>
    <v>1</v>
  </rv>
  <rv s="0">
    <fb>226.4</fb>
    <v>1</v>
  </rv>
  <rv s="0">
    <fb>101.8</fb>
    <v>1</v>
  </rv>
  <rv s="0">
    <fb>342.05</fb>
    <v>1</v>
  </rv>
  <rv s="0">
    <fb>149.9</fb>
    <v>1</v>
  </rv>
  <rv s="0">
    <fb>417.6</fb>
    <v>1</v>
  </rv>
  <rv s="0">
    <fb>160.04</fb>
    <v>1</v>
  </rv>
  <rv s="0">
    <fb>207.65</fb>
    <v>1</v>
  </rv>
  <rv s="0">
    <fb>16.75</fb>
    <v>1</v>
  </rv>
  <rv s="0">
    <fb>507.5</fb>
    <v>1</v>
  </rv>
  <rv s="0">
    <fb>90.64</fb>
    <v>1</v>
  </rv>
  <rv s="0">
    <fb>91.23</fb>
    <v>1</v>
  </rv>
  <rv s="0">
    <fb>45763</fb>
    <v>0</v>
  </rv>
  <rv s="0">
    <fb>91.51</fb>
    <v>1</v>
  </rv>
  <rv s="0">
    <fb>133.4</fb>
    <v>1</v>
  </rv>
  <rv s="0">
    <fb>291.8</fb>
    <v>1</v>
  </rv>
  <rv s="0">
    <fb>219.9</fb>
    <v>1</v>
  </rv>
  <rv s="0">
    <fb>151.96</fb>
    <v>1</v>
  </rv>
  <rv s="0">
    <fb>97.8</fb>
    <v>1</v>
  </rv>
  <rv s="0">
    <fb>146</fb>
    <v>1</v>
  </rv>
  <rv s="0">
    <fb>17.899999999999999</fb>
    <v>1</v>
  </rv>
  <rv s="0">
    <fb>16.36</fb>
    <v>1</v>
  </rv>
  <rv s="0">
    <fb>502.5</fb>
    <v>1</v>
  </rv>
  <rv s="0">
    <fb>87.4</fb>
    <v>1</v>
  </rv>
  <rv s="0">
    <fb>90.125</fb>
    <v>1</v>
  </rv>
  <rv s="0">
    <fb>49.575000000000003</fb>
    <v>1</v>
  </rv>
  <rv s="0">
    <fb>45764</fb>
    <v>0</v>
  </rv>
  <rv s="0">
    <fb>88.92</fb>
    <v>1</v>
  </rv>
  <rv s="0">
    <fb>293</fb>
    <v>1</v>
  </rv>
  <rv s="0">
    <fb>217.8</fb>
    <v>1</v>
  </rv>
  <rv s="0">
    <fb>151.69999999999999</fb>
    <v>1</v>
  </rv>
  <rv s="0">
    <fb>102.95</fb>
    <v>1</v>
  </rv>
  <rv s="0">
    <fb>322.95</fb>
    <v>1</v>
  </rv>
  <rv s="0">
    <fb>150.30000000000001</fb>
    <v>1</v>
  </rv>
  <rv s="0">
    <fb>410.85</fb>
    <v>1</v>
  </rv>
  <rv s="0">
    <fb>150.47999999999999</fb>
    <v>1</v>
  </rv>
  <rv s="0">
    <fb>205.6</fb>
    <v>1</v>
  </rv>
  <rv s="0">
    <fb>16.21</fb>
    <v>1</v>
  </rv>
  <rv s="0">
    <fb>498.3</fb>
    <v>1</v>
  </rv>
  <rv s="0">
    <fb>87.981999999999999</fb>
    <v>1</v>
  </rv>
  <rv s="0">
    <fb>89.27</fb>
    <v>1</v>
  </rv>
  <rv s="0">
    <fb>50.13</fb>
    <v>1</v>
  </rv>
  <rv s="0">
    <fb>45769</fb>
    <v>0</v>
  </rv>
  <rv s="0">
    <fb>86.25</fb>
    <v>1</v>
  </rv>
  <rv s="0">
    <fb>132.19999999999999</fb>
    <v>1</v>
  </rv>
  <rv s="0">
    <fb>283.8</fb>
    <v>1</v>
  </rv>
  <rv s="0">
    <fb>211.4</fb>
    <v>1</v>
  </rv>
  <rv s="0">
    <fb>151.84</fb>
    <v>1</v>
  </rv>
  <rv s="0">
    <fb>98.84</fb>
    <v>1</v>
  </rv>
  <rv s="0">
    <fb>401.9</fb>
    <v>1</v>
  </rv>
  <rv s="0">
    <fb>146.4</fb>
    <v>1</v>
  </rv>
  <rv s="0">
    <fb>203.8</fb>
    <v>1</v>
  </rv>
  <rv s="0">
    <fb>16.329999999999998</fb>
    <v>1</v>
  </rv>
  <rv s="0">
    <fb>517.70000000000005</fb>
    <v>1</v>
  </rv>
  <rv s="0">
    <fb>87.367999999999995</fb>
    <v>1</v>
  </rv>
  <rv s="0">
    <fb>88.53</fb>
    <v>1</v>
  </rv>
  <rv s="0">
    <fb>45770</fb>
    <v>0</v>
  </rv>
  <rv s="0">
    <fb>90.72</fb>
    <v>1</v>
  </rv>
  <rv s="0">
    <fb>139.19999999999999</fb>
    <v>1</v>
  </rv>
  <rv s="0">
    <fb>296.7</fb>
    <v>1</v>
  </rv>
  <rv s="0">
    <fb>221.7</fb>
    <v>1</v>
  </rv>
  <rv s="0">
    <fb>160.47999999999999</fb>
    <v>1</v>
  </rv>
  <rv s="0">
    <fb>108.5</fb>
    <v>1</v>
  </rv>
  <rv s="0">
    <fb>330.35</fb>
    <v>1</v>
  </rv>
  <rv s="0">
    <fb>418.65</fb>
    <v>1</v>
  </rv>
  <rv s="0">
    <fb>156.62</fb>
    <v>1</v>
  </rv>
  <rv s="0">
    <fb>212.95</fb>
    <v>1</v>
  </rv>
  <rv s="0">
    <fb>16.920000000000002</fb>
    <v>1</v>
  </rv>
  <rv s="0">
    <fb>526.6</fb>
    <v>1</v>
  </rv>
  <rv s="0">
    <fb>90.244</fb>
    <v>1</v>
  </rv>
  <rv s="0">
    <fb>91.254999999999995</fb>
    <v>1</v>
  </rv>
  <rv s="0">
    <fb>51.39</fb>
    <v>1</v>
  </rv>
  <rv s="0">
    <fb>45771</fb>
    <v>0</v>
  </rv>
  <rv s="0">
    <fb>93.49</fb>
    <v>1</v>
  </rv>
  <rv s="0">
    <fb>143.19999999999999</fb>
    <v>1</v>
  </rv>
  <rv s="0">
    <fb>294.5</fb>
    <v>1</v>
  </rv>
  <rv s="0">
    <fb>233</fb>
    <v>1</v>
  </rv>
  <rv s="0">
    <fb>108.65</fb>
    <v>1</v>
  </rv>
  <rv s="0">
    <fb>338.95</fb>
    <v>1</v>
  </rv>
  <rv s="0">
    <fb>139.94</fb>
    <v>1</v>
  </rv>
  <rv s="0">
    <fb>411.95</fb>
    <v>1</v>
  </rv>
  <rv s="0">
    <fb>163.12</fb>
    <v>1</v>
  </rv>
  <rv s="0">
    <fb>213.35</fb>
    <v>1</v>
  </rv>
  <rv s="0">
    <fb>17.05</fb>
    <v>1</v>
  </rv>
  <rv s="0">
    <fb>532.29999999999995</fb>
    <v>1</v>
  </rv>
  <rv s="0">
    <fb>91.123999999999995</fb>
    <v>1</v>
  </rv>
  <rv s="0">
    <fb>91.915000000000006</fb>
    <v>1</v>
  </rv>
  <rv s="0">
    <fb>45772</fb>
    <v>0</v>
  </rv>
  <rv s="0">
    <fb>97.51</fb>
    <v>1</v>
  </rv>
  <rv s="0">
    <fb>144.80000000000001</fb>
    <v>1</v>
  </rv>
  <rv s="0">
    <fb>295.25</fb>
    <v>1</v>
  </rv>
  <rv s="0">
    <fb>235.5</fb>
    <v>1</v>
  </rv>
  <rv s="0">
    <fb>166.7</fb>
    <v>1</v>
  </rv>
  <rv s="0">
    <fb>110.85</fb>
    <v>1</v>
  </rv>
  <rv s="0">
    <fb>344</fb>
    <v>1</v>
  </rv>
  <rv s="0">
    <fb>141.69999999999999</fb>
    <v>1</v>
  </rv>
  <rv s="0">
    <fb>423.5</fb>
    <v>1</v>
  </rv>
  <rv s="0">
    <fb>165.54</fb>
    <v>1</v>
  </rv>
  <rv s="0">
    <fb>213.45</fb>
    <v>1</v>
  </rv>
  <rv s="0">
    <fb>16.934999999999999</fb>
    <v>1</v>
  </rv>
  <rv s="0">
    <fb>92.01</fb>
    <v>1</v>
  </rv>
  <rv s="0">
    <fb>92.41</fb>
    <v>1</v>
  </rv>
  <rv s="0">
    <fb>52.39</fb>
    <v>1</v>
  </rv>
  <rv s="0">
    <fb>45775</fb>
    <v>0</v>
  </rv>
  <rv s="0">
    <fb>94.75</fb>
    <v>1</v>
  </rv>
  <rv s="0">
    <fb>296.64999999999998</fb>
    <v>1</v>
  </rv>
  <rv s="0">
    <fb>235.55</fb>
    <v>1</v>
  </rv>
  <rv s="0">
    <fb>164.4</fb>
    <v>1</v>
  </rv>
  <rv s="0">
    <fb>110.7</fb>
    <v>1</v>
  </rv>
  <rv s="0">
    <fb>342.5</fb>
    <v>1</v>
  </rv>
  <rv s="0">
    <fb>141.74</fb>
    <v>1</v>
  </rv>
  <rv s="0">
    <fb>426.1</fb>
    <v>1</v>
  </rv>
  <rv s="0">
    <fb>20.8</fb>
    <v>1</v>
  </rv>
  <rv s="0">
    <fb>165.62</fb>
    <v>1</v>
  </rv>
  <rv s="0">
    <fb>213.55</fb>
    <v>1</v>
  </rv>
  <rv s="0">
    <fb>16.809999999999999</fb>
    <v>1</v>
  </rv>
  <rv s="0">
    <fb>528.20000000000005</fb>
    <v>1</v>
  </rv>
  <rv s="0">
    <fb>90.914000000000001</fb>
    <v>1</v>
  </rv>
  <rv s="0">
    <fb>92.555000000000007</fb>
    <v>1</v>
  </rv>
  <rv s="0">
    <fb>52.14</fb>
    <v>1</v>
  </rv>
  <rv s="0">
    <fb>45776</fb>
    <v>0</v>
  </rv>
  <rv s="0">
    <fb>95.78</fb>
    <v>1</v>
  </rv>
  <rv s="0">
    <fb>144.4</fb>
    <v>1</v>
  </rv>
  <rv s="0">
    <fb>300.2</fb>
    <v>1</v>
  </rv>
  <rv s="0">
    <fb>164.68</fb>
    <v>1</v>
  </rv>
  <rv s="0">
    <fb>113.35</fb>
    <v>1</v>
  </rv>
  <rv s="0">
    <fb>347.25</fb>
    <v>1</v>
  </rv>
  <rv s="0">
    <fb>142.5</fb>
    <v>1</v>
  </rv>
  <rv s="0">
    <fb>424</fb>
    <v>1</v>
  </rv>
  <rv s="0">
    <fb>167.52</fb>
    <v>1</v>
  </rv>
  <rv s="0">
    <fb>16.79</fb>
    <v>1</v>
  </rv>
  <rv s="0">
    <fb>491.45</fb>
    <v>1</v>
  </rv>
  <rv s="0">
    <fb>92.197999999999993</fb>
    <v>1</v>
  </rv>
  <rv s="0">
    <fb>92.99</fb>
    <v>1</v>
  </rv>
  <rv s="0">
    <fb>52.31</fb>
    <v>1</v>
  </rv>
  <rv s="0">
    <fb>45777</fb>
    <v>0</v>
  </rv>
  <rv s="0">
    <fb>146.80000000000001</fb>
    <v>1</v>
  </rv>
  <rv s="0">
    <fb>305.25</fb>
    <v>1</v>
  </rv>
  <rv s="0">
    <fb>160.6</fb>
    <v>1</v>
  </rv>
  <rv s="0">
    <fb>113.05</fb>
    <v>1</v>
  </rv>
  <rv s="0">
    <fb>344.1</fb>
    <v>1</v>
  </rv>
  <rv s="0">
    <fb>142.74</fb>
    <v>1</v>
  </rv>
  <rv s="0">
    <fb>429.05</fb>
    <v>1</v>
  </rv>
  <rv s="0">
    <fb>213.75</fb>
    <v>1</v>
  </rv>
  <rv s="0">
    <fb>16.805</fb>
    <v>1</v>
  </rv>
  <rv s="0">
    <fb>528.70000000000005</fb>
    <v>1</v>
  </rv>
  <rv s="0">
    <fb>92.061999999999998</fb>
    <v>1</v>
  </rv>
  <rv s="0">
    <fb>93.33</fb>
    <v>1</v>
  </rv>
  <rv s="0">
    <fb>45779</fb>
    <v>0</v>
  </rv>
  <rv s="0">
    <fb>101.14</fb>
    <v>1</v>
  </rv>
  <rv s="0">
    <fb>307.2</fb>
    <v>1</v>
  </rv>
  <rv s="0">
    <fb>239.9</fb>
    <v>1</v>
  </rv>
  <rv s="0">
    <fb>168.66</fb>
    <v>1</v>
  </rv>
  <rv s="0">
    <fb>123</fb>
    <v>1</v>
  </rv>
  <rv s="0">
    <fb>385.1</fb>
    <v>1</v>
  </rv>
  <rv s="0">
    <fb>142.04</fb>
    <v>1</v>
  </rv>
  <rv s="0">
    <fb>445.2</fb>
    <v>1</v>
  </rv>
  <rv s="0">
    <fb>222.05</fb>
    <v>1</v>
  </rv>
  <rv s="0">
    <fb>17.43</fb>
    <v>1</v>
  </rv>
  <rv s="0">
    <fb>570.4</fb>
    <v>1</v>
  </rv>
  <rv s="0">
    <fb>95.445999999999998</fb>
    <v>1</v>
  </rv>
  <rv s="0">
    <fb>95.614999999999995</fb>
    <v>1</v>
  </rv>
  <rv s="0">
    <fb>53.57</fb>
    <v>1</v>
  </rv>
  <rv s="0">
    <fb>45782</fb>
    <v>0</v>
  </rv>
  <rv s="0">
    <fb>100.9</fb>
    <v>1</v>
  </rv>
  <rv s="0">
    <fb>308.95</fb>
    <v>1</v>
  </rv>
  <rv s="0">
    <fb>243.4</fb>
    <v>1</v>
  </rv>
  <rv s="0">
    <fb>164.82</fb>
    <v>1</v>
  </rv>
  <rv s="0">
    <fb>124.15</fb>
    <v>1</v>
  </rv>
  <rv s="0">
    <fb>385.2</fb>
    <v>1</v>
  </rv>
  <rv s="0">
    <fb>139.84</fb>
    <v>1</v>
  </rv>
  <rv s="0">
    <fb>445.7</fb>
    <v>1</v>
  </rv>
  <rv s="0">
    <fb>178.42</fb>
    <v>1</v>
  </rv>
  <rv s="0">
    <fb>224.85</fb>
    <v>1</v>
  </rv>
  <rv s="0">
    <fb>17.45</fb>
    <v>1</v>
  </rv>
  <rv s="0">
    <fb>564.9</fb>
    <v>1</v>
  </rv>
  <rv s="0">
    <fb>95.126000000000005</fb>
    <v>1</v>
  </rv>
  <rv s="0">
    <fb>95.754999999999995</fb>
    <v>1</v>
  </rv>
  <rv s="0">
    <fb>53.71</fb>
    <v>1</v>
  </rv>
  <rv s="0">
    <fb>45783</fb>
    <v>0</v>
  </rv>
  <rv s="0">
    <fb>99.8</fb>
    <v>1</v>
  </rv>
  <rv s="0">
    <fb>306.14999999999998</fb>
    <v>1</v>
  </rv>
  <rv s="0">
    <fb>237.25</fb>
    <v>1</v>
  </rv>
  <rv s="0">
    <fb>163.22</fb>
    <v>1</v>
  </rv>
  <rv s="0">
    <fb>126</fb>
    <v>1</v>
  </rv>
  <rv s="0">
    <fb>382</fb>
    <v>1</v>
  </rv>
  <rv s="0">
    <fb>140.02000000000001</fb>
    <v>1</v>
  </rv>
  <rv s="0">
    <fb>443.85</fb>
    <v>1</v>
  </rv>
  <rv s="0">
    <fb>176.9</fb>
    <v>1</v>
  </rv>
  <rv s="0">
    <fb>221.95</fb>
    <v>1</v>
  </rv>
  <rv s="0">
    <fb>18.54</fb>
    <v>1</v>
  </rv>
  <rv s="0">
    <fb>563.1</fb>
    <v>1</v>
  </rv>
  <rv s="0">
    <fb>93.58</fb>
    <v>1</v>
  </rv>
  <rv s="0">
    <fb>95.29</fb>
    <v>1</v>
  </rv>
  <rv s="0">
    <fb>53.33</fb>
    <v>1</v>
  </rv>
  <rv s="0">
    <fb>45784</fb>
    <v>0</v>
  </rv>
  <rv s="0">
    <fb>103.66</fb>
    <v>1</v>
  </rv>
  <rv s="0">
    <fb>154.19999999999999</fb>
    <v>1</v>
  </rv>
  <rv s="0">
    <fb>308.75</fb>
    <v>1</v>
  </rv>
  <rv s="0">
    <fb>245.25</fb>
    <v>1</v>
  </rv>
  <rv s="0">
    <fb>167.18</fb>
    <v>1</v>
  </rv>
  <rv s="0">
    <fb>120.85</fb>
    <v>1</v>
  </rv>
  <rv s="0">
    <fb>384.2</fb>
    <v>1</v>
  </rv>
  <rv s="0">
    <fb>140.72</fb>
    <v>1</v>
  </rv>
  <rv s="0">
    <fb>445.1</fb>
    <v>1</v>
  </rv>
  <rv s="0">
    <fb>177.98</fb>
    <v>1</v>
  </rv>
  <rv s="0">
    <fb>19.05</fb>
    <v>1</v>
  </rv>
  <rv s="0">
    <fb>574</fb>
    <v>1</v>
  </rv>
  <rv s="0">
    <fb>93.873999999999995</fb>
    <v>1</v>
  </rv>
  <rv s="0">
    <fb>94.795000000000002</fb>
    <v>1</v>
  </rv>
  <rv s="0">
    <fb>53.21</fb>
    <v>1</v>
  </rv>
  <rv s="0">
    <fb>45785</fb>
    <v>0</v>
  </rv>
  <rv s="0">
    <fb>156.4</fb>
    <v>1</v>
  </rv>
  <rv s="0">
    <fb>315.95</fb>
    <v>1</v>
  </rv>
  <rv s="0">
    <fb>251.3</fb>
    <v>1</v>
  </rv>
  <rv s="0">
    <fb>171.42</fb>
    <v>1</v>
  </rv>
  <rv s="0">
    <fb>394.45</fb>
    <v>1</v>
  </rv>
  <rv s="0">
    <fb>141.62</fb>
    <v>1</v>
  </rv>
  <rv s="0">
    <fb>446.65</fb>
    <v>1</v>
  </rv>
  <rv s="0">
    <fb>182.66</fb>
    <v>1</v>
  </rv>
  <rv s="0">
    <fb>228</fb>
    <v>1</v>
  </rv>
  <rv s="0">
    <fb>19.135000000000002</fb>
    <v>1</v>
  </rv>
  <rv s="0">
    <fb>578.9</fb>
    <v>1</v>
  </rv>
  <rv s="0">
    <fb>96.366</fb>
    <v>1</v>
  </rv>
  <rv s="0">
    <fb>96.355000000000004</fb>
    <v>1</v>
  </rv>
  <rv s="0">
    <fb>53.95</fb>
    <v>1</v>
  </rv>
  <rv s="0">
    <fb>45786</fb>
    <v>0</v>
  </rv>
  <rv s="0">
    <fb>103.68</fb>
    <v>1</v>
  </rv>
  <rv s="0">
    <fb>312.45</fb>
    <v>1</v>
  </rv>
  <rv s="0">
    <fb>244.9</fb>
    <v>1</v>
  </rv>
  <rv s="0">
    <fb>171.76</fb>
    <v>1</v>
  </rv>
  <rv s="0">
    <fb>119.05</fb>
    <v>1</v>
  </rv>
  <rv s="0">
    <fb>390.2</fb>
    <v>1</v>
  </rv>
  <rv s="0">
    <fb>140.04</fb>
    <v>1</v>
  </rv>
  <rv s="0">
    <fb>448.1</fb>
    <v>1</v>
  </rv>
  <rv s="0">
    <fb>184.64</fb>
    <v>1</v>
  </rv>
  <rv s="0">
    <fb>18.7</fb>
    <v>1</v>
  </rv>
  <rv s="0">
    <fb>572.79999999999995</fb>
    <v>1</v>
  </rv>
  <rv s="0">
    <fb>95.164000000000001</fb>
    <v>1</v>
  </rv>
  <rv s="0">
    <fb>96.284999999999997</fb>
    <v>1</v>
  </rv>
  <rv s="0">
    <fb>54.01</fb>
    <v>1</v>
  </rv>
  <rv s="0">
    <fb>45789</fb>
    <v>0</v>
  </rv>
  <rv s="0">
    <fb>110.72</fb>
    <v>1</v>
  </rv>
  <rv s="0">
    <fb>168.4</fb>
    <v>1</v>
  </rv>
  <rv s="0">
    <fb>320.14999999999998</fb>
    <v>1</v>
  </rv>
  <rv s="0">
    <fb>260.25</fb>
    <v>1</v>
  </rv>
  <rv s="0">
    <fb>187.98</fb>
    <v>1</v>
  </rv>
  <rv s="0">
    <fb>131.55000000000001</fb>
    <v>1</v>
  </rv>
  <rv s="0">
    <fb>403.5</fb>
    <v>1</v>
  </rv>
  <rv s="0">
    <fb>145.12</fb>
    <v>1</v>
  </rv>
  <rv s="0">
    <fb>471.65</fb>
    <v>1</v>
  </rv>
  <rv s="0">
    <fb>30.6</fb>
    <v>1</v>
  </rv>
  <rv s="0">
    <fb>195.64</fb>
    <v>1</v>
  </rv>
  <rv s="0">
    <fb>234.5</fb>
    <v>1</v>
  </rv>
  <rv s="0">
    <fb>19.285</fb>
    <v>1</v>
  </rv>
  <rv s="0">
    <fb>559.79999999999995</fb>
    <v>1</v>
  </rv>
  <rv s="0">
    <fb>99.787999999999997</fb>
    <v>1</v>
  </rv>
  <rv s="0">
    <fb>99.45</fb>
    <v>1</v>
  </rv>
  <rv s="0">
    <fb>55.05</fb>
    <v>1</v>
  </rv>
  <rv s="0">
    <fb>45790</fb>
    <v>0</v>
  </rv>
  <rv s="0">
    <fb>116.14</fb>
    <v>1</v>
  </rv>
  <rv s="0">
    <fb>173.6</fb>
    <v>1</v>
  </rv>
  <rv s="0">
    <fb>259.35000000000002</fb>
    <v>1</v>
  </rv>
  <rv s="0">
    <fb>189.96</fb>
    <v>1</v>
  </rv>
  <rv s="0">
    <fb>136</fb>
    <v>1</v>
  </rv>
  <rv s="0">
    <fb>402.25</fb>
    <v>1</v>
  </rv>
  <rv s="0">
    <fb>141.97999999999999</fb>
    <v>1</v>
  </rv>
  <rv s="0">
    <fb>464.85</fb>
    <v>1</v>
  </rv>
  <rv s="0">
    <fb>32</fb>
    <v>1</v>
  </rv>
  <rv s="0">
    <fb>207.05</fb>
    <v>1</v>
  </rv>
  <rv s="0">
    <fb>234.95</fb>
    <v>1</v>
  </rv>
  <rv s="0">
    <fb>19.945</fb>
    <v>1</v>
  </rv>
  <rv s="0">
    <fb>100.13</fb>
    <v>1</v>
  </rv>
  <rv s="0">
    <fb>55.23</fb>
    <v>1</v>
  </rv>
  <rv s="0">
    <fb>45791</fb>
    <v>0</v>
  </rv>
  <rv s="0">
    <fb>120.76</fb>
    <v>1</v>
  </rv>
  <rv s="0">
    <fb>174.2</fb>
    <v>1</v>
  </rv>
  <rv s="0">
    <fb>318.45</fb>
    <v>1</v>
  </rv>
  <rv s="0">
    <fb>261.05</fb>
    <v>1</v>
  </rv>
  <rv s="0">
    <fb>187.88</fb>
    <v>1</v>
  </rv>
  <rv s="0">
    <fb>138.19999999999999</fb>
    <v>1</v>
  </rv>
  <rv s="0">
    <fb>405.15</fb>
    <v>1</v>
  </rv>
  <rv s="0">
    <fb>458.2</fb>
    <v>1</v>
  </rv>
  <rv s="0">
    <fb>207.5</fb>
    <v>1</v>
  </rv>
  <rv s="0">
    <fb>234.3</fb>
    <v>1</v>
  </rv>
  <rv s="0">
    <fb>570.29999999999995</fb>
    <v>1</v>
  </rv>
  <rv s="0">
    <fb>99.738</fb>
    <v>1</v>
  </rv>
  <rv s="0">
    <fb>99.83</fb>
    <v>1</v>
  </rv>
  <rv s="0">
    <fb>45792</fb>
    <v>0</v>
  </rv>
  <rv s="0">
    <fb>120.22</fb>
    <v>1</v>
  </rv>
  <rv s="0">
    <fb>173</fb>
    <v>1</v>
  </rv>
  <rv s="0">
    <fb>324.3</fb>
    <v>1</v>
  </rv>
  <rv s="0">
    <fb>259.7</fb>
    <v>1</v>
  </rv>
  <rv s="0">
    <fb>183.58</fb>
    <v>1</v>
  </rv>
  <rv s="0">
    <fb>137.65</fb>
    <v>1</v>
  </rv>
  <rv s="0">
    <fb>404.15</fb>
    <v>1</v>
  </rv>
  <rv s="0">
    <fb>145.32</fb>
    <v>1</v>
  </rv>
  <rv s="0">
    <fb>463</fb>
    <v>1</v>
  </rv>
  <rv s="0">
    <fb>207.2</fb>
    <v>1</v>
  </rv>
  <rv s="0">
    <fb>19.655000000000001</fb>
    <v>1</v>
  </rv>
  <rv s="0">
    <fb>569.70000000000005</fb>
    <v>1</v>
  </rv>
  <rv s="0">
    <fb>100.4</fb>
    <v>1</v>
  </rv>
  <rv s="0">
    <fb>100.215</fb>
    <v>1</v>
  </rv>
  <rv s="0">
    <fb>55.27</fb>
    <v>1</v>
  </rv>
  <rv s="0">
    <fb>45793</fb>
    <v>0</v>
  </rv>
  <rv s="0">
    <fb>121.08</fb>
    <v>1</v>
  </rv>
  <rv s="0">
    <fb>327.35000000000002</fb>
    <v>1</v>
  </rv>
  <rv s="0">
    <fb>261.45</fb>
    <v>1</v>
  </rv>
  <rv s="0">
    <fb>183.68</fb>
    <v>1</v>
  </rv>
  <rv s="0">
    <fb>139.5</fb>
    <v>1</v>
  </rv>
  <rv s="0">
    <fb>405.95</fb>
    <v>1</v>
  </rv>
  <rv s="0">
    <fb>460.5</fb>
    <v>1</v>
  </rv>
  <rv s="0">
    <fb>205.95</fb>
    <v>1</v>
  </rv>
  <rv s="0">
    <fb>240.2</fb>
    <v>1</v>
  </rv>
  <rv s="0">
    <fb>19.68</fb>
    <v>1</v>
  </rv>
  <rv s="0">
    <fb>586.79999999999995</fb>
    <v>1</v>
  </rv>
  <rv s="0">
    <fb>101.22</fb>
    <v>1</v>
  </rv>
  <rv s="0">
    <fb>100.94499999999999</fb>
    <v>1</v>
  </rv>
  <rv s="0">
    <fb>55.55</fb>
    <v>1</v>
  </rv>
  <rv s="0">
    <fb>45796</fb>
    <v>0</v>
  </rv>
  <rv s="0">
    <fb>120.5</fb>
    <v>1</v>
  </rv>
  <rv s="0">
    <fb>171</fb>
    <v>1</v>
  </rv>
  <rv s="0">
    <fb>256.85000000000002</fb>
    <v>1</v>
  </rv>
  <rv s="0">
    <fb>183.32</fb>
    <v>1</v>
  </rv>
  <rv s="0">
    <fb>140.05000000000001</fb>
    <v>1</v>
  </rv>
  <rv s="0">
    <fb>408</fb>
    <v>1</v>
  </rv>
  <rv s="0">
    <fb>146.82</fb>
    <v>1</v>
  </rv>
  <rv s="0">
    <fb>464.65</fb>
    <v>1</v>
  </rv>
  <rv s="0">
    <fb>33.6</fb>
    <v>1</v>
  </rv>
  <rv s="0">
    <fb>203.05</fb>
    <v>1</v>
  </rv>
  <rv s="0">
    <fb>238.15</fb>
    <v>1</v>
  </rv>
  <rv s="0">
    <fb>19.335000000000001</fb>
    <v>1</v>
  </rv>
  <rv s="0">
    <fb>585.6</fb>
    <v>1</v>
  </rv>
  <rv s="0">
    <fb>100.53</fb>
    <v>1</v>
  </rv>
  <rv s="0">
    <fb>100.355</fb>
    <v>1</v>
  </rv>
  <rv s="0">
    <fb>55.76</fb>
    <v>1</v>
  </rv>
  <rv s="0">
    <fb>45797</fb>
    <v>0</v>
  </rv>
  <rv s="0">
    <fb>119</fb>
    <v>1</v>
  </rv>
  <rv s="0">
    <fb>325.2</fb>
    <v>1</v>
  </rv>
  <rv s="0">
    <fb>253.95</fb>
    <v>1</v>
  </rv>
  <rv s="0">
    <fb>180.96</fb>
    <v>1</v>
  </rv>
  <rv s="0">
    <fb>137.19999999999999</fb>
    <v>1</v>
  </rv>
  <rv s="0">
    <fb>405.6</fb>
    <v>1</v>
  </rv>
  <rv s="0">
    <fb>147.13999999999999</fb>
    <v>1</v>
  </rv>
  <rv s="0">
    <fb>461.05</fb>
    <v>1</v>
  </rv>
  <rv s="0">
    <fb>35.799999999999997</fb>
    <v>1</v>
  </rv>
  <rv s="0">
    <fb>203.85</fb>
    <v>1</v>
  </rv>
  <rv s="0">
    <fb>235.75</fb>
    <v>1</v>
  </rv>
  <rv s="0">
    <fb>19.440000000000001</fb>
    <v>1</v>
  </rv>
  <rv s="0">
    <fb>586.20000000000005</fb>
    <v>1</v>
  </rv>
  <rv s="0">
    <fb>99.748000000000005</fb>
    <v>1</v>
  </rv>
  <rv s="0">
    <fb>100.58</fb>
    <v>1</v>
  </rv>
  <rv s="0">
    <fb>55.92</fb>
    <v>1</v>
  </rv>
  <rv s="0">
    <fb>45798</fb>
    <v>0</v>
  </rv>
  <rv s="0">
    <fb>116.4</fb>
    <v>1</v>
  </rv>
  <rv s="0">
    <fb>169.2</fb>
    <v>1</v>
  </rv>
  <rv s="0">
    <fb>249.7</fb>
    <v>1</v>
  </rv>
  <rv s="0">
    <fb>178.02</fb>
    <v>1</v>
  </rv>
  <rv s="0">
    <fb>134.15</fb>
    <v>1</v>
  </rv>
  <rv s="0">
    <fb>399.7</fb>
    <v>1</v>
  </rv>
  <rv s="0">
    <fb>146.04</fb>
    <v>1</v>
  </rv>
  <rv s="0">
    <fb>455</fb>
    <v>1</v>
  </rv>
  <rv s="0">
    <fb>35.200000000000003</fb>
    <v>1</v>
  </rv>
  <rv s="0">
    <fb>206.8</fb>
    <v>1</v>
  </rv>
  <rv s="0">
    <fb>19.215</fb>
    <v>1</v>
  </rv>
  <rv s="0">
    <fb>581.4</fb>
    <v>1</v>
  </rv>
  <rv s="0">
    <fb>98.456000000000003</fb>
    <v>1</v>
  </rv>
  <rv s="0">
    <fb>99.834999999999994</fb>
    <v>1</v>
  </rv>
  <rv s="0">
    <fb>55.42</fb>
    <v>1</v>
  </rv>
  <rv s="0">
    <fb>45799</fb>
    <v>0</v>
  </rv>
  <rv s="0">
    <fb>118.08</fb>
    <v>1</v>
  </rv>
  <rv s="0">
    <fb>318.5</fb>
    <v>1</v>
  </rv>
  <rv s="0">
    <fb>251.45</fb>
    <v>1</v>
  </rv>
  <rv s="0">
    <fb>180.86</fb>
    <v>1</v>
  </rv>
  <rv s="0">
    <fb>404.6</fb>
    <v>1</v>
  </rv>
  <rv s="0">
    <fb>146.91999999999999</fb>
    <v>1</v>
  </rv>
  <rv s="0">
    <fb>452.85</fb>
    <v>1</v>
  </rv>
  <rv s="0">
    <fb>34.200000000000003</fb>
    <v>1</v>
  </rv>
  <rv s="0">
    <fb>206</fb>
    <v>1</v>
  </rv>
  <rv s="0">
    <fb>231.9</fb>
    <v>1</v>
  </rv>
  <rv s="0">
    <fb>19.28</fb>
    <v>1</v>
  </rv>
  <rv s="0">
    <fb>569</fb>
    <v>1</v>
  </rv>
  <rv s="0">
    <fb>98.676000000000002</fb>
    <v>1</v>
  </rv>
  <rv s="0">
    <fb>99.034999999999997</fb>
    <v>1</v>
  </rv>
  <rv s="0">
    <fb>45800</fb>
    <v>0</v>
  </rv>
  <rv s="0">
    <fb>115.66</fb>
    <v>1</v>
  </rv>
  <rv s="0">
    <fb>311.60000000000002</fb>
    <v>1</v>
  </rv>
  <rv s="0">
    <fb>177.82</fb>
    <v>1</v>
  </rv>
  <rv s="0">
    <fb>138.05000000000001</fb>
    <v>1</v>
  </rv>
  <rv s="0">
    <fb>397</fb>
    <v>1</v>
  </rv>
  <rv s="0">
    <fb>145.91999999999999</fb>
    <v>1</v>
  </rv>
  <rv s="0">
    <fb>446.7</fb>
    <v>1</v>
  </rv>
  <rv s="0">
    <fb>34.6</fb>
    <v>1</v>
  </rv>
  <rv s="0">
    <fb>202.05</fb>
    <v>1</v>
  </rv>
  <rv s="0">
    <fb>230.15</fb>
    <v>1</v>
  </rv>
  <rv s="0">
    <fb>572.1</fb>
    <v>1</v>
  </rv>
  <rv s="0">
    <fb>97.156000000000006</fb>
    <v>1</v>
  </rv>
  <rv s="0">
    <fb>97.995000000000005</fb>
    <v>1</v>
  </rv>
  <rv s="0">
    <fb>54.57</fb>
    <v>1</v>
  </rv>
  <rv s="0">
    <fb>45803</fb>
    <v>0</v>
  </rv>
  <rv s="0">
    <fb>117.98</fb>
    <v>1</v>
  </rv>
  <rv s="0">
    <fb>172.4</fb>
    <v>1</v>
  </rv>
  <rv s="0">
    <fb>313.5</fb>
    <v>1</v>
  </rv>
  <rv s="0">
    <fb>243.75</fb>
    <v>1</v>
  </rv>
  <rv s="0">
    <fb>178.8</fb>
    <v>1</v>
  </rv>
  <rv s="0">
    <fb>143</fb>
    <v>1</v>
  </rv>
  <rv s="0">
    <fb>399.9</fb>
    <v>1</v>
  </rv>
  <rv s="0">
    <fb>146.28</fb>
    <v>1</v>
  </rv>
  <rv s="0">
    <fb>448.8</fb>
    <v>1</v>
  </rv>
  <rv s="0">
    <fb>35</fb>
    <v>1</v>
  </rv>
  <rv s="0">
    <fb>205.15</fb>
    <v>1</v>
  </rv>
  <rv s="0">
    <fb>229.8</fb>
    <v>1</v>
  </rv>
  <rv s="0">
    <fb>19.434999999999999</fb>
    <v>1</v>
  </rv>
  <rv s="0">
    <fb>582.20000000000005</fb>
    <v>1</v>
  </rv>
  <rv s="0">
    <fb>97.956000000000003</fb>
    <v>1</v>
  </rv>
  <rv s="0">
    <fb>98.89</fb>
    <v>1</v>
  </rv>
  <rv s="0">
    <fb>55.28</fb>
    <v>1</v>
  </rv>
  <rv s="0">
    <fb>45804</fb>
    <v>0</v>
  </rv>
  <rv s="0">
    <fb>119.2</fb>
    <v>1</v>
  </rv>
  <rv s="0">
    <fb>316.85000000000002</fb>
    <v>1</v>
  </rv>
  <rv s="0">
    <fb>242.05</fb>
    <v>1</v>
  </rv>
  <rv s="0">
    <fb>181.32</fb>
    <v>1</v>
  </rv>
  <rv s="0">
    <fb>142.85</fb>
    <v>1</v>
  </rv>
  <rv s="0">
    <fb>406.4</fb>
    <v>1</v>
  </rv>
  <rv s="0">
    <fb>148.04</fb>
    <v>1</v>
  </rv>
  <rv s="0">
    <fb>454.65</fb>
    <v>1</v>
  </rv>
  <rv s="0">
    <fb>35.6</fb>
    <v>1</v>
  </rv>
  <rv s="0">
    <fb>206.65</fb>
    <v>1</v>
  </rv>
  <rv s="0">
    <fb>232</fb>
    <v>1</v>
  </rv>
  <rv s="0">
    <fb>19.940000000000001</fb>
    <v>1</v>
  </rv>
  <rv s="0">
    <fb>583.6</fb>
    <v>1</v>
  </rv>
  <rv s="0">
    <fb>98.983999999999995</fb>
    <v>1</v>
  </rv>
  <rv s="0">
    <fb>99.63</fb>
    <v>1</v>
  </rv>
  <rv s="0">
    <fb>55.51</fb>
    <v>1</v>
  </rv>
  <rv s="0">
    <fb>45805</fb>
    <v>0</v>
  </rv>
  <rv s="0">
    <fb>119.68</fb>
    <v>1</v>
  </rv>
  <rv s="0">
    <fb>317.39999999999998</fb>
    <v>1</v>
  </rv>
  <rv s="0">
    <fb>244.3</fb>
    <v>1</v>
  </rv>
  <rv s="0">
    <fb>181.82</fb>
    <v>1</v>
  </rv>
  <rv s="0">
    <fb>143.94999999999999</fb>
    <v>1</v>
  </rv>
  <rv s="0">
    <fb>404.85</fb>
    <v>1</v>
  </rv>
  <rv s="0">
    <fb>148.28</fb>
    <v>1</v>
  </rv>
  <rv s="0">
    <fb>452</fb>
    <v>1</v>
  </rv>
  <rv s="0">
    <fb>36.200000000000003</fb>
    <v>1</v>
  </rv>
  <rv s="0">
    <fb>208.6</fb>
    <v>1</v>
  </rv>
  <rv s="0">
    <fb>233.95</fb>
    <v>1</v>
  </rv>
  <rv s="0">
    <fb>19.97</fb>
    <v>1</v>
  </rv>
  <rv s="0">
    <fb>585.29999999999995</fb>
    <v>1</v>
  </rv>
  <rv s="0">
    <fb>99.296000000000006</fb>
    <v>1</v>
  </rv>
  <rv s="0">
    <fb>99.76</fb>
    <v>1</v>
  </rv>
  <rv s="0">
    <fb>55.21</fb>
    <v>1</v>
  </rv>
  <rv s="0">
    <fb>45806</fb>
    <v>0</v>
  </rv>
  <rv s="0">
    <fb>122</fb>
    <v>1</v>
  </rv>
  <rv s="0">
    <fb>173.8</fb>
    <v>1</v>
  </rv>
  <rv s="0">
    <fb>318.35000000000002</fb>
    <v>1</v>
  </rv>
  <rv s="0">
    <fb>230.2</fb>
    <v>1</v>
  </rv>
  <rv s="0">
    <fb>180.92</fb>
    <v>1</v>
  </rv>
  <rv s="0">
    <fb>140</fb>
    <v>1</v>
  </rv>
  <rv s="0">
    <fb>403.85</fb>
    <v>1</v>
  </rv>
  <rv s="0">
    <fb>148.24</fb>
    <v>1</v>
  </rv>
  <rv s="0">
    <fb>449.45</fb>
    <v>1</v>
  </rv>
  <rv s="0">
    <fb>34</fb>
    <v>1</v>
  </rv>
  <rv s="0">
    <fb>211.9</fb>
    <v>1</v>
  </rv>
  <rv s="0">
    <fb>231.65</fb>
    <v>1</v>
  </rv>
  <rv s="0">
    <fb>20.190000000000001</fb>
    <v>1</v>
  </rv>
  <rv s="0">
    <fb>573.29999999999995</fb>
    <v>1</v>
  </rv>
  <rv s="0">
    <fb>98.56</fb>
    <v>1</v>
  </rv>
  <rv s="0">
    <fb>99.27</fb>
    <v>1</v>
  </rv>
  <rv s="0">
    <fb>54.97</fb>
    <v>1</v>
  </rv>
  <rv s="0">
    <fb>45807</fb>
    <v>0</v>
  </rv>
  <rv s="0">
    <fb>322.5</fb>
    <v>1</v>
  </rv>
  <rv s="0">
    <fb>179.78</fb>
    <v>1</v>
  </rv>
  <rv s="0">
    <fb>138.65</fb>
    <v>1</v>
  </rv>
  <rv s="0">
    <fb>406.5</fb>
    <v>1</v>
  </rv>
  <rv s="0">
    <fb>150</fb>
    <v>1</v>
  </rv>
  <rv s="0">
    <fb>454.75</fb>
    <v>1</v>
  </rv>
  <rv s="0">
    <fb>211.7</fb>
    <v>1</v>
  </rv>
  <rv s="0">
    <fb>20.23</fb>
    <v>1</v>
  </rv>
  <rv s="0">
    <fb>571.4</fb>
    <v>1</v>
  </rv>
  <rv s="0">
    <fb>98.034000000000006</fb>
    <v>1</v>
  </rv>
  <rv s="0">
    <fb>99.275000000000006</fb>
    <v>1</v>
  </rv>
  <rv s="0">
    <fb>54.76</fb>
    <v>1</v>
  </rv>
  <rv s="0">
    <fb>45810</fb>
    <v>0</v>
  </rv>
  <rv s="0">
    <fb>120.18</fb>
    <v>1</v>
  </rv>
  <rv s="0">
    <fb>170.2</fb>
    <v>1</v>
  </rv>
  <rv s="0">
    <fb>317.75</fb>
    <v>1</v>
  </rv>
  <rv s="0">
    <fb>229.3</fb>
    <v>1</v>
  </rv>
  <rv s="0">
    <fb>181.08</fb>
    <v>1</v>
  </rv>
  <rv s="0">
    <fb>146.44999999999999</fb>
    <v>1</v>
  </rv>
  <rv s="0">
    <fb>403.45</fb>
    <v>1</v>
  </rv>
  <rv s="0">
    <fb>146.66</fb>
    <v>1</v>
  </rv>
  <rv s="0">
    <fb>446.4</fb>
    <v>1</v>
  </rv>
  <rv s="0">
    <fb>31</fb>
    <v>1</v>
  </rv>
  <rv s="0">
    <fb>216.15</fb>
    <v>1</v>
  </rv>
  <rv s="0">
    <fb>231.15</fb>
    <v>1</v>
  </rv>
  <rv s="0">
    <fb>19.895</fb>
    <v>1</v>
  </rv>
  <rv s="0">
    <fb>579.20000000000005</fb>
    <v>1</v>
  </rv>
  <rv s="0">
    <fb>98.191999999999993</fb>
    <v>1</v>
  </rv>
  <rv s="0">
    <fb>98.8</fb>
    <v>1</v>
  </rv>
  <rv s="0">
    <fb>54.95</fb>
    <v>1</v>
  </rv>
  <rv s="0">
    <fb>45811</fb>
    <v>0</v>
  </rv>
  <rv s="0">
    <fb>124.22</fb>
    <v>1</v>
  </rv>
  <rv s="0">
    <fb>321.85000000000002</fb>
    <v>1</v>
  </rv>
  <rv s="0">
    <fb>231.4</fb>
    <v>1</v>
  </rv>
  <rv s="0">
    <fb>180.54</fb>
    <v>1</v>
  </rv>
  <rv s="0">
    <fb>154.35</fb>
    <v>1</v>
  </rv>
  <rv s="0">
    <fb>407.2</fb>
    <v>1</v>
  </rv>
  <rv s="0">
    <fb>146.68</fb>
    <v>1</v>
  </rv>
  <rv s="0">
    <fb>448.4</fb>
    <v>1</v>
  </rv>
  <rv s="0">
    <fb>590.5</fb>
    <v>1</v>
  </rv>
  <rv s="0">
    <fb>99.674000000000007</fb>
    <v>1</v>
  </rv>
  <rv s="0">
    <fb>100.06</fb>
    <v>1</v>
  </rv>
  <rv s="0">
    <fb>55.13</fb>
    <v>1</v>
  </rv>
  <rv s="0">
    <fb>45812</fb>
    <v>0</v>
  </rv>
  <rv s="0">
    <fb>177.8</fb>
    <v>1</v>
  </rv>
  <rv s="0">
    <fb>230.55</fb>
    <v>1</v>
  </rv>
  <rv s="0">
    <fb>181.7</fb>
    <v>1</v>
  </rv>
  <rv s="0">
    <fb>155.9</fb>
    <v>1</v>
  </rv>
  <rv s="0">
    <fb>406.55</fb>
    <v>1</v>
  </rv>
  <rv s="0">
    <fb>447.2</fb>
    <v>1</v>
  </rv>
  <rv s="0">
    <fb>34.4</fb>
    <v>1</v>
  </rv>
  <rv s="0">
    <fb>227.45</fb>
    <v>1</v>
  </rv>
  <rv s="0">
    <fb>231.95</fb>
    <v>1</v>
  </rv>
  <rv s="0">
    <fb>20.77</fb>
    <v>1</v>
  </rv>
  <rv s="0">
    <fb>612.70000000000005</fb>
    <v>1</v>
  </rv>
  <rv s="0">
    <fb>99.31</fb>
    <v>1</v>
  </rv>
  <rv s="0">
    <fb>55.35</fb>
    <v>1</v>
  </rv>
  <rv s="0">
    <fb>45813</fb>
    <v>0</v>
  </rv>
  <rv s="0">
    <fb>122.3</fb>
    <v>1</v>
  </rv>
  <rv s="0">
    <fb>177</fb>
    <v>1</v>
  </rv>
  <rv s="0">
    <fb>320.85000000000002</fb>
    <v>1</v>
  </rv>
  <rv s="0">
    <fb>233.2</fb>
    <v>1</v>
  </rv>
  <rv s="0">
    <fb>183.8</fb>
    <v>1</v>
  </rv>
  <rv s="0">
    <fb>150.85</fb>
    <v>1</v>
  </rv>
  <rv s="0">
    <fb>410.15</fb>
    <v>1</v>
  </rv>
  <rv s="0">
    <fb>142.41999999999999</fb>
    <v>1</v>
  </rv>
  <rv s="0">
    <fb>450.75</fb>
    <v>1</v>
  </rv>
  <rv s="0">
    <fb>229.55</fb>
    <v>1</v>
  </rv>
  <rv s="0">
    <fb>625.5</fb>
    <v>1</v>
  </rv>
  <rv s="0">
    <fb>99.111999999999995</fb>
    <v>1</v>
  </rv>
  <rv s="0">
    <fb>100.145</fb>
    <v>1</v>
  </rv>
  <rv s="0">
    <fb>45814</fb>
    <v>0</v>
  </rv>
  <rv s="0">
    <fb>124.44</fb>
    <v>1</v>
  </rv>
  <rv s="0">
    <fb>239</fb>
    <v>1</v>
  </rv>
  <rv s="0">
    <fb>187.12</fb>
    <v>1</v>
  </rv>
  <rv s="0">
    <fb>149.65</fb>
    <v>1</v>
  </rv>
  <rv s="0">
    <fb>412.75</fb>
    <v>1</v>
  </rv>
  <rv s="0">
    <fb>143.86000000000001</fb>
    <v>1</v>
  </rv>
  <rv s="0">
    <fb>458</fb>
    <v>1</v>
  </rv>
  <rv s="0">
    <fb>42.2</fb>
    <v>1</v>
  </rv>
  <rv s="0">
    <fb>20.63</fb>
    <v>1</v>
  </rv>
  <rv s="0">
    <fb>626.1</fb>
    <v>1</v>
  </rv>
  <rv s="0">
    <fb>99.834000000000003</fb>
    <v>1</v>
  </rv>
  <rv s="0">
    <fb>55.52</fb>
    <v>1</v>
  </rv>
  <rv s="0">
    <fb>45817</fb>
    <v>0</v>
  </rv>
  <rv s="0">
    <fb>124.86</fb>
    <v>1</v>
  </rv>
  <rv s="0">
    <fb>182.6</fb>
    <v>1</v>
  </rv>
  <rv s="0">
    <fb>320.8</fb>
    <v>1</v>
  </rv>
  <rv s="0">
    <fb>239.4</fb>
    <v>1</v>
  </rv>
  <rv s="0">
    <fb>190</fb>
    <v>1</v>
  </rv>
  <rv s="0">
    <fb>151.30000000000001</fb>
    <v>1</v>
  </rv>
  <rv s="0">
    <fb>412</fb>
    <v>1</v>
  </rv>
  <rv s="0">
    <fb>142.12</fb>
    <v>1</v>
  </rv>
  <rv s="0">
    <fb>449.2</fb>
    <v>1</v>
  </rv>
  <rv s="0">
    <fb>47.4</fb>
    <v>1</v>
  </rv>
  <rv s="0">
    <fb>213.95</fb>
    <v>1</v>
  </rv>
  <rv s="0">
    <fb>232.55</fb>
    <v>1</v>
  </rv>
  <rv s="0">
    <fb>20.82</fb>
    <v>1</v>
  </rv>
  <rv s="0">
    <fb>615.79999999999995</fb>
    <v>1</v>
  </rv>
  <rv s="0">
    <fb>99.957999999999998</fb>
    <v>1</v>
  </rv>
  <rv s="0">
    <fb>100.46</fb>
    <v>1</v>
  </rv>
  <rv s="0">
    <fb>45818</fb>
    <v>0</v>
  </rv>
  <rv s="0">
    <fb>186.2</fb>
    <v>1</v>
  </rv>
  <rv s="0">
    <fb>324.05</fb>
    <v>1</v>
  </rv>
  <rv s="0">
    <fb>237</fb>
    <v>1</v>
  </rv>
  <rv s="0">
    <fb>141.44999999999999</fb>
    <v>1</v>
  </rv>
  <rv s="0">
    <fb>411.25</fb>
    <v>1</v>
  </rv>
  <rv s="0">
    <fb>142.28</fb>
    <v>1</v>
  </rv>
  <rv s="0">
    <fb>449.25</fb>
    <v>1</v>
  </rv>
  <rv s="0">
    <fb>45.8</fb>
    <v>1</v>
  </rv>
  <rv s="0">
    <fb>212.15</fb>
    <v>1</v>
  </rv>
  <rv s="0">
    <fb>234.85</fb>
    <v>1</v>
  </rv>
  <rv s="0">
    <fb>21.07</fb>
    <v>1</v>
  </rv>
  <rv s="0">
    <fb>592.79999999999995</fb>
    <v>1</v>
  </rv>
  <rv s="0">
    <fb>100.155</fb>
    <v>1</v>
  </rv>
  <rv s="0">
    <fb>100.515</fb>
    <v>1</v>
  </rv>
  <rv s="0">
    <fb>45819</fb>
    <v>0</v>
  </rv>
  <rv s="0">
    <fb>124.3</fb>
    <v>1</v>
  </rv>
  <rv s="0">
    <fb>186</fb>
    <v>1</v>
  </rv>
  <rv s="0">
    <fb>324.64999999999998</fb>
    <v>1</v>
  </rv>
  <rv s="0">
    <fb>233.9</fb>
    <v>1</v>
  </rv>
  <rv s="0">
    <fb>185.48</fb>
    <v>1</v>
  </rv>
  <rv s="0">
    <fb>145.19999999999999</fb>
    <v>1</v>
  </rv>
  <rv s="0">
    <fb>411.4</fb>
    <v>1</v>
  </rv>
  <rv s="0">
    <fb>141.16</fb>
    <v>1</v>
  </rv>
  <rv s="0">
    <fb>446.75</fb>
    <v>1</v>
  </rv>
  <rv s="0">
    <fb>45.4</fb>
    <v>1</v>
  </rv>
  <rv s="0">
    <fb>218.4</fb>
    <v>1</v>
  </rv>
  <rv s="0">
    <fb>21.1</fb>
    <v>1</v>
  </rv>
  <rv s="0">
    <fb>618.4</fb>
    <v>1</v>
  </rv>
  <rv s="0">
    <fb>99.572000000000003</fb>
    <v>1</v>
  </rv>
  <rv s="0">
    <fb>55.25</fb>
    <v>1</v>
  </rv>
  <rv s="0">
    <fb>45820</fb>
    <v>0</v>
  </rv>
  <rv s="0">
    <fb>125.04</fb>
    <v>1</v>
  </rv>
  <rv s="0">
    <fb>186.4</fb>
    <v>1</v>
  </rv>
  <rv s="0">
    <fb>320.25</fb>
    <v>1</v>
  </rv>
  <rv s="0">
    <fb>229.75</fb>
    <v>1</v>
  </rv>
  <rv s="0">
    <fb>183.98</fb>
    <v>1</v>
  </rv>
  <rv s="0">
    <fb>149.75</fb>
    <v>1</v>
  </rv>
  <rv s="0">
    <fb>414.1</fb>
    <v>1</v>
  </rv>
  <rv s="0">
    <fb>140.69999999999999</fb>
    <v>1</v>
  </rv>
  <rv s="0">
    <fb>436.95</fb>
    <v>1</v>
  </rv>
  <rv s="0">
    <fb>43.6</fb>
    <v>1</v>
  </rv>
  <rv s="0">
    <fb>221.2</fb>
    <v>1</v>
  </rv>
  <rv s="0">
    <fb>231.2</fb>
    <v>1</v>
  </rv>
  <rv s="0">
    <fb>21.32</fb>
    <v>1</v>
  </rv>
  <rv s="0">
    <fb>99.087999999999994</fb>
    <v>1</v>
  </rv>
  <rv s="0">
    <fb>99.575000000000003</fb>
    <v>1</v>
  </rv>
  <rv s="0">
    <fb>54.99</fb>
    <v>1</v>
  </rv>
  <rv s="0">
    <fb>45821</fb>
    <v>0</v>
  </rv>
  <rv s="0">
    <fb>122.72</fb>
    <v>1</v>
  </rv>
  <rv s="0">
    <fb>184</fb>
    <v>1</v>
  </rv>
  <rv s="0">
    <fb>306</fb>
    <v>1</v>
  </rv>
  <rv s="0">
    <fb>224.15</fb>
    <v>1</v>
  </rv>
  <rv s="0">
    <fb>150.1</fb>
    <v>1</v>
  </rv>
  <rv s="0">
    <fb>412.6</fb>
    <v>1</v>
  </rv>
  <rv s="0">
    <fb>138.80000000000001</fb>
    <v>1</v>
  </rv>
  <rv s="0">
    <fb>435.8</fb>
    <v>1</v>
  </rv>
  <rv s="0">
    <fb>218.25</fb>
    <v>1</v>
  </rv>
  <rv s="0">
    <fb>228.25</fb>
    <v>1</v>
  </rv>
  <rv s="0">
    <fb>20.65</fb>
    <v>1</v>
  </rv>
  <rv s="0">
    <fb>610</fb>
    <v>1</v>
  </rv>
  <rv s="0">
    <fb>98.718000000000004</fb>
    <v>1</v>
  </rv>
  <rv s="0">
    <fb>99.245000000000005</fb>
    <v>1</v>
  </rv>
  <rv s="0">
    <fb>54.2</fb>
    <v>1</v>
  </rv>
  <rv s="0">
    <fb>45824</fb>
    <v>0</v>
  </rv>
  <rv s="0">
    <fb>124.9</fb>
    <v>1</v>
  </rv>
  <rv s="0">
    <fb>187</fb>
    <v>1</v>
  </rv>
  <rv s="0">
    <fb>309.05</fb>
    <v>1</v>
  </rv>
  <rv s="0">
    <fb>227.4</fb>
    <v>1</v>
  </rv>
  <rv s="0">
    <fb>413</fb>
    <v>1</v>
  </rv>
  <rv s="0">
    <fb>139.06</fb>
    <v>1</v>
  </rv>
  <rv s="0">
    <fb>437.5</fb>
    <v>1</v>
  </rv>
  <rv s="0">
    <fb>42.4</fb>
    <v>1</v>
  </rv>
  <rv s="0">
    <fb>218.2</fb>
    <v>1</v>
  </rv>
  <rv s="0">
    <fb>233.85</fb>
    <v>1</v>
  </rv>
  <rv s="0">
    <fb>21.15</fb>
    <v>1</v>
  </rv>
  <rv s="0">
    <fb>623.5</fb>
    <v>1</v>
  </rv>
  <rv s="0">
    <fb>99.034000000000006</fb>
    <v>1</v>
  </rv>
  <rv s="0">
    <fb>99.6</fb>
    <v>1</v>
  </rv>
  <rv s="0">
    <fb>54.15</fb>
    <v>1</v>
  </rv>
  <rv s="0">
    <fb>45825</fb>
    <v>0</v>
  </rv>
  <rv s="0">
    <fb>125.48</fb>
    <v>1</v>
  </rv>
  <rv s="0">
    <fb>311.64999999999998</fb>
    <v>1</v>
  </rv>
  <rv s="0">
    <fb>186.92</fb>
    <v>1</v>
  </rv>
  <rv s="0">
    <fb>416</fb>
    <v>1</v>
  </rv>
  <rv s="0">
    <fb>137.82</fb>
    <v>1</v>
  </rv>
  <rv s="0">
    <fb>437.65</fb>
    <v>1</v>
  </rv>
  <rv s="0">
    <fb>42</fb>
    <v>1</v>
  </rv>
  <rv s="0">
    <fb>20.58</fb>
    <v>1</v>
  </rv>
  <rv s="0">
    <fb>626.20000000000005</fb>
    <v>1</v>
  </rv>
  <rv s="0">
    <fb>99.05</fb>
    <v>1</v>
  </rv>
  <rv s="0">
    <fb>99.364999999999995</fb>
    <v>1</v>
  </rv>
  <rv s="0">
    <fb>53.65</fb>
    <v>1</v>
  </rv>
  <rv s="0">
    <fb>45826</fb>
    <v>0</v>
  </rv>
  <rv s="0">
    <fb>126.64</fb>
    <v>1</v>
  </rv>
  <rv s="0">
    <fb>294.64999999999998</fb>
    <v>1</v>
  </rv>
  <rv s="0">
    <fb>226.25</fb>
    <v>1</v>
  </rv>
  <rv s="0">
    <fb>187.3</fb>
    <v>1</v>
  </rv>
  <rv s="0">
    <fb>157.35</fb>
    <v>1</v>
  </rv>
  <rv s="0">
    <fb>418.5</fb>
    <v>1</v>
  </rv>
  <rv s="0">
    <fb>137.72</fb>
    <v>1</v>
  </rv>
  <rv s="0">
    <fb>438.1</fb>
    <v>1</v>
  </rv>
  <rv s="0">
    <fb>218.9</fb>
    <v>1</v>
  </rv>
  <rv s="0">
    <fb>20.88</fb>
    <v>1</v>
  </rv>
  <rv s="0">
    <fb>617.4</fb>
    <v>1</v>
  </rv>
  <rv s="0">
    <fb>98.974000000000004</fb>
    <v>1</v>
  </rv>
  <rv s="0">
    <fb>99.334999999999994</fb>
    <v>1</v>
  </rv>
  <rv s="0">
    <fb>45827</fb>
    <v>0</v>
  </rv>
  <rv s="0">
    <fb>124.66</fb>
    <v>1</v>
  </rv>
  <rv s="0">
    <fb>182</fb>
    <v>1</v>
  </rv>
  <rv s="0">
    <fb>293.95</fb>
    <v>1</v>
  </rv>
  <rv s="0">
    <fb>412.8</fb>
    <v>1</v>
  </rv>
  <rv s="0">
    <fb>137.76</fb>
    <v>1</v>
  </rv>
  <rv s="0">
    <fb>433.75</fb>
    <v>1</v>
  </rv>
  <rv s="0">
    <fb>41.4</fb>
    <v>1</v>
  </rv>
  <rv s="0">
    <fb>214.1</fb>
    <v>1</v>
  </rv>
  <rv s="0">
    <fb>236.15</fb>
    <v>1</v>
  </rv>
  <rv s="0">
    <fb>20.52</fb>
    <v>1</v>
  </rv>
  <rv s="0">
    <fb>617.1</fb>
    <v>1</v>
  </rv>
  <rv s="0">
    <fb>97.915999999999997</fb>
    <v>1</v>
  </rv>
  <rv s="0">
    <fb>98.55</fb>
    <v>1</v>
  </rv>
  <rv s="0">
    <fb>52.87</fb>
    <v>1</v>
  </rv>
  <rv s="0">
    <fb>45828</fb>
    <v>0</v>
  </rv>
  <rv s="0">
    <fb>124.68</fb>
    <v>1</v>
  </rv>
  <rv s="0">
    <fb>181.6</fb>
    <v>1</v>
  </rv>
  <rv s="0">
    <fb>293.35000000000002</fb>
    <v>1</v>
  </rv>
  <rv s="0">
    <fb>226.3</fb>
    <v>1</v>
  </rv>
  <rv s="0">
    <fb>159.25</fb>
    <v>1</v>
  </rv>
  <rv s="0">
    <fb>414.85</fb>
    <v>1</v>
  </rv>
  <rv s="0">
    <fb>137.91999999999999</fb>
    <v>1</v>
  </rv>
  <rv s="0">
    <fb>434.3</fb>
    <v>1</v>
  </rv>
  <rv s="0">
    <fb>239.2</fb>
    <v>1</v>
  </rv>
  <rv s="0">
    <fb>618.79999999999995</fb>
    <v>1</v>
  </rv>
  <rv s="0">
    <fb>97.706000000000003</fb>
    <v>1</v>
  </rv>
  <rv s="0">
    <fb>98.825000000000003</fb>
    <v>1</v>
  </rv>
  <rv s="0">
    <fb>53.08</fb>
    <v>1</v>
  </rv>
  <rv s="0">
    <fb>45831</fb>
    <v>0</v>
  </rv>
  <rv s="0">
    <fb>124.82</fb>
    <v>1</v>
  </rv>
  <rv s="0">
    <fb>181.2</fb>
    <v>1</v>
  </rv>
  <rv s="0">
    <fb>295.95</fb>
    <v>1</v>
  </rv>
  <rv s="0">
    <fb>227</fb>
    <v>1</v>
  </rv>
  <rv s="0">
    <fb>180.28</fb>
    <v>1</v>
  </rv>
  <rv s="0">
    <fb>157.55000000000001</fb>
    <v>1</v>
  </rv>
  <rv s="0">
    <fb>420.3</fb>
    <v>1</v>
  </rv>
  <rv s="0">
    <fb>138.72</fb>
    <v>1</v>
  </rv>
  <rv s="0">
    <fb>443.8</fb>
    <v>1</v>
  </rv>
  <rv s="0">
    <fb>215.6</fb>
    <v>1</v>
  </rv>
  <rv s="0">
    <fb>237.9</fb>
    <v>1</v>
  </rv>
  <rv s="0">
    <fb>20.47</fb>
    <v>1</v>
  </rv>
  <rv s="0">
    <fb>630.5</fb>
    <v>1</v>
  </rv>
  <rv s="0">
    <fb>98.197999999999993</fb>
    <v>1</v>
  </rv>
  <rv s="0">
    <fb>98.635000000000005</fb>
    <v>1</v>
  </rv>
  <rv s="0">
    <fb>45832</fb>
    <v>0</v>
  </rv>
  <rv s="0">
    <fb>189</fb>
    <v>1</v>
  </rv>
  <rv s="0">
    <fb>303.5</fb>
    <v>1</v>
  </rv>
  <rv s="0">
    <fb>183.7</fb>
    <v>1</v>
  </rv>
  <rv s="0">
    <fb>160.44999999999999</fb>
    <v>1</v>
  </rv>
  <rv s="0">
    <fb>422.5</fb>
    <v>1</v>
  </rv>
  <rv s="0">
    <fb>137.97999999999999</fb>
    <v>1</v>
  </rv>
  <rv s="0">
    <fb>450.1</fb>
    <v>1</v>
  </rv>
  <rv s="0">
    <fb>43.8</fb>
    <v>1</v>
  </rv>
  <rv s="0">
    <fb>242.3</fb>
    <v>1</v>
  </rv>
  <rv s="0">
    <fb>20.9</fb>
    <v>1</v>
  </rv>
  <rv s="0">
    <fb>645.20000000000005</fb>
    <v>1</v>
  </rv>
  <rv s="0">
    <fb>99.153999999999996</fb>
    <v>1</v>
  </rv>
  <rv s="0">
    <fb>99.555000000000007</fb>
    <v>1</v>
  </rv>
  <rv s="0">
    <fb>54.02</fb>
    <v>1</v>
  </rv>
  <rv s="0">
    <fb>45833</fb>
    <v>0</v>
  </rv>
  <rv s="0">
    <fb>191.8</fb>
    <v>1</v>
  </rv>
  <rv s="0">
    <fb>301.7</fb>
    <v>1</v>
  </rv>
  <rv s="0">
    <fb>162.25</fb>
    <v>1</v>
  </rv>
  <rv s="0">
    <fb>422.3</fb>
    <v>1</v>
  </rv>
  <rv s="0">
    <fb>136.6</fb>
    <v>1</v>
  </rv>
  <rv s="0">
    <fb>43.2</fb>
    <v>1</v>
  </rv>
  <rv s="0">
    <fb>227.6</fb>
    <v>1</v>
  </rv>
  <rv s="0">
    <fb>243.3</fb>
    <v>1</v>
  </rv>
  <rv s="0">
    <fb>20.78</fb>
    <v>1</v>
  </rv>
  <rv s="0">
    <fb>640.9</fb>
    <v>1</v>
  </rv>
  <rv s="0">
    <fb>99.454999999999998</fb>
    <v>1</v>
  </rv>
  <rv s="0">
    <fb>53.44</fb>
    <v>1</v>
  </rv>
  <rv s="0">
    <fb>45834</fb>
    <v>0</v>
  </rv>
  <rv s="0">
    <fb>132.72</fb>
    <v>1</v>
  </rv>
  <rv s="0">
    <fb>192.2</fb>
    <v>1</v>
  </rv>
  <rv s="0">
    <fb>294.3</fb>
    <v>1</v>
  </rv>
  <rv s="0">
    <fb>185.28</fb>
    <v>1</v>
  </rv>
  <rv s="0">
    <fb>161.94999999999999</fb>
    <v>1</v>
  </rv>
  <rv s="0">
    <fb>424.45</fb>
    <v>1</v>
  </rv>
  <rv s="0">
    <fb>442.85</fb>
    <v>1</v>
  </rv>
  <rv s="0">
    <fb>228.3</fb>
    <v>1</v>
  </rv>
  <rv s="0">
    <fb>246.85</fb>
    <v>1</v>
  </rv>
  <rv s="0">
    <fb>21.22</fb>
    <v>1</v>
  </rv>
  <rv s="0">
    <fb>654.70000000000005</fb>
    <v>1</v>
  </rv>
  <rv s="0">
    <fb>99.084000000000003</fb>
    <v>1</v>
  </rv>
  <rv s="0">
    <fb>99.525000000000006</fb>
    <v>1</v>
  </rv>
  <rv s="0">
    <fb>53.47</fb>
    <v>1</v>
  </rv>
  <rv s="0">
    <fb>45835</fb>
    <v>0</v>
  </rv>
  <rv s="0">
    <fb>134.41999999999999</fb>
    <v>1</v>
  </rv>
  <rv s="0">
    <fb>232.25</fb>
    <v>1</v>
  </rv>
  <rv s="0">
    <fb>168.85</fb>
    <v>1</v>
  </rv>
  <rv s="0">
    <fb>423</fb>
    <v>1</v>
  </rv>
  <rv s="0">
    <fb>136.16</fb>
    <v>1</v>
  </rv>
  <rv s="0">
    <fb>443.75</fb>
    <v>1</v>
  </rv>
  <rv s="0">
    <fb>44</fb>
    <v>1</v>
  </rv>
  <rv s="0">
    <fb>244.75</fb>
    <v>1</v>
  </rv>
  <rv s="0">
    <fb>19.670000000000002</fb>
    <v>1</v>
  </rv>
  <rv s="0">
    <fb>668.3</fb>
    <v>1</v>
  </rv>
  <rv s="0">
    <fb>99.861999999999995</fb>
    <v>1</v>
  </rv>
  <rv s="0">
    <fb>100.36499999999999</fb>
    <v>1</v>
  </rv>
  <rv s="0">
    <fb>54.31</fb>
    <v>1</v>
  </rv>
  <rv s="0">
    <fb>45838</fb>
    <v>0</v>
  </rv>
  <rv s="0">
    <fb>134.24</fb>
    <v>1</v>
  </rv>
  <rv s="0">
    <fb>192.6</fb>
    <v>1</v>
  </rv>
  <rv s="0">
    <fb>301.5</fb>
    <v>1</v>
  </rv>
  <rv s="0">
    <fb>186.84</fb>
    <v>1</v>
  </rv>
  <rv s="0">
    <fb>163.80000000000001</fb>
    <v>1</v>
  </rv>
  <rv s="0">
    <fb>135.56</fb>
    <v>1</v>
  </rv>
  <rv s="0">
    <fb>443.1</fb>
    <v>1</v>
  </rv>
  <rv s="0">
    <fb>235</fb>
    <v>1</v>
  </rv>
  <rv s="0">
    <fb>247.35</fb>
    <v>1</v>
  </rv>
  <rv s="0">
    <fb>19.93</fb>
    <v>1</v>
  </rv>
  <rv s="0">
    <fb>649.6</fb>
    <v>1</v>
  </rv>
  <rv s="0">
    <fb>99.552000000000007</fb>
    <v>1</v>
  </rv>
  <rv s="0">
    <fb>45839</fb>
    <v>0</v>
  </rv>
  <rv s="0">
    <fb>130.28</fb>
    <v>1</v>
  </rv>
  <rv s="0">
    <fb>190.4</fb>
    <v>1</v>
  </rv>
  <rv s="0">
    <fb>301.95</fb>
    <v>1</v>
  </rv>
  <rv s="0">
    <fb>187.5</fb>
    <v>1</v>
  </rv>
  <rv s="0">
    <fb>154.80000000000001</fb>
    <v>1</v>
  </rv>
  <rv s="0">
    <fb>417.5</fb>
    <v>1</v>
  </rv>
  <rv s="0">
    <fb>136.9</fb>
    <v>1</v>
  </rv>
  <rv s="0">
    <fb>443.35</fb>
    <v>1</v>
  </rv>
  <rv s="0">
    <fb>44.4</fb>
    <v>1</v>
  </rv>
  <rv s="0">
    <fb>246.15</fb>
    <v>1</v>
  </rv>
  <rv s="0">
    <fb>618.70000000000005</fb>
    <v>1</v>
  </rv>
  <rv s="0">
    <fb>99.762</fb>
    <v>1</v>
  </rv>
  <rv s="0">
    <fb>99.995000000000005</fb>
    <v>1</v>
  </rv>
  <rv s="0">
    <fb>45840</fb>
    <v>0</v>
  </rv>
  <rv s="0">
    <fb>133.12</fb>
    <v>1</v>
  </rv>
  <rv s="0">
    <fb>197.8</fb>
    <v>1</v>
  </rv>
  <rv s="0">
    <fb>299.5</fb>
    <v>1</v>
  </rv>
  <rv s="0">
    <fb>226.6</fb>
    <v>1</v>
  </rv>
  <rv s="0">
    <fb>186.72</fb>
    <v>1</v>
  </rv>
  <rv s="0">
    <fb>156.9</fb>
    <v>1</v>
  </rv>
  <rv s="0">
    <fb>417</fb>
    <v>1</v>
  </rv>
  <rv s="0">
    <fb>136.52000000000001</fb>
    <v>1</v>
  </rv>
  <rv s="0">
    <fb>447.8</fb>
    <v>1</v>
  </rv>
  <rv s="0">
    <fb>228.2</fb>
    <v>1</v>
  </rv>
  <rv s="0">
    <fb>247.25</fb>
    <v>1</v>
  </rv>
  <rv s="0">
    <fb>20.16</fb>
    <v>1</v>
  </rv>
  <rv s="0">
    <fb>609.70000000000005</fb>
    <v>1</v>
  </rv>
  <rv s="0">
    <fb>99.867999999999995</fb>
    <v>1</v>
  </rv>
  <rv s="0">
    <fb>100.2</fb>
    <v>1</v>
  </rv>
  <rv s="0">
    <fb>54.14</fb>
    <v>1</v>
  </rv>
  <rv s="0">
    <fb>45841</fb>
    <v>0</v>
  </rv>
  <rv s="0">
    <fb>135.52000000000001</fb>
    <v>1</v>
  </rv>
  <rv s="0">
    <fb>304.45</fb>
    <v>1</v>
  </rv>
  <rv s="0">
    <fb>232.05</fb>
    <v>1</v>
  </rv>
  <rv s="0">
    <fb>190.08</fb>
    <v>1</v>
  </rv>
  <rv s="0">
    <fb>162.85</fb>
    <v>1</v>
  </rv>
  <rv s="0">
    <fb>136.96</fb>
    <v>1</v>
  </rv>
  <rv s="0">
    <fb>449</fb>
    <v>1</v>
  </rv>
  <rv s="0">
    <fb>233.75</fb>
    <v>1</v>
  </rv>
  <rv s="0">
    <fb>251.4</fb>
    <v>1</v>
  </rv>
  <rv s="0">
    <fb>20.27</fb>
    <v>1</v>
  </rv>
  <rv s="0">
    <fb>614</fb>
    <v>1</v>
  </rv>
  <rv s="0">
    <fb>101.07</fb>
    <v>1</v>
  </rv>
  <rv s="0">
    <fb>101.25</fb>
    <v>1</v>
  </rv>
  <rv s="0">
    <fb>45842</fb>
    <v>0</v>
  </rv>
  <rv s="0">
    <fb>134.1</fb>
    <v>1</v>
  </rv>
  <rv s="0">
    <fb>198.2</fb>
    <v>1</v>
  </rv>
  <rv s="0">
    <fb>301.64999999999998</fb>
    <v>1</v>
  </rv>
  <rv s="0">
    <fb>188.34</fb>
    <v>1</v>
  </rv>
  <rv s="0">
    <fb>422.25</fb>
    <v>1</v>
  </rv>
  <rv s="0">
    <fb>136.66</fb>
    <v>1</v>
  </rv>
  <rv s="0">
    <fb>450.95</fb>
    <v>1</v>
  </rv>
  <rv s="0">
    <fb>41</fb>
    <v>1</v>
  </rv>
  <rv s="0">
    <fb>232.35</fb>
    <v>1</v>
  </rv>
  <rv s="0">
    <fb>250</fb>
    <v>1</v>
  </rv>
  <rv s="0">
    <fb>20.45</fb>
    <v>1</v>
  </rv>
  <rv s="0">
    <fb>615.70000000000005</fb>
    <v>1</v>
  </rv>
  <rv s="0">
    <fb>100.325</fb>
    <v>1</v>
  </rv>
  <rv s="0">
    <fb>100.55</fb>
    <v>1</v>
  </rv>
  <rv s="0">
    <fb>53.73</fb>
    <v>1</v>
  </rv>
  <rv s="0">
    <fb>45845</fb>
    <v>0</v>
  </rv>
  <rv s="0">
    <fb>134.97999999999999</fb>
    <v>1</v>
  </rv>
  <rv s="0">
    <fb>304.25</fb>
    <v>1</v>
  </rv>
  <rv s="0">
    <fb>231</fb>
    <v>1</v>
  </rv>
  <rv s="0">
    <fb>190.28</fb>
    <v>1</v>
  </rv>
  <rv s="0">
    <fb>424.65</fb>
    <v>1</v>
  </rv>
  <rv s="0">
    <fb>136.84</fb>
    <v>1</v>
  </rv>
  <rv s="0">
    <fb>454.2</fb>
    <v>1</v>
  </rv>
  <rv s="0">
    <fb>40.200000000000003</fb>
    <v>1</v>
  </rv>
  <rv s="0">
    <fb>248</fb>
    <v>1</v>
  </rv>
  <rv s="0">
    <fb>20.25</fb>
    <v>1</v>
  </rv>
  <rv s="0">
    <fb>611.9</fb>
    <v>1</v>
  </rv>
  <rv s="0">
    <fb>100.755</fb>
    <v>1</v>
  </rv>
  <rv s="0">
    <fb>100.855</fb>
    <v>1</v>
  </rv>
  <rv s="0">
    <fb>45846</fb>
    <v>0</v>
  </rv>
  <rv s="0">
    <fb>136.46</fb>
    <v>1</v>
  </rv>
  <rv s="0">
    <fb>301.35000000000002</fb>
    <v>1</v>
  </rv>
  <rv s="0">
    <fb>236.35</fb>
    <v>1</v>
  </rv>
  <rv s="0">
    <fb>160.5</fb>
    <v>1</v>
  </rv>
  <rv s="0">
    <fb>423.05</fb>
    <v>1</v>
  </rv>
  <rv s="0">
    <fb>135.47999999999999</fb>
    <v>1</v>
  </rv>
  <rv s="0">
    <fb>451.15</fb>
    <v>1</v>
  </rv>
  <rv s="0">
    <fb>243.2</fb>
    <v>1</v>
  </rv>
  <rv s="0">
    <fb>20.11</fb>
    <v>1</v>
  </rv>
  <rv s="0">
    <fb>612.20000000000005</fb>
    <v>1</v>
  </rv>
  <rv s="0">
    <fb>100.72</fb>
    <v>1</v>
  </rv>
  <rv s="0">
    <fb>54.81</fb>
    <v>1</v>
  </rv>
  <rv s="0">
    <fb>45847</fb>
    <v>0</v>
  </rv>
  <rv s="0">
    <fb>138.74</fb>
    <v>1</v>
  </rv>
  <rv s="0">
    <fb>198.8</fb>
    <v>1</v>
  </rv>
  <rv s="0">
    <fb>304.5</fb>
    <v>1</v>
  </rv>
  <rv s="0">
    <fb>428.9</fb>
    <v>1</v>
  </rv>
  <rv s="0">
    <fb>133.91999999999999</fb>
    <v>1</v>
  </rv>
  <rv s="0">
    <fb>451.35</fb>
    <v>1</v>
  </rv>
  <rv s="0">
    <fb>39.200000000000003</fb>
    <v>1</v>
  </rv>
  <rv s="0">
    <fb>235.15</fb>
    <v>1</v>
  </rv>
  <rv s="0">
    <fb>242.75</fb>
    <v>1</v>
  </rv>
  <rv s="0">
    <fb>622.6</fb>
    <v>1</v>
  </rv>
  <rv s="0">
    <fb>101.065</fb>
    <v>1</v>
  </rv>
  <rv s="0">
    <fb>101.245</fb>
    <v>1</v>
  </rv>
  <rv s="0">
    <fb>45848</fb>
    <v>0</v>
  </rv>
  <rv s="0">
    <fb>140.26</fb>
    <v>1</v>
  </rv>
  <rv s="0">
    <fb>305</fb>
    <v>1</v>
  </rv>
  <rv s="0">
    <fb>225.8</fb>
    <v>1</v>
  </rv>
  <rv s="0">
    <fb>190.32</fb>
    <v>1</v>
  </rv>
  <rv s="0">
    <fb>169.7</fb>
    <v>1</v>
  </rv>
  <rv s="0">
    <fb>429.1</fb>
    <v>1</v>
  </rv>
  <rv s="0">
    <fb>135.74</fb>
    <v>1</v>
  </rv>
  <rv s="0">
    <fb>235.4</fb>
    <v>1</v>
  </rv>
  <rv s="0">
    <fb>246.45</fb>
    <v>1</v>
  </rv>
  <rv s="0">
    <fb>20.22</fb>
    <v>1</v>
  </rv>
  <rv s="0">
    <fb>610.1</fb>
    <v>1</v>
  </rv>
  <rv s="0">
    <fb>101.87</fb>
    <v>1</v>
  </rv>
  <rv s="0">
    <fb>101.935</fb>
    <v>1</v>
  </rv>
  <rv s="0">
    <fb>45849</fb>
    <v>0</v>
  </rv>
  <rv s="0">
    <fb>141.26</fb>
    <v>1</v>
  </rv>
  <rv s="0">
    <fb>199.4</fb>
    <v>1</v>
  </rv>
  <rv s="0">
    <fb>297.05</fb>
    <v>1</v>
  </rv>
  <rv s="0">
    <fb>220.3</fb>
    <v>1</v>
  </rv>
  <rv s="0">
    <fb>193.02</fb>
    <v>1</v>
  </rv>
  <rv s="0">
    <fb>165.95</fb>
    <v>1</v>
  </rv>
  <rv s="0">
    <fb>430.6</fb>
    <v>1</v>
  </rv>
  <rv s="0">
    <fb>134.36000000000001</fb>
    <v>1</v>
  </rv>
  <rv s="0">
    <fb>450.6</fb>
    <v>1</v>
  </rv>
  <rv s="0">
    <fb>244.4</fb>
    <v>1</v>
  </rv>
  <rv s="0">
    <fb>601.4</fb>
    <v>1</v>
  </rv>
  <rv s="0">
    <fb>101.56</fb>
    <v>1</v>
  </rv>
  <rv s="0">
    <fb>101.295</fb>
    <v>1</v>
  </rv>
  <rv s="0">
    <fb>54.79</fb>
    <v>1</v>
  </rv>
  <rv s="0">
    <fb>45852</fb>
    <v>0</v>
  </rv>
  <rv s="0">
    <fb>140.91999999999999</fb>
    <v>1</v>
  </rv>
  <rv s="0">
    <fb>196</fb>
    <v>1</v>
  </rv>
  <rv s="0">
    <fb>300.55</fb>
    <v>1</v>
  </rv>
  <rv s="0">
    <fb>192.82</fb>
    <v>1</v>
  </rv>
  <rv s="0">
    <fb>166.75</fb>
    <v>1</v>
  </rv>
  <rv s="0">
    <fb>431.15</fb>
    <v>1</v>
  </rv>
  <rv s="0">
    <fb>132.24</fb>
    <v>1</v>
  </rv>
  <rv s="0">
    <fb>452.05</fb>
    <v>1</v>
  </rv>
  <rv s="0">
    <fb>235.8</fb>
    <v>1</v>
  </rv>
  <rv s="0">
    <fb>247.4</fb>
    <v>1</v>
  </rv>
  <rv s="0">
    <fb>613.29999999999995</fb>
    <v>1</v>
  </rv>
  <rv s="0">
    <fb>101.83499999999999</fb>
    <v>1</v>
  </rv>
  <rv s="0">
    <fb>101.45</fb>
    <v>1</v>
  </rv>
  <rv s="0">
    <fb>54.8</fb>
    <v>1</v>
  </rv>
  <rv s="0">
    <fb>45853</fb>
    <v>0</v>
  </rv>
  <rv s="0">
    <fb>147.18</fb>
    <v>1</v>
  </rv>
  <rv s="0">
    <fb>204</fb>
    <v>1</v>
  </rv>
  <rv s="0">
    <fb>299.55</fb>
    <v>1</v>
  </rv>
  <rv s="0">
    <fb>195.92</fb>
    <v>1</v>
  </rv>
  <rv s="0">
    <fb>165.05</fb>
    <v>1</v>
  </rv>
  <rv s="0">
    <fb>436</fb>
    <v>1</v>
  </rv>
  <rv s="0">
    <fb>131.72</fb>
    <v>1</v>
  </rv>
  <rv s="0">
    <fb>453.65</fb>
    <v>1</v>
  </rv>
  <rv s="0">
    <fb>47</fb>
    <v>1</v>
  </rv>
  <rv s="0">
    <fb>242.45</fb>
    <v>1</v>
  </rv>
  <rv s="0">
    <fb>247.1</fb>
    <v>1</v>
  </rv>
  <rv s="0">
    <fb>19.62</fb>
    <v>1</v>
  </rv>
  <rv s="0">
    <fb>604.20000000000005</fb>
    <v>1</v>
  </rv>
  <rv s="0">
    <fb>102.27</fb>
    <v>1</v>
  </rv>
  <rv s="0">
    <fb>102.04</fb>
    <v>1</v>
  </rv>
  <rv s="0">
    <fb>54.53</fb>
    <v>1</v>
  </rv>
  <rv s="0">
    <fb>45854</fb>
    <v>0</v>
  </rv>
  <rv s="0">
    <fb>147.26</fb>
    <v>1</v>
  </rv>
  <rv s="0">
    <fb>300.60000000000002</fb>
    <v>1</v>
  </rv>
  <rv s="0">
    <fb>222.1</fb>
    <v>1</v>
  </rv>
  <rv s="0">
    <fb>191.6</fb>
    <v>1</v>
  </rv>
  <rv s="0">
    <fb>434.45</fb>
    <v>1</v>
  </rv>
  <rv s="0">
    <fb>131.86000000000001</fb>
    <v>1</v>
  </rv>
  <rv s="0">
    <fb>236.7</fb>
    <v>1</v>
  </rv>
  <rv s="0">
    <fb>245.35</fb>
    <v>1</v>
  </rv>
  <rv s="0">
    <fb>19.765000000000001</fb>
    <v>1</v>
  </rv>
  <rv s="0">
    <fb>602.6</fb>
    <v>1</v>
  </rv>
  <rv s="0">
    <fb>101.675</fb>
    <v>1</v>
  </rv>
  <rv s="0">
    <fb>100.61</fb>
    <v>1</v>
  </rv>
  <rv s="0">
    <fb>45855</fb>
    <v>0</v>
  </rv>
  <rv s="0">
    <fb>149.24</fb>
    <v>1</v>
  </rv>
  <rv s="0">
    <fb>213</fb>
    <v>1</v>
  </rv>
  <rv s="0">
    <fb>302.3</fb>
    <v>1</v>
  </rv>
  <rv s="0">
    <fb>222.6</fb>
    <v>1</v>
  </rv>
  <rv s="0">
    <fb>193.38</fb>
    <v>1</v>
  </rv>
  <rv s="0">
    <fb>441.7</fb>
    <v>1</v>
  </rv>
  <rv s="0">
    <fb>133.46</fb>
    <v>1</v>
  </rv>
  <rv s="0">
    <fb>453.8</fb>
    <v>1</v>
  </rv>
  <rv s="0">
    <fb>46.8</fb>
    <v>1</v>
  </rv>
  <rv s="0">
    <fb>247.55</fb>
    <v>1</v>
  </rv>
  <rv s="0">
    <fb>19.64</fb>
    <v>1</v>
  </rv>
  <rv s="0">
    <fb>613.79999999999995</fb>
    <v>1</v>
  </rv>
  <rv s="0">
    <fb>102.87</fb>
    <v>1</v>
  </rv>
  <rv s="0">
    <fb>102.535</fb>
    <v>1</v>
  </rv>
  <rv s="0">
    <fb>54.69</fb>
    <v>1</v>
  </rv>
  <rv s="0">
    <fb>45856</fb>
    <v>0</v>
  </rv>
  <rv s="0">
    <fb>148.12</fb>
    <v>1</v>
  </rv>
  <rv s="0">
    <fb>300</fb>
    <v>1</v>
  </rv>
  <rv s="0">
    <fb>194.5</fb>
    <v>1</v>
  </rv>
  <rv s="0">
    <fb>165</fb>
    <v>1</v>
  </rv>
  <rv s="0">
    <fb>439.4</fb>
    <v>1</v>
  </rv>
  <rv s="0">
    <fb>133.6</fb>
    <v>1</v>
  </rv>
  <rv s="0">
    <fb>45</fb>
    <v>1</v>
  </rv>
  <rv s="0">
    <fb>242.35</fb>
    <v>1</v>
  </rv>
  <rv s="0">
    <fb>249.4</fb>
    <v>1</v>
  </rv>
  <rv s="0">
    <fb>20.18</fb>
    <v>1</v>
  </rv>
  <rv s="0">
    <fb>598.9</fb>
    <v>1</v>
  </rv>
  <rv s="0">
    <fb>102.52500000000001</fb>
    <v>1</v>
  </rv>
  <rv s="0">
    <fb>102.185</fb>
    <v>1</v>
  </rv>
  <rv s="0">
    <fb>54.42</fb>
    <v>1</v>
  </rv>
  <rv s="0">
    <fb>45859</fb>
    <v>0</v>
  </rv>
  <rv s="0">
    <fb>146.5</fb>
    <v>1</v>
  </rv>
  <rv s="0">
    <fb>301.3</fb>
    <v>1</v>
  </rv>
  <rv s="0">
    <fb>195.6</fb>
    <v>1</v>
  </rv>
  <rv s="0">
    <fb>160.05000000000001</fb>
    <v>1</v>
  </rv>
  <rv s="0">
    <fb>436.4</fb>
    <v>1</v>
  </rv>
  <rv s="0">
    <fb>133.19999999999999</fb>
    <v>1</v>
  </rv>
  <rv s="0">
    <fb>450</fb>
    <v>1</v>
  </rv>
  <rv s="0">
    <fb>247.5</fb>
    <v>1</v>
  </rv>
  <rv s="0">
    <fb>604.1</fb>
    <v>1</v>
  </rv>
  <rv s="0">
    <fb>102.69499999999999</fb>
    <v>1</v>
  </rv>
  <rv s="0">
    <fb>102.31</fb>
    <v>1</v>
  </rv>
  <rv s="0">
    <fb>54.28</fb>
    <v>1</v>
  </rv>
  <rv s="0">
    <fb>45860</fb>
    <v>0</v>
  </rv>
  <rv s="0">
    <fb>142.30000000000001</fb>
    <v>1</v>
  </rv>
  <rv s="0">
    <fb>298.95</fb>
    <v>1</v>
  </rv>
  <rv s="0">
    <fb>224.9</fb>
    <v>1</v>
  </rv>
  <rv s="0">
    <fb>193.62</fb>
    <v>1</v>
  </rv>
  <rv s="0">
    <fb>159.94999999999999</fb>
    <v>1</v>
  </rv>
  <rv s="0">
    <fb>430.65</fb>
    <v>1</v>
  </rv>
  <rv s="0">
    <fb>449.1</fb>
    <v>1</v>
  </rv>
  <rv s="0">
    <fb>43</fb>
    <v>1</v>
  </rv>
  <rv s="0">
    <fb>239.65</fb>
    <v>1</v>
  </rv>
  <rv s="0">
    <fb>248.25</fb>
    <v>1</v>
  </rv>
  <rv s="0">
    <fb>20.2</fb>
    <v>1</v>
  </rv>
  <rv s="0">
    <fb>591.9</fb>
    <v>1</v>
  </rv>
  <rv s="0">
    <fb>101.69</fb>
    <v>1</v>
  </rv>
  <rv s="0">
    <fb>101.63</fb>
    <v>1</v>
  </rv>
  <rv s="0">
    <fb>53.89</fb>
    <v>1</v>
  </rv>
  <rv s="0">
    <fb>45861</fb>
    <v>0</v>
  </rv>
  <rv s="0">
    <fb>145.18</fb>
    <v>1</v>
  </rv>
  <rv s="0">
    <fb>301.45</fb>
    <v>1</v>
  </rv>
  <rv s="0">
    <fb>194.08</fb>
    <v>1</v>
  </rv>
  <rv s="0">
    <fb>169.5</fb>
    <v>1</v>
  </rv>
  <rv s="0">
    <fb>428.85</fb>
    <v>1</v>
  </rv>
  <rv s="0">
    <fb>134.19999999999999</fb>
    <v>1</v>
  </rv>
  <rv s="0">
    <fb>444</fb>
    <v>1</v>
  </rv>
  <rv s="0">
    <fb>238</fb>
    <v>1</v>
  </rv>
  <rv s="0">
    <fb>251.55</fb>
    <v>1</v>
  </rv>
  <rv s="0">
    <fb>20.02</fb>
    <v>1</v>
  </rv>
  <rv s="0">
    <fb>572</fb>
    <v>1</v>
  </rv>
  <rv s="0">
    <fb>102.13</fb>
    <v>1</v>
  </rv>
  <rv s="0">
    <fb>102.485</fb>
    <v>1</v>
  </rv>
  <rv s="0">
    <fb>55.08</fb>
    <v>1</v>
  </rv>
  <rv s="0">
    <fb>45862</fb>
    <v>0</v>
  </rv>
  <rv s="0">
    <fb>147.34</fb>
    <v>1</v>
  </rv>
  <rv s="0">
    <fb>205</fb>
    <v>1</v>
  </rv>
  <rv s="0">
    <fb>301</fb>
    <v>1</v>
  </rv>
  <rv s="0">
    <fb>227.1</fb>
    <v>1</v>
  </rv>
  <rv s="0">
    <fb>197.22</fb>
    <v>1</v>
  </rv>
  <rv s="0">
    <fb>168.25</fb>
    <v>1</v>
  </rv>
  <rv s="0">
    <fb>434.7</fb>
    <v>1</v>
  </rv>
  <rv s="0">
    <fb>243.65</fb>
    <v>1</v>
  </rv>
  <rv s="0">
    <fb>253</fb>
    <v>1</v>
  </rv>
  <rv s="0">
    <fb>20.170000000000002</fb>
    <v>1</v>
  </rv>
  <rv s="0">
    <fb>102.655</fb>
    <v>1</v>
  </rv>
  <rv s="0">
    <fb>102.715</fb>
    <v>1</v>
  </rv>
  <rv s="0">
    <fb>45863</fb>
    <v>0</v>
  </rv>
  <rv s="0">
    <fb>209</fb>
    <v>1</v>
  </rv>
  <rv s="0">
    <fb>303.55</fb>
    <v>1</v>
  </rv>
  <rv s="0">
    <fb>197.06</fb>
    <v>1</v>
  </rv>
  <rv s="0">
    <fb>165.35</fb>
    <v>1</v>
  </rv>
  <rv s="0">
    <fb>438.35</fb>
    <v>1</v>
  </rv>
  <rv s="0">
    <fb>134.58000000000001</fb>
    <v>1</v>
  </rv>
  <rv s="0">
    <fb>246.7</fb>
    <v>1</v>
  </rv>
  <rv s="0">
    <fb>598.4</fb>
    <v>1</v>
  </rv>
  <rv s="0">
    <fb>103.22</fb>
    <v>1</v>
  </rv>
  <rv s="0">
    <fb>102.93</fb>
    <v>1</v>
  </rv>
  <rv s="0">
    <fb>54.66</fb>
    <v>1</v>
  </rv>
  <rv s="0">
    <fb>45866</fb>
    <v>0</v>
  </rv>
  <rv s="0">
    <fb>152.36000000000001</fb>
    <v>1</v>
  </rv>
  <rv s="0">
    <fb>210</fb>
    <v>1</v>
  </rv>
  <rv s="0">
    <fb>306.95</fb>
    <v>1</v>
  </rv>
  <rv s="0">
    <fb>200.9</fb>
    <v>1</v>
  </rv>
  <rv s="0">
    <fb>165.7</fb>
    <v>1</v>
  </rv>
  <rv s="0">
    <fb>440.6</fb>
    <v>1</v>
  </rv>
  <rv s="0">
    <fb>135.62</fb>
    <v>1</v>
  </rv>
  <rv s="0">
    <fb>461.45</fb>
    <v>1</v>
  </rv>
  <rv s="0">
    <fb>251.25</fb>
    <v>1</v>
  </rv>
  <rv s="0">
    <fb>257.14999999999998</fb>
    <v>1</v>
  </rv>
  <rv s="0">
    <fb>600.4</fb>
    <v>1</v>
  </rv>
  <rv s="0">
    <fb>104.345</fb>
    <v>1</v>
  </rv>
  <rv s="0">
    <fb>103.80500000000001</fb>
    <v>1</v>
  </rv>
  <rv s="0">
    <fb>54.33</fb>
    <v>1</v>
  </rv>
  <rv s="0">
    <fb>45867</fb>
    <v>0</v>
  </rv>
  <rv s="0">
    <fb>152.08000000000001</fb>
    <v>1</v>
  </rv>
  <rv s="0">
    <fb>209.5</fb>
    <v>1</v>
  </rv>
  <rv s="0">
    <fb>303.85000000000002</fb>
    <v>1</v>
  </rv>
  <rv s="0">
    <fb>232.65</fb>
    <v>1</v>
  </rv>
  <rv s="0">
    <fb>199.88</fb>
    <v>1</v>
  </rv>
  <rv s="0">
    <fb>169.6</fb>
    <v>1</v>
  </rv>
  <rv s="0">
    <fb>443.2</fb>
    <v>1</v>
  </rv>
  <rv s="0">
    <fb>135.16</fb>
    <v>1</v>
  </rv>
  <rv s="0">
    <fb>461.2</fb>
    <v>1</v>
  </rv>
  <rv s="0">
    <fb>257.3</fb>
    <v>1</v>
  </rv>
  <rv s="0">
    <fb>20.03</fb>
    <v>1</v>
  </rv>
  <rv s="0">
    <fb>540</fb>
    <v>1</v>
  </rv>
  <rv s="0">
    <fb>104.67</fb>
    <v>1</v>
  </rv>
  <rv s="0">
    <fb>104.235</fb>
    <v>1</v>
  </rv>
  <rv s="0">
    <fb>54.88</fb>
    <v>1</v>
  </rv>
  <rv s="0">
    <fb>45868</fb>
    <v>0</v>
  </rv>
  <rv s="0">
    <fb>233.05</fb>
    <v>1</v>
  </rv>
  <rv s="0">
    <fb>181.05</fb>
    <v>1</v>
  </rv>
  <rv s="0">
    <fb>133.24</fb>
    <v>1</v>
  </rv>
  <rv s="0">
    <fb>463.6</fb>
    <v>1</v>
  </rv>
  <rv s="0">
    <fb>260.64999999999998</fb>
    <v>1</v>
  </rv>
  <rv s="0">
    <fb>260.5</fb>
    <v>1</v>
  </rv>
  <rv s="0">
    <fb>14.93</fb>
    <v>1</v>
  </rv>
  <rv s="0">
    <fb>553</fb>
    <v>1</v>
  </rv>
  <rv s="0">
    <fb>105.38</fb>
    <v>1</v>
  </rv>
  <rv s="0">
    <fb>104.69499999999999</fb>
    <v>1</v>
  </rv>
  <rv s="0">
    <fb>45869</fb>
    <v>0</v>
  </rv>
  <rv s="0">
    <fb>155.54</fb>
    <v>1</v>
  </rv>
  <rv s="0">
    <fb>304.2</fb>
    <v>1</v>
  </rv>
  <rv s="0">
    <fb>228.55</fb>
    <v>1</v>
  </rv>
  <rv s="0">
    <fb>182.05</fb>
    <v>1</v>
  </rv>
  <rv s="0">
    <fb>467</fb>
    <v>1</v>
  </rv>
  <rv s="0">
    <fb>132.18</fb>
    <v>1</v>
  </rv>
  <rv s="0">
    <fb>49</fb>
    <v>1</v>
  </rv>
  <rv s="0">
    <fb>260.8</fb>
    <v>1</v>
  </rv>
  <rv s="0">
    <fb>259.25</fb>
    <v>1</v>
  </rv>
  <rv s="0">
    <fb>14.765000000000001</fb>
    <v>1</v>
  </rv>
  <rv s="0">
    <fb>552.9</fb>
    <v>1</v>
  </rv>
  <rv s="0">
    <fb>105.545</fb>
    <v>1</v>
  </rv>
  <rv s="0">
    <fb>104.935</fb>
    <v>1</v>
  </rv>
  <rv s="0">
    <fb>54.11</fb>
    <v>1</v>
  </rv>
  <rv s="0">
    <fb>45870</fb>
    <v>0</v>
  </rv>
  <rv s="0">
    <fb>150.24</fb>
    <v>1</v>
  </rv>
  <rv s="0">
    <fb>294.2</fb>
    <v>1</v>
  </rv>
  <rv s="0">
    <fb>218.15</fb>
    <v>1</v>
  </rv>
  <rv s="0">
    <fb>186.22</fb>
    <v>1</v>
  </rv>
  <rv s="0">
    <fb>179</fb>
    <v>1</v>
  </rv>
  <rv s="0">
    <fb>453.6</fb>
    <v>1</v>
  </rv>
  <rv s="0">
    <fb>130.84</fb>
    <v>1</v>
  </rv>
  <rv s="0">
    <fb>472</fb>
    <v>1</v>
  </rv>
  <rv s="0">
    <fb>46.2</fb>
    <v>1</v>
  </rv>
  <rv s="0">
    <fb>250.7</fb>
    <v>1</v>
  </rv>
  <rv s="0">
    <fb>251.7</fb>
    <v>1</v>
  </rv>
  <rv s="0">
    <fb>14.835000000000001</fb>
    <v>1</v>
  </rv>
  <rv s="0">
    <fb>549.79999999999995</fb>
    <v>1</v>
  </rv>
  <rv s="0">
    <fb>102.15</fb>
    <v>1</v>
  </rv>
  <rv s="0">
    <fb>101.83</fb>
    <v>1</v>
  </rv>
  <rv s="0">
    <fb>52.66</fb>
    <v>1</v>
  </rv>
  <rv s="0">
    <fb>45873</fb>
    <v>0</v>
  </rv>
  <rv s="0">
    <fb>155.34</fb>
    <v>1</v>
  </rv>
  <rv s="0">
    <fb>295.35000000000002</fb>
    <v>1</v>
  </rv>
  <rv s="0">
    <fb>218.6</fb>
    <v>1</v>
  </rv>
  <rv s="0">
    <fb>183.02</fb>
    <v>1</v>
  </rv>
  <rv s="0">
    <fb>185.1</fb>
    <v>1</v>
  </rv>
  <rv s="0">
    <fb>462</fb>
    <v>1</v>
  </rv>
  <rv s="0">
    <fb>130.26</fb>
    <v>1</v>
  </rv>
  <rv s="0">
    <fb>482.05</fb>
    <v>1</v>
  </rv>
  <rv s="0">
    <fb>14.455</fb>
    <v>1</v>
  </rv>
  <rv s="0">
    <fb>579</fb>
    <v>1</v>
  </rv>
  <rv s="0">
    <fb>103.54</fb>
    <v>1</v>
  </rv>
  <rv s="0">
    <fb>103.045</fb>
    <v>1</v>
  </rv>
  <rv s="0">
    <fb>45874</fb>
    <v>0</v>
  </rv>
  <rv s="0">
    <fb>154.18</fb>
    <v>1</v>
  </rv>
  <rv s="0">
    <fb>291.60000000000002</fb>
    <v>1</v>
  </rv>
  <rv s="0">
    <fb>215</fb>
    <v>1</v>
  </rv>
  <rv s="0">
    <fb>184.58</fb>
    <v>1</v>
  </rv>
  <rv s="0">
    <fb>457.1</fb>
    <v>1</v>
  </rv>
  <rv s="0">
    <fb>130.18</fb>
    <v>1</v>
  </rv>
  <rv s="0">
    <fb>488.1</fb>
    <v>1</v>
  </rv>
  <rv s="0">
    <fb>46.6</fb>
    <v>1</v>
  </rv>
  <rv s="0">
    <fb>252.25</fb>
    <v>1</v>
  </rv>
  <rv s="0">
    <fb>15.07</fb>
    <v>1</v>
  </rv>
  <rv s="0">
    <fb>554.20000000000005</fb>
    <v>1</v>
  </rv>
  <rv s="0">
    <fb>103.30500000000001</fb>
    <v>1</v>
  </rv>
  <rv s="0">
    <fb>102.8</fb>
    <v>1</v>
  </rv>
  <rv s="0">
    <fb>53.62</fb>
    <v>1</v>
  </rv>
  <rv s="0">
    <fb>45875</fb>
    <v>0</v>
  </rv>
  <rv s="0">
    <fb>153.88</fb>
    <v>1</v>
  </rv>
  <rv s="0">
    <fb>198.6</fb>
    <v>1</v>
  </rv>
  <rv s="0">
    <fb>290.89999999999998</fb>
    <v>1</v>
  </rv>
  <rv s="0">
    <fb>190.52</fb>
    <v>1</v>
  </rv>
  <rv s="0">
    <fb>173.15</fb>
    <v>1</v>
  </rv>
  <rv s="0">
    <fb>131.4</fb>
    <v>1</v>
  </rv>
  <rv s="0">
    <fb>481.55</fb>
    <v>1</v>
  </rv>
  <rv s="0">
    <fb>15.08</fb>
    <v>1</v>
  </rv>
  <rv s="0">
    <fb>560.9</fb>
    <v>1</v>
  </rv>
  <rv s="0">
    <fb>103.2</fb>
    <v>1</v>
  </rv>
  <rv s="0">
    <fb>103.02</fb>
    <v>1</v>
  </rv>
  <rv s="0">
    <fb>45876</fb>
    <v>0</v>
  </rv>
  <rv s="0">
    <fb>208</fb>
    <v>1</v>
  </rv>
  <rv s="0">
    <fb>285.10000000000002</fb>
    <v>1</v>
  </rv>
  <rv s="0">
    <fb>205.55</fb>
    <v>1</v>
  </rv>
  <rv s="0">
    <fb>191.02</fb>
    <v>1</v>
  </rv>
  <rv s="0">
    <fb>175.5</fb>
    <v>1</v>
  </rv>
  <rv s="0">
    <fb>446</fb>
    <v>1</v>
  </rv>
  <rv s="0">
    <fb>131.24</fb>
    <v>1</v>
  </rv>
  <rv s="0">
    <fb>486.15</fb>
    <v>1</v>
  </rv>
  <rv s="0">
    <fb>55.5</fb>
    <v>1</v>
  </rv>
  <rv s="0">
    <fb>261.55</fb>
    <v>1</v>
  </rv>
  <rv s="0">
    <fb>248.8</fb>
    <v>1</v>
  </rv>
  <rv s="0">
    <fb>15.315</fb>
    <v>1</v>
  </rv>
  <rv s="0">
    <fb>590</fb>
    <v>1</v>
  </rv>
  <rv s="0">
    <fb>103.03</fb>
    <v>1</v>
  </rv>
  <rv s="0">
    <fb>103.245</fb>
    <v>1</v>
  </rv>
  <rv s="0">
    <fb>54.32</fb>
    <v>1</v>
  </rv>
  <rv s="0">
    <fb>45877</fb>
    <v>0</v>
  </rv>
  <rv s="0">
    <fb>156.97999999999999</fb>
    <v>1</v>
  </rv>
  <rv s="0">
    <fb>206.5</fb>
    <v>1</v>
  </rv>
  <rv s="0">
    <fb>289.25</fb>
    <v>1</v>
  </rv>
  <rv s="0">
    <fb>205.05</fb>
    <v>1</v>
  </rv>
  <rv s="0">
    <fb>190.84</fb>
    <v>1</v>
  </rv>
  <rv s="0">
    <fb>448.6</fb>
    <v>1</v>
  </rv>
  <rv s="0">
    <fb>130.91999999999999</fb>
    <v>1</v>
  </rv>
  <rv s="0">
    <fb>479.45</fb>
    <v>1</v>
  </rv>
  <rv s="0">
    <fb>58</fb>
    <v>1</v>
  </rv>
  <rv s="0">
    <fb>260.89999999999998</fb>
    <v>1</v>
  </rv>
  <rv s="0">
    <fb>247.95</fb>
    <v>1</v>
  </rv>
  <rv s="0">
    <fb>15.18</fb>
    <v>1</v>
  </rv>
  <rv s="0">
    <fb>602.20000000000005</fb>
    <v>1</v>
  </rv>
  <rv s="0">
    <fb>103.78</fb>
    <v>1</v>
  </rv>
  <rv s="0">
    <fb>103.535</fb>
    <v>1</v>
  </rv>
  <rv s="0">
    <fb>54.56</fb>
    <v>1</v>
  </rv>
  <rv s="0">
    <fb>45880</fb>
    <v>0</v>
  </rv>
  <rv s="0">
    <fb>157.13999999999999</fb>
    <v>1</v>
  </rv>
  <rv s="0">
    <fb>210.5</fb>
    <v>1</v>
  </rv>
  <rv s="0">
    <fb>289</fb>
    <v>1</v>
  </rv>
  <rv s="0">
    <fb>190.3</fb>
    <v>1</v>
  </rv>
  <rv s="0">
    <fb>174.5</fb>
    <v>1</v>
  </rv>
  <rv s="0">
    <fb>133.56</fb>
    <v>1</v>
  </rv>
  <rv s="0">
    <fb>481.3</fb>
    <v>1</v>
  </rv>
  <rv s="0">
    <fb>61</fb>
    <v>1</v>
  </rv>
  <rv s="0">
    <fb>263.7</fb>
    <v>1</v>
  </rv>
  <rv s="0">
    <fb>249.6</fb>
    <v>1</v>
  </rv>
  <rv s="0">
    <fb>600.70000000000005</fb>
    <v>1</v>
  </rv>
  <rv s="0">
    <fb>104.38</fb>
    <v>1</v>
  </rv>
  <rv s="0">
    <fb>104.16</fb>
    <v>1</v>
  </rv>
  <rv s="0">
    <fb>45881</fb>
    <v>0</v>
  </rv>
  <rv s="0">
    <fb>287.85000000000002</fb>
    <v>1</v>
  </rv>
  <rv s="0">
    <fb>198.24</fb>
    <v>1</v>
  </rv>
  <rv s="0">
    <fb>178.45</fb>
    <v>1</v>
  </rv>
  <rv s="0">
    <fb>132.63999999999999</fb>
    <v>1</v>
  </rv>
  <rv s="0">
    <fb>481.45</fb>
    <v>1</v>
  </rv>
  <rv s="0">
    <fb>63.5</fb>
    <v>1</v>
  </rv>
  <rv s="0">
    <fb>263.5</fb>
    <v>1</v>
  </rv>
  <rv s="0">
    <fb>585.79999999999995</fb>
    <v>1</v>
  </rv>
  <rv s="0">
    <fb>104.63500000000001</fb>
    <v>1</v>
  </rv>
  <rv s="0">
    <fb>104.185</fb>
    <v>1</v>
  </rv>
  <rv s="0">
    <fb>54.48</fb>
    <v>1</v>
  </rv>
  <rv s="0">
    <fb>45882</fb>
    <v>0</v>
  </rv>
  <rv s="0">
    <fb>291.64999999999998</fb>
    <v>1</v>
  </rv>
  <rv s="0">
    <fb>200.35</fb>
    <v>1</v>
  </rv>
  <rv s="0">
    <fb>192.28</fb>
    <v>1</v>
  </rv>
  <rv s="0">
    <fb>444.15</fb>
    <v>1</v>
  </rv>
  <rv s="0">
    <fb>133.62</fb>
    <v>1</v>
  </rv>
  <rv s="0">
    <fb>482.9</fb>
    <v>1</v>
  </rv>
  <rv s="0">
    <fb>59.5</fb>
    <v>1</v>
  </rv>
  <rv s="0">
    <fb>248.95</fb>
    <v>1</v>
  </rv>
  <rv s="0">
    <fb>15.01</fb>
    <v>1</v>
  </rv>
  <rv s="0">
    <fb>588.6</fb>
    <v>1</v>
  </rv>
  <rv s="0">
    <fb>104.62</fb>
    <v>1</v>
  </rv>
  <rv s="0">
    <fb>104.31</fb>
    <v>1</v>
  </rv>
  <rv s="0">
    <fb>54.96</fb>
    <v>1</v>
  </rv>
  <rv s="0">
    <fb>45883</fb>
    <v>0</v>
  </rv>
  <rv s="0">
    <fb>156.28</fb>
    <v>1</v>
  </rv>
  <rv s="0">
    <fb>296.39999999999998</fb>
    <v>1</v>
  </rv>
  <rv s="0">
    <fb>198.44</fb>
    <v>1</v>
  </rv>
  <rv s="0">
    <fb>173.9</fb>
    <v>1</v>
  </rv>
  <rv s="0">
    <fb>447.45</fb>
    <v>1</v>
  </rv>
  <rv s="0">
    <fb>131.80000000000001</fb>
    <v>1</v>
  </rv>
  <rv s="0">
    <fb>485.55</fb>
    <v>1</v>
  </rv>
  <rv s="0">
    <fb>58.5</fb>
    <v>1</v>
  </rv>
  <rv s="0">
    <fb>266.05</fb>
    <v>1</v>
  </rv>
  <rv s="0">
    <fb>14.935</fb>
    <v>1</v>
  </rv>
  <rv s="0">
    <fb>105.41</fb>
    <v>1</v>
  </rv>
  <rv s="0">
    <fb>104.86</fb>
    <v>1</v>
  </rv>
  <rv s="0">
    <fb>45884</fb>
    <v>0</v>
  </rv>
  <rv s="0">
    <fb>153.94</fb>
    <v>1</v>
  </rv>
  <rv s="0">
    <fb>293.75</fb>
    <v>1</v>
  </rv>
  <rv s="0">
    <fb>168.7</fb>
    <v>1</v>
  </rv>
  <rv s="0">
    <fb>444.5</fb>
    <v>1</v>
  </rv>
  <rv s="0">
    <fb>132</fb>
    <v>1</v>
  </rv>
  <rv s="0">
    <fb>485.2</fb>
    <v>1</v>
  </rv>
  <rv s="0">
    <fb>260.75</fb>
    <v>1</v>
  </rv>
  <rv s="0">
    <fb>249.1</fb>
    <v>1</v>
  </rv>
  <rv s="0">
    <fb>14.84</fb>
    <v>1</v>
  </rv>
  <rv s="0">
    <fb>632.1</fb>
    <v>1</v>
  </rv>
  <rv s="0">
    <fb>104.66500000000001</fb>
    <v>1</v>
  </rv>
  <rv s="0">
    <fb>104.575</fb>
    <v>1</v>
  </rv>
  <rv s="0">
    <fb>45887</fb>
    <v>0</v>
  </rv>
  <rv s="0">
    <fb>156.06</fb>
    <v>1</v>
  </rv>
  <rv s="0">
    <fb>293.7</fb>
    <v>1</v>
  </rv>
  <rv s="0">
    <fb>198.22</fb>
    <v>1</v>
  </rv>
  <rv s="0">
    <fb>167.2</fb>
    <v>1</v>
  </rv>
  <rv s="0">
    <fb>133.30000000000001</fb>
    <v>1</v>
  </rv>
  <rv s="0">
    <fb>474</fb>
    <v>1</v>
  </rv>
  <rv s="0">
    <fb>59</fb>
    <v>1</v>
  </rv>
  <rv s="0">
    <fb>258.2</fb>
    <v>1</v>
  </rv>
  <rv s="0">
    <fb>249.5</fb>
    <v>1</v>
  </rv>
  <rv s="0">
    <fb>15.42</fb>
    <v>1</v>
  </rv>
  <rv s="0">
    <fb>627.29999999999995</fb>
    <v>1</v>
  </rv>
  <rv s="0">
    <fb>104.82</fb>
    <v>1</v>
  </rv>
  <rv s="0">
    <fb>104.75</fb>
    <v>1</v>
  </rv>
  <rv s="0">
    <fb>55.43</fb>
    <v>1</v>
  </rv>
  <rv s="0">
    <fb>45888</fb>
    <v>0</v>
  </rv>
  <rv s="0">
    <fb>151.1</fb>
    <v>1</v>
  </rv>
  <rv s="0">
    <fb>195.44</fb>
    <v>1</v>
  </rv>
  <rv s="0">
    <fb>164.05</fb>
    <v>1</v>
  </rv>
  <rv s="0">
    <fb>437.45</fb>
    <v>1</v>
  </rv>
  <rv s="0">
    <fb>479.4</fb>
    <v>1</v>
  </rv>
  <rv s="0">
    <fb>57</fb>
    <v>1</v>
  </rv>
  <rv s="0">
    <fb>250.35</fb>
    <v>1</v>
  </rv>
  <rv s="0">
    <fb>15.28</fb>
    <v>1</v>
  </rv>
  <rv s="0">
    <fb>104.34</fb>
    <v>1</v>
  </rv>
  <rv s="0">
    <fb>104.735</fb>
    <v>1</v>
  </rv>
  <rv s="0">
    <fb>55.72</fb>
    <v>1</v>
  </rv>
  <rv s="0">
    <fb>45889</fb>
    <v>0</v>
  </rv>
  <rv s="0">
    <fb>150.54</fb>
    <v>1</v>
  </rv>
  <rv s="0">
    <fb>294.75</fb>
    <v>1</v>
  </rv>
  <rv s="0">
    <fb>136.88</fb>
    <v>1</v>
  </rv>
  <rv s="0">
    <fb>473.3</fb>
    <v>1</v>
  </rv>
  <rv s="0">
    <fb>248.65</fb>
    <v>1</v>
  </rv>
  <rv s="0">
    <fb>15.265000000000001</fb>
    <v>1</v>
  </rv>
  <rv s="0">
    <fb>602</fb>
    <v>1</v>
  </rv>
  <rv s="0">
    <fb>103.74</fb>
    <v>1</v>
  </rv>
  <rv s="0">
    <fb>104.15</fb>
    <v>1</v>
  </rv>
  <rv s="0">
    <fb>55.74</fb>
    <v>1</v>
  </rv>
  <rv s="0">
    <fb>45890</fb>
    <v>0</v>
  </rv>
  <rv s="0">
    <fb>150.68</fb>
    <v>1</v>
  </rv>
  <rv s="0">
    <fb>195.4</fb>
    <v>1</v>
  </rv>
  <rv s="0">
    <fb>296.60000000000002</fb>
    <v>1</v>
  </rv>
  <rv s="0">
    <fb>210.2</fb>
    <v>1</v>
  </rv>
  <rv s="0">
    <fb>190.8</fb>
    <v>1</v>
  </rv>
  <rv s="0">
    <fb>165.2</fb>
    <v>1</v>
  </rv>
  <rv s="0">
    <fb>435.05</fb>
    <v>1</v>
  </rv>
  <rv s="0">
    <fb>136.41999999999999</fb>
    <v>1</v>
  </rv>
  <rv s="0">
    <fb>479.8</fb>
    <v>1</v>
  </rv>
  <rv s="0">
    <fb>15.545</fb>
    <v>1</v>
  </rv>
  <rv s="0">
    <fb>594.20000000000005</fb>
    <v>1</v>
  </rv>
  <rv s="0">
    <fb>103.815</fb>
    <v>1</v>
  </rv>
  <rv s="0">
    <fb>104.55</fb>
    <v>1</v>
  </rv>
  <rv s="0">
    <fb>45891</fb>
    <v>0</v>
  </rv>
  <rv s="0">
    <fb>151.76</fb>
    <v>1</v>
  </rv>
  <rv s="0">
    <fb>199.8</fb>
    <v>1</v>
  </rv>
  <rv s="0">
    <fb>298.85000000000002</fb>
    <v>1</v>
  </rv>
  <rv s="0">
    <fb>213.1</fb>
    <v>1</v>
  </rv>
  <rv s="0">
    <fb>195.32</fb>
    <v>1</v>
  </rv>
  <rv s="0">
    <fb>163.1</fb>
    <v>1</v>
  </rv>
  <rv s="0">
    <fb>432.05</fb>
    <v>1</v>
  </rv>
  <rv s="0">
    <fb>474.1</fb>
    <v>1</v>
  </rv>
  <rv s="0">
    <fb>254.7</fb>
    <v>1</v>
  </rv>
  <rv s="0">
    <fb>15.654999999999999</fb>
    <v>1</v>
  </rv>
  <rv s="0">
    <fb>596.9</fb>
    <v>1</v>
  </rv>
  <rv s="0">
    <fb>104.655</fb>
    <v>1</v>
  </rv>
  <rv s="0">
    <fb>45894</fb>
    <v>0</v>
  </rv>
  <rv s="0">
    <fb>203</fb>
    <v>1</v>
  </rv>
  <rv s="0">
    <fb>297.8</fb>
    <v>1</v>
  </rv>
  <rv s="0">
    <fb>211.75</fb>
    <v>1</v>
  </rv>
  <rv s="0">
    <fb>196.7</fb>
    <v>1</v>
  </rv>
  <rv s="0">
    <fb>433.85</fb>
    <v>1</v>
  </rv>
  <rv s="0">
    <fb>134.69999999999999</fb>
    <v>1</v>
  </rv>
  <rv s="0">
    <fb>475</fb>
    <v>1</v>
  </rv>
  <rv s="0">
    <fb>254.4</fb>
    <v>1</v>
  </rv>
  <rv s="0">
    <fb>252.9</fb>
    <v>1</v>
  </rv>
  <rv s="0">
    <fb>15.46</fb>
    <v>1</v>
  </rv>
  <rv s="0">
    <fb>601.20000000000005</fb>
    <v>1</v>
  </rv>
  <rv s="0">
    <fb>105.375</fb>
    <v>1</v>
  </rv>
  <rv s="0">
    <fb>105.005</fb>
    <v>1</v>
  </rv>
  <rv s="0">
    <fb>55.45</fb>
    <v>1</v>
  </rv>
  <rv s="0">
    <fb>45895</fb>
    <v>0</v>
  </rv>
  <rv s="0">
    <fb>298.89999999999998</fb>
    <v>1</v>
  </rv>
  <rv s="0">
    <fb>196.52</fb>
    <v>1</v>
  </rv>
  <rv s="0">
    <fb>428.3</fb>
    <v>1</v>
  </rv>
  <rv s="0">
    <fb>133.44</fb>
    <v>1</v>
  </rv>
  <rv s="0">
    <fb>473.1</fb>
    <v>1</v>
  </rv>
  <rv s="0">
    <fb>60</fb>
    <v>1</v>
  </rv>
  <rv s="0">
    <fb>255.8</fb>
    <v>1</v>
  </rv>
  <rv s="0">
    <fb>15.775</fb>
    <v>1</v>
  </rv>
  <rv s="0">
    <fb>596.70000000000005</fb>
    <v>1</v>
  </rv>
  <rv s="0">
    <fb>105.13500000000001</fb>
    <v>1</v>
  </rv>
  <rv s="0">
    <fb>104.79</fb>
    <v>1</v>
  </rv>
  <rv s="0">
    <fb>45896</fb>
    <v>0</v>
  </rv>
  <rv s="0">
    <fb>300.39999999999998</fb>
    <v>1</v>
  </rv>
  <rv s="0">
    <fb>214.8</fb>
    <v>1</v>
  </rv>
  <rv s="0">
    <fb>196.4</fb>
    <v>1</v>
  </rv>
  <rv s="0">
    <fb>168.9</fb>
    <v>1</v>
  </rv>
  <rv s="0">
    <fb>435.95</fb>
    <v>1</v>
  </rv>
  <rv s="0">
    <fb>134.82</fb>
    <v>1</v>
  </rv>
  <rv s="0">
    <fb>61.5</fb>
    <v>1</v>
  </rv>
  <rv s="0">
    <fb>257.64999999999998</fb>
    <v>1</v>
  </rv>
  <rv s="0">
    <fb>15.65</fb>
    <v>1</v>
  </rv>
  <rv s="0">
    <fb>597.1</fb>
    <v>1</v>
  </rv>
  <rv s="0">
    <fb>105.63500000000001</fb>
    <v>1</v>
  </rv>
  <rv s="0">
    <fb>105.625</fb>
    <v>1</v>
  </rv>
  <rv s="0">
    <fb>45897</fb>
    <v>0</v>
  </rv>
  <rv s="0">
    <fb>154.38</fb>
    <v>1</v>
  </rv>
  <rv s="0">
    <fb>203.5</fb>
    <v>1</v>
  </rv>
  <rv s="0">
    <fb>218</fb>
    <v>1</v>
  </rv>
  <rv s="0">
    <fb>198.52</fb>
    <v>1</v>
  </rv>
  <rv s="0">
    <fb>170</fb>
    <v>1</v>
  </rv>
  <rv s="0">
    <fb>435.9</fb>
    <v>1</v>
  </rv>
  <rv s="0">
    <fb>132.74</fb>
    <v>1</v>
  </rv>
  <rv s="0">
    <fb>472.85</fb>
    <v>1</v>
  </rv>
  <rv s="0">
    <fb>264.2</fb>
    <v>1</v>
  </rv>
  <rv s="0">
    <fb>257.5</fb>
    <v>1</v>
  </rv>
  <rv s="0">
    <fb>15.565</fb>
    <v>1</v>
  </rv>
  <rv s="0">
    <fb>589.20000000000005</fb>
    <v>1</v>
  </rv>
  <rv s="0">
    <fb>105.39</fb>
    <v>1</v>
  </rv>
  <rv s="0">
    <fb>105.325</fb>
    <v>1</v>
  </rv>
  <rv s="0">
    <fb>55.02</fb>
    <v>1</v>
  </rv>
  <rv s="0">
    <fb>45898</fb>
    <v>0</v>
  </rv>
  <rv s="0">
    <fb>148.52000000000001</fb>
    <v>1</v>
  </rv>
  <rv s="0">
    <fb>196.8</fb>
    <v>1</v>
  </rv>
  <rv s="0">
    <fb>300.3</fb>
    <v>1</v>
  </rv>
  <rv s="0">
    <fb>195.48</fb>
    <v>1</v>
  </rv>
  <rv s="0">
    <fb>434.8</fb>
    <v>1</v>
  </rv>
  <rv s="0">
    <fb>134.32</fb>
    <v>1</v>
  </rv>
  <rv s="0">
    <fb>473.5</fb>
    <v>1</v>
  </rv>
  <rv s="0">
    <fb>252.75</fb>
    <v>1</v>
  </rv>
  <rv s="0">
    <fb>15.475</fb>
    <v>1</v>
  </rv>
  <rv s="0">
    <fb>577.70000000000005</fb>
    <v>1</v>
  </rv>
  <rv s="0">
    <fb>104.765</fb>
    <v>1</v>
  </rv>
  <rv s="0">
    <fb>104.59</fb>
    <v>1</v>
  </rv>
  <rv s="0">
    <fb>45901</fb>
    <v>0</v>
  </rv>
  <rv s="0">
    <fb>196.6</fb>
    <v>1</v>
  </rv>
  <rv s="0">
    <fb>220.15</fb>
    <v>1</v>
  </rv>
  <rv s="0">
    <fb>195.98</fb>
    <v>1</v>
  </rv>
  <rv s="0">
    <fb>162.05000000000001</fb>
    <v>1</v>
  </rv>
  <rv s="0">
    <fb>431.2</fb>
    <v>1</v>
  </rv>
  <rv s="0">
    <fb>134.04</fb>
    <v>1</v>
  </rv>
  <rv s="0">
    <fb>470.5</fb>
    <v>1</v>
  </rv>
  <rv s="0">
    <fb>57.5</fb>
    <v>1</v>
  </rv>
  <rv s="0">
    <fb>254.05</fb>
    <v>1</v>
  </rv>
  <rv s="0">
    <fb>15.154999999999999</fb>
    <v>1</v>
  </rv>
  <rv s="0">
    <fb>584.79999999999995</fb>
    <v>1</v>
  </rv>
  <rv s="0">
    <fb>104.91500000000001</fb>
    <v>1</v>
  </rv>
  <rv s="0">
    <fb>104.83</fb>
    <v>1</v>
  </rv>
  <rv s="0">
    <fb>54.72</fb>
    <v>1</v>
  </rv>
  <rv s="0">
    <fb>45902</fb>
    <v>0</v>
  </rv>
  <rv s="0">
    <fb>146.9</fb>
    <v>1</v>
  </rv>
  <rv s="0">
    <fb>195.2</fb>
    <v>1</v>
  </rv>
  <rv s="0">
    <fb>299.85000000000002</fb>
    <v>1</v>
  </rv>
  <rv s="0">
    <fb>217</fb>
    <v>1</v>
  </rv>
  <rv s="0">
    <fb>194.04</fb>
    <v>1</v>
  </rv>
  <rv s="0">
    <fb>159.1</fb>
    <v>1</v>
  </rv>
  <rv s="0">
    <fb>432.85</fb>
    <v>1</v>
  </rv>
  <rv s="0">
    <fb>135.63999999999999</fb>
    <v>1</v>
  </rv>
  <rv s="0">
    <fb>462.5</fb>
    <v>1</v>
  </rv>
  <rv s="0">
    <fb>253.25</fb>
    <v>1</v>
  </rv>
  <rv s="0">
    <fb>15.085000000000001</fb>
    <v>1</v>
  </rv>
  <rv s="0">
    <fb>588.5</fb>
    <v>1</v>
  </rv>
  <rv s="0">
    <fb>104.05500000000001</fb>
    <v>1</v>
  </rv>
  <rv s="0">
    <fb>103.69</fb>
    <v>1</v>
  </rv>
  <rv s="0">
    <fb>45903</fb>
    <v>0</v>
  </rv>
  <rv s="0">
    <fb>145.46</fb>
    <v>1</v>
  </rv>
  <rv s="0">
    <fb>300.14999999999998</fb>
    <v>1</v>
  </rv>
  <rv s="0">
    <fb>221</fb>
    <v>1</v>
  </rv>
  <rv s="0">
    <fb>192.16</fb>
    <v>1</v>
  </rv>
  <rv s="0">
    <fb>159.85</fb>
    <v>1</v>
  </rv>
  <rv s="0">
    <fb>431</fb>
    <v>1</v>
  </rv>
  <rv s="0">
    <fb>135.4</fb>
    <v>1</v>
  </rv>
  <rv s="0">
    <fb>56</fb>
    <v>1</v>
  </rv>
  <rv s="0">
    <fb>258.7</fb>
    <v>1</v>
  </rv>
  <rv s="0">
    <fb>254.95</fb>
    <v>1</v>
  </rv>
  <rv s="0">
    <fb>15.095000000000001</fb>
    <v>1</v>
  </rv>
  <rv s="0">
    <fb>598.5</fb>
    <v>1</v>
  </rv>
  <rv s="0">
    <fb>104.54</fb>
    <v>1</v>
  </rv>
  <rv s="0">
    <fb>104.375</fb>
    <v>1</v>
  </rv>
  <rv s="0">
    <fb>45904</fb>
    <v>0</v>
  </rv>
  <rv s="0">
    <fb>147.12</fb>
    <v>1</v>
  </rv>
  <rv s="0">
    <fb>201.6</fb>
    <v>1</v>
  </rv>
  <rv s="0">
    <fb>434.75</fb>
    <v>1</v>
  </rv>
  <rv s="0">
    <fb>136.69999999999999</fb>
    <v>1</v>
  </rv>
  <rv s="0">
    <fb>465.8</fb>
    <v>1</v>
  </rv>
  <rv s="0">
    <fb>261.89999999999998</fb>
    <v>1</v>
  </rv>
  <rv s="0">
    <fb>260.14999999999998</fb>
    <v>1</v>
  </rv>
  <rv s="0">
    <fb>600.29999999999995</fb>
    <v>1</v>
  </rv>
  <rv s="0">
    <fb>105.66500000000001</fb>
    <v>1</v>
  </rv>
  <rv s="0">
    <fb>105.27</fb>
    <v>1</v>
  </rv>
  <rv s="0">
    <fb>54.62</fb>
    <v>1</v>
  </rv>
  <rv s="0">
    <fb>45905</fb>
    <v>0</v>
  </rv>
  <rv s="0">
    <fb>292.2</fb>
    <v>1</v>
  </rv>
  <rv s="0">
    <fb>199.02</fb>
    <v>1</v>
  </rv>
  <rv s="0">
    <fb>421.9</fb>
    <v>1</v>
  </rv>
  <rv s="0">
    <fb>136.68</fb>
    <v>1</v>
  </rv>
  <rv s="0">
    <fb>460.6</fb>
    <v>1</v>
  </rv>
  <rv s="0">
    <fb>286.7</fb>
    <v>1</v>
  </rv>
  <rv s="0">
    <fb>15.664999999999999</fb>
    <v>1</v>
  </rv>
  <rv s="0">
    <fb>595.79999999999995</fb>
    <v>1</v>
  </rv>
  <rv s="0">
    <fb>104.52500000000001</fb>
    <v>1</v>
  </rv>
  <rv s="0">
    <fb>54.23</fb>
    <v>1</v>
  </rv>
  <rv s="0">
    <fb>45908</fb>
    <v>0</v>
  </rv>
  <rv s="0">
    <fb>144.24</fb>
    <v>1</v>
  </rv>
  <rv s="0">
    <fb>291.05</fb>
    <v>1</v>
  </rv>
  <rv s="0">
    <fb>201.2</fb>
    <v>1</v>
  </rv>
  <rv s="0">
    <fb>157.44999999999999</fb>
    <v>1</v>
  </rv>
  <rv s="0">
    <fb>423.1</fb>
    <v>1</v>
  </rv>
  <rv s="0">
    <fb>134.76</fb>
    <v>1</v>
  </rv>
  <rv s="0">
    <fb>56.5</fb>
    <v>1</v>
  </rv>
  <rv s="0">
    <fb>296.55</fb>
    <v>1</v>
  </rv>
  <rv s="0">
    <fb>15.525</fb>
    <v>1</v>
  </rv>
  <rv s="0">
    <fb>608.4</fb>
    <v>1</v>
  </rv>
  <rv s="0">
    <fb>104.98</fb>
    <v>1</v>
  </rv>
  <rv s="0">
    <fb>105.2</fb>
    <v>1</v>
  </rv>
  <rv s="0">
    <fb>54.67</fb>
    <v>1</v>
  </rv>
  <rv s="0">
    <fb>45909</fb>
    <v>0</v>
  </rv>
  <rv s="0">
    <fb>145.24</fb>
    <v>1</v>
  </rv>
  <rv s="0">
    <fb>217.5</fb>
    <v>1</v>
  </rv>
  <rv s="0">
    <fb>217.2</fb>
    <v>1</v>
  </rv>
  <rv s="0">
    <fb>425.8</fb>
    <v>1</v>
  </rv>
  <rv s="0">
    <fb>135.72</fb>
    <v>1</v>
  </rv>
  <rv s="0">
    <fb>467.2</fb>
    <v>1</v>
  </rv>
  <rv s="0">
    <fb>83</fb>
    <v>1</v>
  </rv>
  <rv s="0">
    <fb>288.3</fb>
    <v>1</v>
  </rv>
  <rv s="0">
    <fb>253.9</fb>
    <v>1</v>
  </rv>
  <rv s="0">
    <fb>609.1</fb>
    <v>1</v>
  </rv>
  <rv s="0">
    <fb>105.36499999999999</fb>
    <v>1</v>
  </rv>
  <rv s="0">
    <fb>105.19</fb>
    <v>1</v>
  </rv>
  <rv s="0">
    <fb>45910</fb>
    <v>0</v>
  </rv>
  <rv s="0">
    <fb>151.68</fb>
    <v>1</v>
  </rv>
  <rv s="0">
    <fb>222</fb>
    <v>1</v>
  </rv>
  <rv s="0">
    <fb>210.05</fb>
    <v>1</v>
  </rv>
  <rv s="0">
    <fb>176.65</fb>
    <v>1</v>
  </rv>
  <rv s="0">
    <fb>427.7</fb>
    <v>1</v>
  </rv>
  <rv s="0">
    <fb>459.8</fb>
    <v>1</v>
  </rv>
  <rv s="0">
    <fb>80.5</fb>
    <v>1</v>
  </rv>
  <rv s="0">
    <fb>255.3</fb>
    <v>1</v>
  </rv>
  <rv s="0">
    <fb>15.35</fb>
    <v>1</v>
  </rv>
  <rv s="0">
    <fb>601.79999999999995</fb>
    <v>1</v>
  </rv>
  <rv s="0">
    <fb>105.935</fb>
    <v>1</v>
  </rv>
  <rv s="0">
    <fb>54.64</fb>
    <v>1</v>
  </rv>
  <rv s="0">
    <fb>45911</fb>
    <v>0</v>
  </rv>
  <rv s="0">
    <fb>221.5</fb>
    <v>1</v>
  </rv>
  <rv s="0">
    <fb>291.7</fb>
    <v>1</v>
  </rv>
  <rv s="0">
    <fb>210.65</fb>
    <v>1</v>
  </rv>
  <rv s="0">
    <fb>197.08</fb>
    <v>1</v>
  </rv>
  <rv s="0">
    <fb>180.25</fb>
    <v>1</v>
  </rv>
  <rv s="0">
    <fb>427.3</fb>
    <v>1</v>
  </rv>
  <rv s="0">
    <fb>135.32</fb>
    <v>1</v>
  </rv>
  <rv s="0">
    <fb>464.7</fb>
    <v>1</v>
  </rv>
  <rv s="0">
    <fb>77</fb>
    <v>1</v>
  </rv>
  <rv s="0">
    <fb>311.10000000000002</fb>
    <v>1</v>
  </rv>
  <rv s="0">
    <fb>15.19</fb>
    <v>1</v>
  </rv>
  <rv s="0">
    <fb>581.9</fb>
    <v>1</v>
  </rv>
  <rv s="0">
    <fb>106.47499999999999</fb>
    <v>1</v>
  </rv>
  <rv s="0">
    <fb>106.44499999999999</fb>
    <v>1</v>
  </rv>
  <rv s="0">
    <fb>45912</fb>
    <v>0</v>
  </rv>
  <rv s="0">
    <fb>151.28</fb>
    <v>1</v>
  </rv>
  <rv s="0">
    <fb>289.39999999999998</fb>
    <v>1</v>
  </rv>
  <rv s="0">
    <fb>194.28</fb>
    <v>1</v>
  </rv>
  <rv s="0">
    <fb>134.74</fb>
    <v>1</v>
  </rv>
  <rv s="0">
    <fb>469.6</fb>
    <v>1</v>
  </rv>
  <rv s="0">
    <fb>75.5</fb>
    <v>1</v>
  </rv>
  <rv s="0">
    <fb>307.95</fb>
    <v>1</v>
  </rv>
  <rv s="0">
    <fb>261.35000000000002</fb>
    <v>1</v>
  </rv>
  <rv s="0">
    <fb>589.4</fb>
    <v>1</v>
  </rv>
  <rv s="0">
    <fb>106.565</fb>
    <v>1</v>
  </rv>
  <rv s="0">
    <fb>106.49</fb>
    <v>1</v>
  </rv>
  <rv s="0">
    <fb>55.04</fb>
    <v>1</v>
  </rv>
  <rv s="0">
    <fb>45915</fb>
    <v>0</v>
  </rv>
  <rv s="0">
    <fb>150.46</fb>
    <v>1</v>
  </rv>
  <rv s="0">
    <fb>287.7</fb>
    <v>1</v>
  </rv>
  <rv s="0">
    <fb>205.2</fb>
    <v>1</v>
  </rv>
  <rv s="0">
    <fb>197.16</fb>
    <v>1</v>
  </rv>
  <rv s="0">
    <fb>182.25</fb>
    <v>1</v>
  </rv>
  <rv s="0">
    <fb>438</fb>
    <v>1</v>
  </rv>
  <rv s="0">
    <fb>133.5</fb>
    <v>1</v>
  </rv>
  <rv s="0">
    <fb>460.85</fb>
    <v>1</v>
  </rv>
  <rv s="0">
    <fb>306.60000000000002</fb>
    <v>1</v>
  </rv>
  <rv s="0">
    <fb>262.35000000000002</fb>
    <v>1</v>
  </rv>
  <rv s="0">
    <fb>14.64</fb>
    <v>1</v>
  </rv>
  <rv s="0">
    <fb>597.70000000000005</fb>
    <v>1</v>
  </rv>
  <rv s="0">
    <fb>106.58</fb>
    <v>1</v>
  </rv>
  <rv s="0">
    <fb>106.63500000000001</fb>
    <v>1</v>
  </rv>
  <rv s="0">
    <fb>54.65</fb>
    <v>1</v>
  </rv>
  <rv s="0">
    <fb>45916</fb>
    <v>0</v>
  </rv>
  <rv s="0">
    <fb>287.3</fb>
    <v>1</v>
  </rv>
  <rv s="0">
    <fb>197.76</fb>
    <v>1</v>
  </rv>
  <rv s="0">
    <fb>429.55</fb>
    <v>1</v>
  </rv>
  <rv s="0">
    <fb>132.80000000000001</fb>
    <v>1</v>
  </rv>
  <rv s="0">
    <fb>456.95</fb>
    <v>1</v>
  </rv>
  <rv s="0">
    <fb>76.5</fb>
    <v>1</v>
  </rv>
  <rv s="0">
    <fb>303.25</fb>
    <v>1</v>
  </rv>
  <rv s="0">
    <fb>261.2</fb>
    <v>1</v>
  </rv>
  <rv s="0">
    <fb>14.68</fb>
    <v>1</v>
  </rv>
  <rv s="0">
    <fb>592.4</fb>
    <v>1</v>
  </rv>
  <rv s="0">
    <fb>105.68</fb>
    <v>1</v>
  </rv>
  <rv s="0">
    <fb>105.74</fb>
    <v>1</v>
  </rv>
  <rv s="0">
    <fb>54.12</fb>
    <v>1</v>
  </rv>
  <rv s="0">
    <fb>45917</fb>
    <v>0</v>
  </rv>
  <rv s="0">
    <fb>144.04</fb>
    <v>1</v>
  </rv>
  <rv s="0">
    <fb>291.95</fb>
    <v>1</v>
  </rv>
  <rv s="0">
    <fb>203.4</fb>
    <v>1</v>
  </rv>
  <rv s="0">
    <fb>195.34</fb>
    <v>1</v>
  </rv>
  <rv s="0">
    <fb>178</fb>
    <v>1</v>
  </rv>
  <rv s="0">
    <fb>80</fb>
    <v>1</v>
  </rv>
  <rv s="0">
    <fb>293.60000000000002</fb>
    <v>1</v>
  </rv>
  <rv s="0">
    <fb>15.09</fb>
    <v>1</v>
  </rv>
  <rv s="0">
    <fb>585</fb>
    <v>1</v>
  </rv>
  <rv s="0">
    <fb>105.82</fb>
    <v>1</v>
  </rv>
  <rv s="0">
    <fb>105.655</fb>
    <v>1</v>
  </rv>
  <rv s="0">
    <fb>54.07</fb>
    <v>1</v>
  </rv>
  <rv s="0">
    <fb>45918</fb>
    <v>0</v>
  </rv>
  <rv s="0">
    <fb>149.80000000000001</fb>
    <v>1</v>
  </rv>
  <rv s="0">
    <fb>208.05</fb>
    <v>1</v>
  </rv>
  <rv s="0">
    <fb>196.92</fb>
    <v>1</v>
  </rv>
  <rv s="0">
    <fb>178.65</fb>
    <v>1</v>
  </rv>
  <rv s="0">
    <fb>431.4</fb>
    <v>1</v>
  </rv>
  <rv s="0">
    <fb>449.85</fb>
    <v>1</v>
  </rv>
  <rv s="0">
    <fb>295.7</fb>
    <v>1</v>
  </rv>
  <rv s="0">
    <fb>264.25</fb>
    <v>1</v>
  </rv>
  <rv s="0">
    <fb>14.97</fb>
    <v>1</v>
  </rv>
  <rv s="0">
    <fb>624.4</fb>
    <v>1</v>
  </rv>
  <rv s="0">
    <fb>106.675</fb>
    <v>1</v>
  </rv>
  <rv s="0">
    <fb>106.81</fb>
    <v>1</v>
  </rv>
  <rv s="0">
    <fb>45919</fb>
    <v>0</v>
  </rv>
  <rv s="0">
    <fb>209.6</fb>
    <v>1</v>
  </rv>
  <rv s="0">
    <fb>197.62</fb>
    <v>1</v>
  </rv>
  <rv s="0">
    <fb>177.1</fb>
    <v>1</v>
  </rv>
  <rv s="0">
    <fb>441.9</fb>
    <v>1</v>
  </rv>
  <rv s="0">
    <fb>133.47999999999999</fb>
    <v>1</v>
  </rv>
  <rv s="0">
    <fb>437.2</fb>
    <v>1</v>
  </rv>
  <rv s="0">
    <fb>292</fb>
    <v>1</v>
  </rv>
  <rv s="0">
    <fb>264.85000000000002</fb>
    <v>1</v>
  </rv>
  <rv s="0">
    <fb>14.65</fb>
    <v>1</v>
  </rv>
  <rv s="0">
    <fb>625.20000000000005</fb>
    <v>1</v>
  </rv>
  <rv s="0">
    <fb>107.23</fb>
    <v>1</v>
  </rv>
  <rv s="0">
    <fb>106.925</fb>
    <v>1</v>
  </rv>
  <rv s="0">
    <fb>54.91</fb>
    <v>1</v>
  </rv>
  <rv s="0">
    <fb>45922</fb>
    <v>0</v>
  </rv>
  <rv s="0">
    <fb>232.5</fb>
    <v>1</v>
  </rv>
  <rv s="0">
    <fb>291.39999999999998</fb>
    <v>1</v>
  </rv>
  <rv s="0">
    <fb>184.85</fb>
    <v>1</v>
  </rv>
  <rv s="0">
    <fb>129.96</fb>
    <v>1</v>
  </rv>
  <rv s="0">
    <fb>429.6</fb>
    <v>1</v>
  </rv>
  <rv s="0">
    <fb>92</fb>
    <v>1</v>
  </rv>
  <rv s="0">
    <fb>292.05</fb>
    <v>1</v>
  </rv>
  <rv s="0">
    <fb>265.3</fb>
    <v>1</v>
  </rv>
  <rv s="0">
    <fb>621.4</fb>
    <v>1</v>
  </rv>
  <rv s="0">
    <fb>107.515</fb>
    <v>1</v>
  </rv>
  <rv s="0">
    <fb>107.175</fb>
    <v>1</v>
  </rv>
  <rv s="0">
    <fb>45923</fb>
    <v>0</v>
  </rv>
  <rv s="0">
    <fb>151.08000000000001</fb>
    <v>1</v>
  </rv>
  <rv s="0">
    <fb>239.5</fb>
    <v>1</v>
  </rv>
  <rv s="0">
    <fb>287.14999999999998</fb>
    <v>1</v>
  </rv>
  <rv s="0">
    <fb>209.8</fb>
    <v>1</v>
  </rv>
  <rv s="0">
    <fb>186.62</fb>
    <v>1</v>
  </rv>
  <rv s="0">
    <fb>128.74</fb>
    <v>1</v>
  </rv>
  <rv s="0">
    <fb>423.9</fb>
    <v>1</v>
  </rv>
  <rv s="0">
    <fb>89.5</fb>
    <v>1</v>
  </rv>
  <rv s="0">
    <fb>291.85000000000002</fb>
    <v>1</v>
  </rv>
  <rv s="0">
    <fb>14.35</fb>
    <v>1</v>
  </rv>
  <rv s="0">
    <fb>619</fb>
    <v>1</v>
  </rv>
  <rv s="0">
    <fb>106.93</fb>
    <v>1</v>
  </rv>
  <rv s="0">
    <fb>54.98</fb>
    <v>1</v>
  </rv>
  <rv s="0">
    <fb>45924</fb>
    <v>0</v>
  </rv>
  <rv s="0">
    <fb>150.66</fb>
    <v>1</v>
  </rv>
  <rv s="0">
    <fb>288.05</fb>
    <v>1</v>
  </rv>
  <rv s="0">
    <fb>187.32</fb>
    <v>1</v>
  </rv>
  <rv s="0">
    <fb>174.45</fb>
    <v>1</v>
  </rv>
  <rv s="0">
    <fb>432.25</fb>
    <v>1</v>
  </rv>
  <rv s="0">
    <fb>130.41999999999999</fb>
    <v>1</v>
  </rv>
  <rv s="0">
    <fb>418.3</fb>
    <v>1</v>
  </rv>
  <rv s="0">
    <fb>97</fb>
    <v>1</v>
  </rv>
  <rv s="0">
    <fb>289.35000000000002</fb>
    <v>1</v>
  </rv>
  <rv s="0">
    <fb>269.25</fb>
    <v>1</v>
  </rv>
  <rv s="0">
    <fb>13.984999999999999</fb>
    <v>1</v>
  </rv>
  <rv s="0">
    <fb>598.20000000000005</fb>
    <v>1</v>
  </rv>
  <rv s="0">
    <fb>107.15</fb>
    <v>1</v>
  </rv>
  <rv s="0">
    <fb>107.11</fb>
    <v>1</v>
  </rv>
  <rv s="0">
    <fb>45925</fb>
    <v>0</v>
  </rv>
  <rv s="0">
    <fb>152.38</fb>
    <v>1</v>
  </rv>
  <rv s="0">
    <fb>237.5</fb>
    <v>1</v>
  </rv>
  <rv s="0">
    <fb>287.60000000000002</fb>
    <v>1</v>
  </rv>
  <rv s="0">
    <fb>186.76</fb>
    <v>1</v>
  </rv>
  <rv s="0">
    <fb>435.5</fb>
    <v>1</v>
  </rv>
  <rv s="0">
    <fb>130.46</fb>
    <v>1</v>
  </rv>
  <rv s="0">
    <fb>92.5</fb>
    <v>1</v>
  </rv>
  <rv s="0">
    <fb>286.8</fb>
    <v>1</v>
  </rv>
  <rv s="0">
    <fb>268.75</fb>
    <v>1</v>
  </rv>
  <rv s="0">
    <fb>13.92</fb>
    <v>1</v>
  </rv>
  <rv s="0">
    <fb>608.79999999999995</fb>
    <v>1</v>
  </rv>
  <rv s="0">
    <fb>107.4</fb>
    <v>1</v>
  </rv>
  <rv s="0">
    <fb>106.97499999999999</fb>
    <v>1</v>
  </rv>
  <rv s="0">
    <fb>54.83</fb>
    <v>1</v>
  </rv>
  <rv s="0">
    <fb>45926</fb>
    <v>0</v>
  </rv>
  <rv s="0">
    <fb>234</fb>
    <v>1</v>
  </rv>
  <rv s="0">
    <fb>288.45</fb>
    <v>1</v>
  </rv>
  <rv s="0">
    <fb>207.45</fb>
    <v>1</v>
  </rv>
  <rv s="0">
    <fb>175.35</fb>
    <v>1</v>
  </rv>
  <rv s="0">
    <fb>129.94</fb>
    <v>1</v>
  </rv>
  <rv s="0">
    <fb>417.15</fb>
    <v>1</v>
  </rv>
  <rv s="0">
    <fb>89</fb>
    <v>1</v>
  </rv>
  <rv s="0">
    <fb>284.75</fb>
    <v>1</v>
  </rv>
  <rv s="0">
    <fb>14.14</fb>
    <v>1</v>
  </rv>
  <rv s="0">
    <fb>605.29999999999995</fb>
    <v>1</v>
  </rv>
  <rv s="0">
    <fb>107.05</fb>
    <v>1</v>
  </rv>
  <rv s="0">
    <fb>55.31</fb>
    <v>1</v>
  </rv>
  <rv s="0">
    <fb>45929</fb>
    <v>0</v>
  </rv>
  <rv s="0">
    <fb>290</fb>
    <v>1</v>
  </rv>
  <rv s="0">
    <fb>207.4</fb>
    <v>1</v>
  </rv>
  <rv s="0">
    <fb>189.5</fb>
    <v>1</v>
  </rv>
  <rv s="0">
    <fb>169</fb>
    <v>1</v>
  </rv>
  <rv s="0">
    <fb>438.85</fb>
    <v>1</v>
  </rv>
  <rv s="0">
    <fb>130.88</fb>
    <v>1</v>
  </rv>
  <rv s="0">
    <fb>421.05</fb>
    <v>1</v>
  </rv>
  <rv s="0">
    <fb>95</fb>
    <v>1</v>
  </rv>
  <rv s="0">
    <fb>284.89999999999998</fb>
    <v>1</v>
  </rv>
  <rv s="0">
    <fb>267.75</fb>
    <v>1</v>
  </rv>
  <rv s="0">
    <fb>13.855</fb>
    <v>1</v>
  </rv>
  <rv s="0">
    <fb>619.1</fb>
    <v>1</v>
  </rv>
  <rv s="0">
    <fb>107.435</fb>
    <v>1</v>
  </rv>
  <rv s="0">
    <fb>107.37</fb>
    <v>1</v>
  </rv>
  <rv s="0">
    <fb>45930</fb>
    <v>0</v>
  </rv>
  <rv s="0">
    <fb>158.80000000000001</fb>
    <v>1</v>
  </rv>
  <rv s="0">
    <fb>236</fb>
    <v>1</v>
  </rv>
  <rv s="0">
    <fb>290.25</fb>
    <v>1</v>
  </rv>
  <rv s="0">
    <fb>202.55</fb>
    <v>1</v>
  </rv>
  <rv s="0">
    <fb>187.28</fb>
    <v>1</v>
  </rv>
  <rv s="0">
    <fb>163.85</fb>
    <v>1</v>
  </rv>
  <rv s="0">
    <fb>440.65</fb>
    <v>1</v>
  </rv>
  <rv s="0">
    <fb>130.82</fb>
    <v>1</v>
  </rv>
  <rv s="0">
    <fb>415.35</fb>
    <v>1</v>
  </rv>
  <rv s="0">
    <fb>95.5</fb>
    <v>1</v>
  </rv>
  <rv s="0">
    <fb>278.14999999999998</fb>
    <v>1</v>
  </rv>
  <rv s="0">
    <fb>269.14999999999998</fb>
    <v>1</v>
  </rv>
  <rv s="0">
    <fb>14.34</fb>
    <v>1</v>
  </rv>
  <rv s="0">
    <fb>591.6</fb>
    <v>1</v>
  </rv>
  <rv s="0">
    <fb>107.07</fb>
    <v>1</v>
  </rv>
  <rv s="0">
    <fb>107.22</fb>
    <v>1</v>
  </rv>
  <rv s="0">
    <fb>55.63</fb>
    <v>1</v>
  </rv>
  <rv s="0">
    <fb>45931</fb>
    <v>0</v>
  </rv>
  <rv s="0">
    <fb>159.68</fb>
    <v>1</v>
  </rv>
  <rv s="0">
    <fb>245</fb>
    <v>1</v>
  </rv>
  <rv s="0">
    <fb>199.98</fb>
    <v>1</v>
  </rv>
  <rv s="0">
    <fb>187.68</fb>
    <v>1</v>
  </rv>
  <rv s="0">
    <fb>172.75</fb>
    <v>1</v>
  </rv>
  <rv s="0">
    <fb>442.05</fb>
    <v>1</v>
  </rv>
  <rv s="0">
    <fb>413.85</fb>
    <v>1</v>
  </rv>
  <rv s="0">
    <fb>284</fb>
    <v>1</v>
  </rv>
  <rv s="0">
    <fb>264.8</fb>
    <v>1</v>
  </rv>
  <rv s="0">
    <fb>14.715</fb>
    <v>1</v>
  </rv>
  <rv s="0">
    <fb>607</fb>
    <v>1</v>
  </rv>
  <rv s="0">
    <fb>108.325</fb>
    <v>1</v>
  </rv>
  <rv s="0">
    <fb>108.02</fb>
    <v>1</v>
  </rv>
  <rv s="0">
    <fb>56.46</fb>
    <v>1</v>
  </rv>
  <rv s="0">
    <fb>45932</fb>
    <v>0</v>
  </rv>
  <rv s="0">
    <fb>161.44</fb>
    <v>1</v>
  </rv>
  <rv s="0">
    <fb>246</fb>
    <v>1</v>
  </rv>
  <rv s="0">
    <fb>295.05</fb>
    <v>1</v>
  </rv>
  <rv s="0">
    <fb>203.55</fb>
    <v>1</v>
  </rv>
  <rv s="0">
    <fb>189.24</fb>
    <v>1</v>
  </rv>
  <rv s="0">
    <fb>172.05</fb>
    <v>1</v>
  </rv>
  <rv s="0">
    <fb>440.8</fb>
    <v>1</v>
  </rv>
  <rv s="0">
    <fb>129.47999999999999</fb>
    <v>1</v>
  </rv>
  <rv s="0">
    <fb>406.75</fb>
    <v>1</v>
  </rv>
  <rv s="0">
    <fb>108</fb>
    <v>1</v>
  </rv>
  <rv s="0">
    <fb>291.14999999999998</fb>
    <v>1</v>
  </rv>
  <rv s="0">
    <fb>14.824999999999999</fb>
    <v>1</v>
  </rv>
  <rv s="0">
    <fb>605.1</fb>
    <v>1</v>
  </rv>
  <rv s="0">
    <fb>108.4</fb>
    <v>1</v>
  </rv>
  <rv s="0">
    <fb>56.92</fb>
    <v>1</v>
  </rv>
  <rv s="0">
    <fb>45933</fb>
    <v>0</v>
  </rv>
  <rv s="0">
    <fb>300.05</fb>
    <v>1</v>
  </rv>
  <rv s="0">
    <fb>204.15</fb>
    <v>1</v>
  </rv>
  <rv s="0">
    <fb>176.45</fb>
    <v>1</v>
  </rv>
  <rv s="0">
    <fb>441.6</fb>
    <v>1</v>
  </rv>
  <rv s="0">
    <fb>129.80000000000001</fb>
    <v>1</v>
  </rv>
  <rv s="0">
    <fb>113</fb>
    <v>1</v>
  </rv>
  <rv s="0">
    <fb>290.8</fb>
    <v>1</v>
  </rv>
  <rv s="0">
    <fb>263.8</fb>
    <v>1</v>
  </rv>
  <rv s="0">
    <fb>14.88</fb>
    <v>1</v>
  </rv>
  <rv s="0">
    <fb>585.5</fb>
    <v>1</v>
  </rv>
  <rv s="0">
    <fb>108.6</fb>
    <v>1</v>
  </rv>
  <rv s="0">
    <fb>108.86499999999999</fb>
    <v>1</v>
  </rv>
  <rv s="0">
    <fb>56.9</fb>
    <v>1</v>
  </rv>
  <rv s="0">
    <fb>45936</fb>
    <v>0</v>
  </rv>
  <rv s="0">
    <fb>158.63999999999999</fb>
    <v>1</v>
  </rv>
  <rv s="0">
    <fb>260</fb>
    <v>1</v>
  </rv>
  <rv s="0">
    <fb>297.89999999999998</fb>
    <v>1</v>
  </rv>
  <rv s="0">
    <fb>212.3</fb>
    <v>1</v>
  </rv>
  <rv s="0">
    <fb>188.66</fb>
    <v>1</v>
  </rv>
  <rv s="0">
    <fb>452.75</fb>
    <v>1</v>
  </rv>
  <rv s="0">
    <fb>128.5</fb>
    <v>1</v>
  </rv>
  <rv s="0">
    <fb>107</fb>
    <v>1</v>
  </rv>
  <rv s="0">
    <fb>264.10000000000002</fb>
    <v>1</v>
  </rv>
  <rv s="0">
    <fb>14.92</fb>
    <v>1</v>
  </rv>
  <rv s="0">
    <fb>591</fb>
    <v>1</v>
  </rv>
  <rv s="0">
    <fb>109.1</fb>
    <v>1</v>
  </rv>
  <rv s="0">
    <fb>109.24</fb>
    <v>1</v>
  </rv>
  <rv s="0">
    <fb>56.77</fb>
    <v>1</v>
  </rv>
  <rv s="0">
    <fb>45937</fb>
    <v>0</v>
  </rv>
  <rv s="0">
    <fb>159.24</fb>
    <v>1</v>
  </rv>
  <rv s="0">
    <fb>254</fb>
    <v>1</v>
  </rv>
  <rv s="0">
    <fb>301.25</fb>
    <v>1</v>
  </rv>
  <rv s="0">
    <fb>190.1</fb>
    <v>1</v>
  </rv>
  <rv s="0">
    <fb>171.6</fb>
    <v>1</v>
  </rv>
  <rv s="0">
    <fb>449.4</fb>
    <v>1</v>
  </rv>
  <rv s="0">
    <fb>411.2</fb>
    <v>1</v>
  </rv>
  <rv s="0">
    <fb>103</fb>
    <v>1</v>
  </rv>
  <rv s="0">
    <fb>281.7</fb>
    <v>1</v>
  </rv>
  <rv s="0">
    <fb>263.89999999999998</fb>
    <v>1</v>
  </rv>
  <rv s="0">
    <fb>15.17</fb>
    <v>1</v>
  </rv>
  <rv s="0">
    <fb>579.70000000000005</fb>
    <v>1</v>
  </rv>
  <rv s="0">
    <fb>109.065</fb>
    <v>1</v>
  </rv>
  <rv s="0">
    <fb>45938</fb>
    <v>0</v>
  </rv>
  <rv s="0">
    <fb>162.06</fb>
    <v>1</v>
  </rv>
  <rv s="0">
    <fb>173.95</fb>
    <v>1</v>
  </rv>
  <rv s="0">
    <fb>129.74</fb>
    <v>1</v>
  </rv>
  <rv s="0">
    <fb>415</fb>
    <v>1</v>
  </rv>
  <rv s="0">
    <fb>102</fb>
    <v>1</v>
  </rv>
  <rv s="0">
    <fb>294.05</fb>
    <v>1</v>
  </rv>
  <rv s="0">
    <fb>15.035</fb>
    <v>1</v>
  </rv>
  <rv s="0">
    <fb>588.79999999999995</fb>
    <v>1</v>
  </rv>
  <rv s="0">
    <fb>110.06</fb>
    <v>1</v>
  </rv>
  <rv s="0">
    <fb>109.995</fb>
    <v>1</v>
  </rv>
  <rv s="0">
    <fb>56.85</fb>
    <v>1</v>
  </rv>
  <rv s="0">
    <fb>45939</fb>
    <v>0</v>
  </rv>
  <rv s="0">
    <fb>166.38</fb>
    <v>1</v>
  </rv>
  <rv s="0">
    <fb>299.45</fb>
    <v>1</v>
  </rv>
  <rv s="0">
    <fb>181</fb>
    <v>1</v>
  </rv>
  <rv s="0">
    <fb>130.24</fb>
    <v>1</v>
  </rv>
  <rv s="0">
    <fb>421.65</fb>
    <v>1</v>
  </rv>
  <rv s="0">
    <fb>298.25</fb>
    <v>1</v>
  </rv>
  <rv s="0">
    <fb>263.60000000000002</fb>
    <v>1</v>
  </rv>
  <rv s="0">
    <fb>14.775</fb>
    <v>1</v>
  </rv>
  <rv s="0">
    <fb>584.1</fb>
    <v>1</v>
  </rv>
  <rv s="0">
    <fb>110.08499999999999</fb>
    <v>1</v>
  </rv>
  <rv s="0">
    <fb>110.035</fb>
    <v>1</v>
  </rv>
  <rv s="0">
    <fb>56.55</fb>
    <v>1</v>
  </rv>
  <rv s="0">
    <fb>45940</fb>
    <v>0</v>
  </rv>
  <rv s="0">
    <fb>157.84</fb>
    <v>1</v>
  </rv>
  <rv s="0">
    <fb>243.5</fb>
    <v>1</v>
  </rv>
  <rv s="0">
    <fb>296.25</fb>
    <v>1</v>
  </rv>
  <rv s="0">
    <fb>207.7</fb>
    <v>1</v>
  </rv>
  <rv s="0">
    <fb>186.98</fb>
    <v>1</v>
  </rv>
  <rv s="0">
    <fb>175.1</fb>
    <v>1</v>
  </rv>
  <rv s="0">
    <fb>439.5</fb>
    <v>1</v>
  </rv>
  <rv s="0">
    <fb>128.80000000000001</fb>
    <v>1</v>
  </rv>
  <rv s="0">
    <fb>423.45</fb>
    <v>1</v>
  </rv>
  <rv s="0">
    <fb>287.64999999999998</fb>
    <v>1</v>
  </rv>
  <rv s="0">
    <fb>259.45</fb>
    <v>1</v>
  </rv>
  <rv s="0">
    <fb>14.89</fb>
    <v>1</v>
  </rv>
  <rv s="0">
    <fb>579.5</fb>
    <v>1</v>
  </rv>
  <rv s="0">
    <fb>106.91</fb>
    <v>1</v>
  </rv>
  <rv s="0">
    <fb>107.91500000000001</fb>
    <v>1</v>
  </rv>
  <rv s="0">
    <fb>55.67</fb>
    <v>1</v>
  </rv>
  <rv s="0">
    <fb>45943</fb>
    <v>0</v>
  </rv>
  <rv s="0">
    <fb>162.32</fb>
    <v>1</v>
  </rv>
  <rv s="0">
    <fb>264</fb>
    <v>1</v>
  </rv>
  <rv s="0">
    <fb>296.8</fb>
    <v>1</v>
  </rv>
  <rv s="0">
    <fb>215.45</fb>
    <v>1</v>
  </rv>
  <rv s="0">
    <fb>178.95</fb>
    <v>1</v>
  </rv>
  <rv s="0">
    <fb>443.95</fb>
    <v>1</v>
  </rv>
  <rv s="0">
    <fb>127.48</fb>
    <v>1</v>
  </rv>
  <rv s="0">
    <fb>418.2</fb>
    <v>1</v>
  </rv>
  <rv s="0">
    <fb>305.10000000000002</fb>
    <v>1</v>
  </rv>
  <rv s="0">
    <fb>266.95</fb>
    <v>1</v>
  </rv>
  <rv s="0">
    <fb>14.225</fb>
    <v>1</v>
  </rv>
  <rv s="0">
    <fb>597.5</fb>
    <v>1</v>
  </rv>
  <rv s="0">
    <fb>108.755</fb>
    <v>1</v>
  </rv>
  <rv s="0">
    <fb>56.05</fb>
    <v>1</v>
  </rv>
  <rv s="0">
    <fb>45944</fb>
    <v>0</v>
  </rv>
  <rv s="0">
    <fb>155.16</fb>
    <v>1</v>
  </rv>
  <rv s="0">
    <fb>298.75</fb>
    <v>1</v>
  </rv>
  <rv s="0">
    <fb>207.85</fb>
    <v>1</v>
  </rv>
  <rv s="0">
    <fb>177.65</fb>
    <v>1</v>
  </rv>
  <rv s="0">
    <fb>442.75</fb>
    <v>1</v>
  </rv>
  <rv s="0">
    <fb>128.18</fb>
    <v>1</v>
  </rv>
  <rv s="0">
    <fb>417.85</fb>
    <v>1</v>
  </rv>
  <rv s="0">
    <fb>297.25</fb>
    <v>1</v>
  </rv>
  <rv s="0">
    <fb>261.39999999999998</fb>
    <v>1</v>
  </rv>
  <rv s="0">
    <fb>14.6</fb>
    <v>1</v>
  </rv>
  <rv s="0">
    <fb>599.70000000000005</fb>
    <v>1</v>
  </rv>
  <rv s="0">
    <fb>108.86</fb>
    <v>1</v>
  </rv>
  <rv s="0">
    <fb>108.21</fb>
    <v>1</v>
  </rv>
  <rv s="0">
    <fb>56.42</fb>
    <v>1</v>
  </rv>
  <rv s="0">
    <fb>45945</fb>
    <v>0</v>
  </rv>
  <rv s="0">
    <fb>261</fb>
    <v>1</v>
  </rv>
  <rv s="0">
    <fb>297.45</fb>
    <v>1</v>
  </rv>
  <rv s="0">
    <fb>204.3</fb>
    <v>1</v>
  </rv>
  <rv s="0">
    <fb>184.98</fb>
    <v>1</v>
  </rv>
  <rv s="0">
    <fb>182.95</fb>
    <v>1</v>
  </rv>
  <rv s="0">
    <fb>441.2</fb>
    <v>1</v>
  </rv>
  <rv s="0">
    <fb>422.9</fb>
    <v>1</v>
  </rv>
  <rv s="0">
    <fb>304.60000000000002</fb>
    <v>1</v>
  </rv>
  <rv s="0">
    <fb>265.55</fb>
    <v>1</v>
  </rv>
  <rv s="0">
    <fb>14.8</fb>
    <v>1</v>
  </rv>
  <rv s="0">
    <fb>107.98</fb>
    <v>1</v>
  </rv>
  <rv s="0">
    <fb>108.93</fb>
    <v>1</v>
  </rv>
  <rv s="0">
    <fb>56.11</fb>
    <v>1</v>
  </rv>
  <rv s="0">
    <fb>45946</fb>
    <v>0</v>
  </rv>
  <rv s="0">
    <fb>155.4</fb>
    <v>1</v>
  </rv>
  <rv s="0">
    <fb>257</fb>
    <v>1</v>
  </rv>
  <rv s="0">
    <fb>286.85000000000002</fb>
    <v>1</v>
  </rv>
  <rv s="0">
    <fb>209.9</fb>
    <v>1</v>
  </rv>
  <rv s="0">
    <fb>437.4</fb>
    <v>1</v>
  </rv>
  <rv s="0">
    <fb>127.82</fb>
    <v>1</v>
  </rv>
  <rv s="0">
    <fb>404.1</fb>
    <v>1</v>
  </rv>
  <rv s="0">
    <fb>104</fb>
    <v>1</v>
  </rv>
  <rv s="0">
    <fb>14.574999999999999</fb>
    <v>1</v>
  </rv>
  <rv s="0">
    <fb>576.20000000000005</fb>
    <v>1</v>
  </rv>
  <rv s="0">
    <fb>107.89</fb>
    <v>1</v>
  </rv>
  <rv s="0">
    <fb>108.75</fb>
    <v>1</v>
  </rv>
  <rv s="0">
    <fb>56.83</fb>
    <v>1</v>
  </rv>
  <rv s="0">
    <fb>45947</fb>
    <v>0</v>
  </rv>
  <rv s="0">
    <fb>157.04</fb>
    <v>1</v>
  </rv>
  <rv s="0">
    <fb>255</fb>
    <v>1</v>
  </rv>
  <rv s="0">
    <fb>293.14999999999998</fb>
    <v>1</v>
  </rv>
  <rv s="0">
    <fb>209.2</fb>
    <v>1</v>
  </rv>
  <rv s="0">
    <fb>437.75</fb>
    <v>1</v>
  </rv>
  <rv s="0">
    <fb>407</fb>
    <v>1</v>
  </rv>
  <rv s="0">
    <fb>99</fb>
    <v>1</v>
  </rv>
  <rv s="0">
    <fb>293.2</fb>
    <v>1</v>
  </rv>
  <rv s="0">
    <fb>571.20000000000005</fb>
    <v>1</v>
  </rv>
  <rv s="0">
    <fb>107.785</fb>
    <v>1</v>
  </rv>
  <rv s="0">
    <fb>107.67</fb>
    <v>1</v>
  </rv>
  <rv s="0">
    <fb>56.8</fb>
    <v>1</v>
  </rv>
  <rv s="0">
    <fb>45950</fb>
    <v>0</v>
  </rv>
  <rv s="0">
    <fb>157.16</fb>
    <v>1</v>
  </rv>
  <rv s="0">
    <fb>258</fb>
    <v>1</v>
  </rv>
  <rv s="0">
    <fb>218.1</fb>
    <v>1</v>
  </rv>
  <rv s="0">
    <fb>185.94</fb>
    <v>1</v>
  </rv>
  <rv s="0">
    <fb>443.05</fb>
    <v>1</v>
  </rv>
  <rv s="0">
    <fb>410.1</fb>
    <v>1</v>
  </rv>
  <rv s="0">
    <fb>94</fb>
    <v>1</v>
  </rv>
  <rv s="0">
    <fb>302.10000000000002</fb>
    <v>1</v>
  </rv>
  <rv s="0">
    <fb>258.39999999999998</fb>
    <v>1</v>
  </rv>
  <rv s="0">
    <fb>15.61</fb>
    <v>1</v>
  </rv>
  <rv s="0">
    <fb>581.1</fb>
    <v>1</v>
  </rv>
  <rv s="0">
    <fb>109.675</fb>
    <v>1</v>
  </rv>
  <rv s="0">
    <fb>109.505</fb>
    <v>1</v>
  </rv>
  <rv s="0">
    <fb>57.3</fb>
    <v>1</v>
  </rv>
  <rv s="0">
    <fb>45951</fb>
    <v>0</v>
  </rv>
  <rv s="0">
    <fb>227.8</fb>
    <v>1</v>
  </rv>
  <rv s="0">
    <fb>191.5</fb>
    <v>1</v>
  </rv>
  <rv s="0">
    <fb>161.15</fb>
    <v>1</v>
  </rv>
  <rv s="0">
    <fb>445.9</fb>
    <v>1</v>
  </rv>
  <rv s="0">
    <fb>130.52000000000001</fb>
    <v>1</v>
  </rv>
  <rv s="0">
    <fb>414.05</fb>
    <v>1</v>
  </rv>
  <rv s="0">
    <fb>87.5</fb>
    <v>1</v>
  </rv>
  <rv s="0">
    <fb>296.2</fb>
    <v>1</v>
  </rv>
  <rv s="0">
    <fb>15.72</fb>
    <v>1</v>
  </rv>
  <rv s="0">
    <fb>593.5</fb>
    <v>1</v>
  </rv>
  <rv s="0">
    <fb>110.155</fb>
    <v>1</v>
  </rv>
  <rv s="0">
    <fb>109.94499999999999</fb>
    <v>1</v>
  </rv>
  <rv s="0">
    <fb>57.16</fb>
    <v>1</v>
  </rv>
  <rv s="0">
    <fb>45952</fb>
    <v>0</v>
  </rv>
  <rv s="0">
    <fb>155.02000000000001</fb>
    <v>1</v>
  </rv>
  <rv s="0">
    <fb>297.2</fb>
    <v>1</v>
  </rv>
  <rv s="0">
    <fb>157.15</fb>
    <v>1</v>
  </rv>
  <rv s="0">
    <fb>448.25</fb>
    <v>1</v>
  </rv>
  <rv s="0">
    <fb>131.08000000000001</fb>
    <v>1</v>
  </rv>
  <rv s="0">
    <fb>416.5</fb>
    <v>1</v>
  </rv>
  <rv s="0">
    <fb>81</fb>
    <v>1</v>
  </rv>
  <rv s="0">
    <fb>15.53</fb>
    <v>1</v>
  </rv>
  <rv s="0">
    <fb>575.29999999999995</fb>
    <v>1</v>
  </rv>
  <rv s="0">
    <fb>108.78</fb>
    <v>1</v>
  </rv>
  <rv s="0">
    <fb>109.325</fb>
    <v>1</v>
  </rv>
  <rv s="0">
    <fb>56.57</fb>
    <v>1</v>
  </rv>
  <rv s="0">
    <fb>45953</fb>
    <v>0</v>
  </rv>
  <rv s="0">
    <fb>157.5</fb>
    <v>1</v>
  </rv>
  <rv s="0">
    <fb>219.8</fb>
    <v>1</v>
  </rv>
  <rv s="0">
    <fb>414.35</fb>
    <v>1</v>
  </rv>
  <rv s="0">
    <fb>254.45</fb>
    <v>1</v>
  </rv>
  <rv s="0">
    <fb>15.645</fb>
    <v>1</v>
  </rv>
  <rv s="0">
    <fb>580.20000000000005</fb>
    <v>1</v>
  </rv>
  <rv s="0">
    <fb>110.1</fb>
    <v>1</v>
  </rv>
  <rv s="0">
    <fb>109.75</fb>
    <v>1</v>
  </rv>
  <rv s="0">
    <fb>57.09</fb>
    <v>1</v>
  </rv>
  <rv s="0">
    <fb>45954</fb>
    <v>0</v>
  </rv>
  <rv s="0">
    <fb>160.12</fb>
    <v>1</v>
  </rv>
  <rv s="0">
    <fb>193.54</fb>
    <v>1</v>
  </rv>
  <rv s="0">
    <fb>451.6</fb>
    <v>1</v>
  </rv>
  <rv s="0">
    <fb>131.34</fb>
    <v>1</v>
  </rv>
  <rv s="0">
    <fb>421.35</fb>
    <v>1</v>
  </rv>
  <rv s="0">
    <fb>307.3</fb>
    <v>1</v>
  </rv>
  <rv s="0">
    <fb>257.95</fb>
    <v>1</v>
  </rv>
  <rv s="0">
    <fb>15.43</fb>
    <v>1</v>
  </rv>
  <rv s="0">
    <fb>575.1</fb>
    <v>1</v>
  </rv>
  <rv s="0">
    <fb>110.83</fb>
    <v>1</v>
  </rv>
  <rv s="0">
    <fb>110.58499999999999</fb>
    <v>1</v>
  </rv>
  <rv s="0">
    <fb>45957</fb>
    <v>0</v>
  </rv>
  <rv s="0">
    <fb>164.48</fb>
    <v>1</v>
  </rv>
  <rv s="0">
    <fb>219.7</fb>
    <v>1</v>
  </rv>
  <rv s="0">
    <fb>171.65</fb>
    <v>1</v>
  </rv>
  <rv s="0">
    <fb>457.9</fb>
    <v>1</v>
  </rv>
  <rv s="0">
    <fb>421.85</fb>
    <v>1</v>
  </rv>
  <rv s="0">
    <fb>308.85000000000002</fb>
    <v>1</v>
  </rv>
  <rv s="0">
    <fb>15.335000000000001</fb>
    <v>1</v>
  </rv>
  <rv s="0">
    <fb>564.5</fb>
    <v>1</v>
  </rv>
  <rv s="0">
    <fb>111.765</fb>
    <v>1</v>
  </rv>
  <rv s="0">
    <fb>111.36</fb>
    <v>1</v>
  </rv>
  <rv s="0">
    <fb>57.44</fb>
    <v>1</v>
  </rv>
  <rv s="0">
    <fb>45958</fb>
    <v>0</v>
  </rv>
  <rv s="0">
    <fb>175.58</fb>
    <v>1</v>
  </rv>
  <rv s="0">
    <fb>255.5</fb>
    <v>1</v>
  </rv>
  <rv s="0">
    <fb>295.60000000000002</fb>
    <v>1</v>
  </rv>
  <rv s="0">
    <fb>221.1</fb>
    <v>1</v>
  </rv>
  <rv s="0">
    <fb>465.1</fb>
    <v>1</v>
  </rv>
  <rv s="0">
    <fb>130.04</fb>
    <v>1</v>
  </rv>
  <rv s="0">
    <fb>426.45</fb>
    <v>1</v>
  </rv>
  <rv s="0">
    <fb>315.60000000000002</fb>
    <v>1</v>
  </rv>
  <rv s="0">
    <fb>262.25</fb>
    <v>1</v>
  </rv>
  <rv s="0">
    <fb>14.99</fb>
    <v>1</v>
  </rv>
  <rv s="0">
    <fb>571.6</fb>
    <v>1</v>
  </rv>
  <rv s="0">
    <fb>112.18</fb>
    <v>1</v>
  </rv>
  <rv s="0">
    <fb>111.57</fb>
    <v>1</v>
  </rv>
  <rv s="0">
    <fb>57.43</fb>
    <v>1</v>
  </rv>
  <rv s="0">
    <fb>45959</fb>
    <v>0</v>
  </rv>
  <rv s="0">
    <fb>179.3</fb>
    <v>1</v>
  </rv>
  <rv s="0">
    <fb>217.65</fb>
    <v>1</v>
  </rv>
  <rv s="0">
    <fb>197.5</fb>
    <v>1</v>
  </rv>
  <rv s="0">
    <fb>172</fb>
    <v>1</v>
  </rv>
  <rv s="0">
    <fb>128.38</fb>
    <v>1</v>
  </rv>
  <rv s="0">
    <fb>326.2</fb>
    <v>1</v>
  </rv>
  <rv s="0">
    <fb>14.72</fb>
    <v>1</v>
  </rv>
  <rv s="0">
    <fb>112.405</fb>
    <v>1</v>
  </rv>
  <rv s="0">
    <fb>111.75</fb>
    <v>1</v>
  </rv>
  <rv s="0">
    <fb>57.53</fb>
    <v>1</v>
  </rv>
  <rv s="0">
    <fb>45960</fb>
    <v>0</v>
  </rv>
  <rv s="0">
    <fb>175.76</fb>
    <v>1</v>
  </rv>
  <rv s="0">
    <fb>263</fb>
    <v>1</v>
  </rv>
  <rv s="0">
    <fb>298.5</fb>
    <v>1</v>
  </rv>
  <rv s="0">
    <fb>223.9</fb>
    <v>1</v>
  </rv>
  <rv s="0">
    <fb>164.9</fb>
    <v>1</v>
  </rv>
  <rv s="0">
    <fb>455.85</fb>
    <v>1</v>
  </rv>
  <rv s="0">
    <fb>129.54</fb>
    <v>1</v>
  </rv>
  <rv s="0">
    <fb>423.35</fb>
    <v>1</v>
  </rv>
  <rv s="0">
    <fb>109</fb>
    <v>1</v>
  </rv>
  <rv s="0">
    <fb>324.75</fb>
    <v>1</v>
  </rv>
  <rv s="0">
    <fb>267.60000000000002</fb>
    <v>1</v>
  </rv>
  <rv s="0">
    <fb>578.1</fb>
    <v>1</v>
  </rv>
  <rv s="0">
    <fb>112.185</fb>
    <v>1</v>
  </rv>
  <rv s="0">
    <fb>111.91500000000001</fb>
    <v>1</v>
  </rv>
  <rv s="0">
    <fb>57.46</fb>
    <v>1</v>
  </rv>
  <rv s="0">
    <fb>45961</fb>
    <v>0</v>
  </rv>
  <rv s="0">
    <fb>175.56</fb>
    <v>1</v>
  </rv>
  <rv s="0">
    <fb>296.45</fb>
    <v>1</v>
  </rv>
  <rv s="0">
    <fb>225.75</fb>
    <v>1</v>
  </rv>
  <rv s="0">
    <fb>212.2</fb>
    <v>1</v>
  </rv>
  <rv s="0">
    <fb>448.85</fb>
    <v>1</v>
  </rv>
  <rv s="0">
    <fb>426</fb>
    <v>1</v>
  </rv>
  <rv s="0">
    <fb>112</fb>
    <v>1</v>
  </rv>
  <rv s="0">
    <fb>319.64999999999998</fb>
    <v>1</v>
  </rv>
  <rv s="0">
    <fb>268.85000000000002</fb>
    <v>1</v>
  </rv>
  <rv s="0">
    <fb>14.54</fb>
    <v>1</v>
  </rv>
  <rv s="0">
    <fb>576.79999999999995</fb>
    <v>1</v>
  </rv>
  <rv s="0">
    <fb>112.53</fb>
    <v>1</v>
  </rv>
  <rv s="0">
    <fb>111.785</fb>
    <v>1</v>
  </rv>
  <rv s="0">
    <fb>57.01</fb>
    <v>1</v>
  </rv>
  <rv s="0">
    <fb>45964</fb>
    <v>0</v>
  </rv>
  <rv s="0">
    <fb>179.58</fb>
    <v>1</v>
  </rv>
  <rv s="0">
    <fb>292.60000000000002</fb>
    <v>1</v>
  </rv>
  <rv s="0">
    <fb>225.5</fb>
    <v>1</v>
  </rv>
  <rv s="0">
    <fb>167.3</fb>
    <v>1</v>
  </rv>
  <rv s="0">
    <fb>447.5</fb>
    <v>1</v>
  </rv>
  <rv s="0">
    <fb>128.63999999999999</fb>
    <v>1</v>
  </rv>
  <rv s="0">
    <fb>429.75</fb>
    <v>1</v>
  </rv>
  <rv s="0">
    <fb>269.3</fb>
    <v>1</v>
  </rv>
  <rv s="0">
    <fb>112.875</fb>
    <v>1</v>
  </rv>
  <rv s="0">
    <fb>111.95</fb>
    <v>1</v>
  </rv>
  <rv s="0">
    <fb>57.29</fb>
    <v>1</v>
  </rv>
  <rv s="0">
    <fb>45965</fb>
    <v>0</v>
  </rv>
  <rv s="0">
    <fb>172.92</fb>
    <v>1</v>
  </rv>
  <rv s="0">
    <fb>295.45</fb>
    <v>1</v>
  </rv>
  <rv s="0">
    <fb>217.3</fb>
    <v>1</v>
  </rv>
  <rv s="0">
    <fb>448.2</fb>
    <v>1</v>
  </rv>
  <rv s="0">
    <fb>128.28</fb>
    <v>1</v>
  </rv>
  <rv s="0">
    <fb>435</fb>
    <v>1</v>
  </rv>
  <rv s="0">
    <fb>314.10000000000002</fb>
    <v>1</v>
  </rv>
  <rv s="0">
    <fb>269.35000000000002</fb>
    <v>1</v>
  </rv>
  <rv s="0">
    <fb>547.1</fb>
    <v>1</v>
  </rv>
  <rv s="0">
    <fb>111.55</fb>
    <v>1</v>
  </rv>
  <rv s="0">
    <fb>56.86</fb>
    <v>1</v>
  </rv>
  <rv s="0">
    <fb>45966</fb>
    <v>0</v>
  </rv>
  <rv s="0">
    <fb>169.8</fb>
    <v>1</v>
  </rv>
  <rv s="0">
    <fb>296.14999999999998</fb>
    <v>1</v>
  </rv>
  <rv s="0">
    <fb>221.65</fb>
    <v>1</v>
  </rv>
  <rv s="0">
    <fb>217.45</fb>
    <v>1</v>
  </rv>
  <rv s="0">
    <fb>161.25</fb>
    <v>1</v>
  </rv>
  <rv s="0">
    <fb>126.94</fb>
    <v>1</v>
  </rv>
  <rv s="0">
    <fb>432.5</fb>
    <v>1</v>
  </rv>
  <rv s="0">
    <fb>101</fb>
    <v>1</v>
  </rv>
  <rv s="0">
    <fb>316.64999999999998</fb>
    <v>1</v>
  </rv>
  <rv s="0">
    <fb>14.24</fb>
    <v>1</v>
  </rv>
  <rv s="0">
    <fb>559.1</fb>
    <v>1</v>
  </rv>
  <rv s="0">
    <fb>112.605</fb>
    <v>1</v>
  </rv>
  <rv s="0">
    <fb>111.74</fb>
    <v>1</v>
  </rv>
  <rv s="0">
    <fb>57.26</fb>
    <v>1</v>
  </rv>
  <rv s="0">
    <fb>45967</fb>
    <v>0</v>
  </rv>
  <rv s="0">
    <fb>207.25</fb>
    <v>1</v>
  </rv>
  <rv s="0">
    <fb>210.9</fb>
    <v>1</v>
  </rv>
  <rv s="0">
    <fb>126.22</fb>
    <v>1</v>
  </rv>
  <rv s="0">
    <fb>424.7</fb>
    <v>1</v>
  </rv>
  <rv s="0">
    <fb>97.5</fb>
    <v>1</v>
  </rv>
  <rv s="0">
    <fb>272.45</fb>
    <v>1</v>
  </rv>
  <rv s="0">
    <fb>13.94</fb>
    <v>1</v>
  </rv>
  <rv s="0">
    <fb>110.51</fb>
    <v>1</v>
  </rv>
  <rv s="0">
    <fb>110.22</fb>
    <v>1</v>
  </rv>
  <rv s="0">
    <fb>56.66</fb>
    <v>1</v>
  </rv>
  <rv s="0">
    <fb>45968</fb>
    <v>0</v>
  </rv>
  <rv s="0">
    <fb>162.02000000000001</fb>
    <v>1</v>
  </rv>
  <rv s="0">
    <fb>245.5</fb>
    <v>1</v>
  </rv>
  <rv s="0">
    <fb>290.2</fb>
    <v>1</v>
  </rv>
  <rv s="0">
    <fb>203.9</fb>
    <v>1</v>
  </rv>
  <rv s="0">
    <fb>211.3</fb>
    <v>1</v>
  </rv>
  <rv s="0">
    <fb>163.5</fb>
    <v>1</v>
  </rv>
  <rv s="0">
    <fb>429.4</fb>
    <v>1</v>
  </rv>
  <rv s="0">
    <fb>126.56</fb>
    <v>1</v>
  </rv>
  <rv s="0">
    <fb>425.1</fb>
    <v>1</v>
  </rv>
  <rv s="0">
    <fb>293.45</fb>
    <v>1</v>
  </rv>
  <rv s="0">
    <fb>267</fb>
    <v>1</v>
  </rv>
  <rv s="0">
    <fb>14.09</fb>
    <v>1</v>
  </rv>
  <rv s="0">
    <fb>531.6</fb>
    <v>1</v>
  </rv>
  <rv s="0">
    <fb>110.14</fb>
    <v>1</v>
  </rv>
  <rv s="0">
    <fb>108.765</fb>
    <v>1</v>
  </rv>
  <rv s="0">
    <fb>56.36</fb>
    <v>1</v>
  </rv>
  <rv s="0">
    <fb>45971</fb>
    <v>0</v>
  </rv>
  <rv s="0">
    <fb>172.22</fb>
    <v>1</v>
  </rv>
  <rv s="0">
    <fb>256</fb>
    <v>1</v>
  </rv>
  <rv s="0">
    <fb>290.60000000000002</fb>
    <v>1</v>
  </rv>
  <rv s="0">
    <fb>214.9</fb>
    <v>1</v>
  </rv>
  <rv s="0">
    <fb>168</fb>
    <v>1</v>
  </rv>
  <rv s="0">
    <fb>437.85</fb>
    <v>1</v>
  </rv>
  <rv s="0">
    <fb>308</fb>
    <v>1</v>
  </rv>
  <rv s="0">
    <fb>273.95</fb>
    <v>1</v>
  </rv>
  <rv s="0">
    <fb>14.484999999999999</fb>
    <v>1</v>
  </rv>
  <rv s="0">
    <fb>535.79999999999995</fb>
    <v>1</v>
  </rv>
  <rv s="0">
    <fb>111.83</fb>
    <v>1</v>
  </rv>
  <rv s="0">
    <fb>110.935</fb>
    <v>1</v>
  </rv>
  <rv s="0">
    <fb>45972</fb>
    <v>0</v>
  </rv>
  <rv s="0">
    <fb>167.54</fb>
    <v>1</v>
  </rv>
  <rv s="0">
    <fb>289.14999999999998</fb>
    <v>1</v>
  </rv>
  <rv s="0">
    <fb>209.85</fb>
    <v>1</v>
  </rv>
  <rv s="0">
    <fb>438.75</fb>
    <v>1</v>
  </rv>
  <rv s="0">
    <fb>127.76</fb>
    <v>1</v>
  </rv>
  <rv s="0">
    <fb>430.25</fb>
    <v>1</v>
  </rv>
  <rv s="0">
    <fb>305.5</fb>
    <v>1</v>
  </rv>
  <rv s="0">
    <fb>14.305</fb>
    <v>1</v>
  </rv>
  <rv s="0">
    <fb>539.9</fb>
    <v>1</v>
  </rv>
  <rv s="0">
    <fb>112.01</fb>
    <v>1</v>
  </rv>
  <rv s="0">
    <fb>111.34</fb>
    <v>1</v>
  </rv>
  <rv s="0">
    <fb>57.87</fb>
    <v>1</v>
  </rv>
  <rv s="0">
    <fb>45973</fb>
    <v>0</v>
  </rv>
  <rv s="0">
    <fb>166.74</fb>
    <v>1</v>
  </rv>
  <rv s="0">
    <fb>211.25</fb>
    <v>1</v>
  </rv>
  <rv s="0">
    <fb>154.5</fb>
    <v>1</v>
  </rv>
  <rv s="0">
    <fb>441.05</fb>
    <v>1</v>
  </rv>
  <rv s="0">
    <fb>127.44</fb>
    <v>1</v>
  </rv>
  <rv s="0">
    <fb>428.2</fb>
    <v>1</v>
  </rv>
  <rv s="0">
    <fb>82</fb>
    <v>1</v>
  </rv>
  <rv s="0">
    <fb>306.64999999999998</fb>
    <v>1</v>
  </rv>
  <rv s="0">
    <fb>277.10000000000002</fb>
    <v>1</v>
  </rv>
  <rv s="0">
    <fb>14.06</fb>
    <v>1</v>
  </rv>
  <rv s="0">
    <fb>550.70000000000005</fb>
    <v>1</v>
  </rv>
  <rv s="0">
    <fb>112.11499999999999</fb>
    <v>1</v>
  </rv>
  <rv s="0">
    <fb>111.96</fb>
    <v>1</v>
  </rv>
  <rv s="0">
    <fb>58.42</fb>
    <v>1</v>
  </rv>
  <rv s="0">
    <fb>45974</fb>
    <v>0</v>
  </rv>
  <rv s="0">
    <fb>160.28</fb>
    <v>1</v>
  </rv>
  <rv s="0">
    <fb>288.85000000000002</fb>
    <v>1</v>
  </rv>
  <rv s="0">
    <fb>208.1</fb>
    <v>1</v>
  </rv>
  <rv s="0">
    <fb>433.15</fb>
    <v>1</v>
  </rv>
  <rv s="0">
    <fb>127.24</fb>
    <v>1</v>
  </rv>
  <rv s="0">
    <fb>432.35</fb>
    <v>1</v>
  </rv>
  <rv s="0">
    <fb>268.95</fb>
    <v>1</v>
  </rv>
  <rv s="0">
    <fb>13.65</fb>
    <v>1</v>
  </rv>
  <rv s="0">
    <fb>560.29999999999995</fb>
    <v>1</v>
  </rv>
  <rv s="0">
    <fb>109.72</fb>
    <v>1</v>
  </rv>
  <rv s="0">
    <fb>110.515</fb>
    <v>1</v>
  </rv>
  <rv s="0">
    <fb>57.62</fb>
    <v>1</v>
  </rv>
  <rv s="0">
    <fb>45975</fb>
    <v>0</v>
  </rv>
  <rv s="0">
    <fb>163.26</fb>
    <v>1</v>
  </rv>
  <rv s="0">
    <fb>244.5</fb>
    <v>1</v>
  </rv>
  <rv s="0">
    <fb>284.05</fb>
    <v>1</v>
  </rv>
  <rv s="0">
    <fb>210.1</fb>
    <v>1</v>
  </rv>
  <rv s="0">
    <fb>203.2</fb>
    <v>1</v>
  </rv>
  <rv s="0">
    <fb>439.75</fb>
    <v>1</v>
  </rv>
  <rv s="0">
    <fb>127.6</fb>
    <v>1</v>
  </rv>
  <rv s="0">
    <fb>72</fb>
    <v>1</v>
  </rv>
  <rv s="0">
    <fb>295</fb>
    <v>1</v>
  </rv>
  <rv s="0">
    <fb>13.44</fb>
    <v>1</v>
  </rv>
  <rv s="0">
    <fb>553.4</fb>
    <v>1</v>
  </rv>
  <rv s="0">
    <fb>110.2</fb>
    <v>1</v>
  </rv>
  <rv s="0">
    <fb>57.32</fb>
    <v>1</v>
  </rv>
  <rv s="0">
    <fb>45978</fb>
    <v>0</v>
  </rv>
  <rv s="0">
    <fb>161</fb>
    <v>1</v>
  </rv>
  <rv s="0">
    <fb>241.5</fb>
    <v>1</v>
  </rv>
  <rv s="0">
    <fb>281.55</fb>
    <v>1</v>
  </rv>
  <rv s="0">
    <fb>199.96</fb>
    <v>1</v>
  </rv>
  <rv s="0">
    <fb>150.05000000000001</fb>
    <v>1</v>
  </rv>
  <rv s="0">
    <fb>125.88</fb>
    <v>1</v>
  </rv>
  <rv s="0">
    <fb>73.5</fb>
    <v>1</v>
  </rv>
  <rv s="0">
    <fb>298.55</fb>
    <v>1</v>
  </rv>
  <rv s="0">
    <fb>261.25</fb>
    <v>1</v>
  </rv>
  <rv s="0">
    <fb>13.15</fb>
    <v>1</v>
  </rv>
  <rv s="0">
    <fb>550.29999999999995</fb>
    <v>1</v>
  </rv>
  <rv s="0">
    <fb>56.48</fb>
    <v>1</v>
  </rv>
  <rv s="0">
    <fb>45979</fb>
    <v>0</v>
  </rv>
  <rv s="0">
    <fb>157.02000000000001</fb>
    <v>1</v>
  </rv>
  <rv s="0">
    <fb>275.95</fb>
    <v>1</v>
  </rv>
  <rv s="0">
    <fb>199</fb>
    <v>1</v>
  </rv>
  <rv s="0">
    <fb>194.76</fb>
    <v>1</v>
  </rv>
  <rv s="0">
    <fb>148.44999999999999</fb>
    <v>1</v>
  </rv>
  <rv s="0">
    <fb>426.9</fb>
    <v>1</v>
  </rv>
  <rv s="0">
    <fb>78</fb>
    <v>1</v>
  </rv>
  <rv s="0">
    <fb>297.39999999999998</fb>
    <v>1</v>
  </rv>
  <rv s="0">
    <fb>259.55</fb>
    <v>1</v>
  </rv>
  <rv s="0">
    <fb>12.96</fb>
    <v>1</v>
  </rv>
  <rv s="0">
    <fb>545.79999999999995</fb>
    <v>1</v>
  </rv>
  <rv s="0">
    <fb>108.625</fb>
    <v>1</v>
  </rv>
  <rv s="0">
    <fb>108.285</fb>
    <v>1</v>
  </rv>
  <rv s="0">
    <fb>55.98</fb>
    <v>1</v>
  </rv>
  <rv s="0">
    <fb>45980</fb>
    <v>0</v>
  </rv>
  <rv s="0">
    <fb>161.9</fb>
    <v>1</v>
  </rv>
  <rv s="0">
    <fb>277.7</fb>
    <v>1</v>
  </rv>
  <rv s="0">
    <fb>196.98</fb>
    <v>1</v>
  </rv>
  <rv s="0">
    <fb>193.4</fb>
    <v>1</v>
  </rv>
  <rv s="0">
    <fb>156.5</fb>
    <v>1</v>
  </rv>
  <rv s="0">
    <fb>422.4</fb>
    <v>1</v>
  </rv>
  <rv s="0">
    <fb>127.56</fb>
    <v>1</v>
  </rv>
  <rv s="0">
    <fb>423.8</fb>
    <v>1</v>
  </rv>
  <rv s="0">
    <fb>79</fb>
    <v>1</v>
  </rv>
  <rv s="0">
    <fb>12.95</fb>
    <v>1</v>
  </rv>
  <rv s="0">
    <fb>544</fb>
    <v>1</v>
  </rv>
  <rv s="0">
    <fb>109.48</fb>
    <v>1</v>
  </rv>
  <rv s="0">
    <fb>108.58</fb>
    <v>1</v>
  </rv>
  <rv s="0">
    <fb>56.07</fb>
    <v>1</v>
  </rv>
  <rv s="0">
    <fb>45981</fb>
    <v>0</v>
  </rv>
  <rv s="0">
    <fb>156.74</fb>
    <v>1</v>
  </rv>
  <rv s="0">
    <fb>240.5</fb>
    <v>1</v>
  </rv>
  <rv s="0">
    <fb>281.10000000000002</fb>
    <v>1</v>
  </rv>
  <rv s="0">
    <fb>188.4</fb>
    <v>1</v>
  </rv>
  <rv s="0">
    <fb>415.1</fb>
    <v>1</v>
  </rv>
  <rv s="0">
    <fb>128.69999999999999</fb>
    <v>1</v>
  </rv>
  <rv s="0">
    <fb>427.4</fb>
    <v>1</v>
  </rv>
  <rv s="0">
    <fb>75</fb>
    <v>1</v>
  </rv>
  <rv s="0">
    <fb>315.7</fb>
    <v>1</v>
  </rv>
  <rv s="0">
    <fb>13.205</fb>
    <v>1</v>
  </rv>
  <rv s="0">
    <fb>520.70000000000005</fb>
    <v>1</v>
  </rv>
  <rv s="0">
    <fb>108.44499999999999</fb>
    <v>1</v>
  </rv>
  <rv s="0">
    <fb>109.235</fb>
    <v>1</v>
  </rv>
  <rv s="0">
    <fb>55.7</fb>
    <v>1</v>
  </rv>
  <rv s="0">
    <fb>45982</fb>
    <v>0</v>
  </rv>
  <rv s="0">
    <fb>238.5</fb>
    <v>1</v>
  </rv>
  <rv s="0">
    <fb>286.64999999999998</fb>
    <v>1</v>
  </rv>
  <rv s="0">
    <fb>191.54</fb>
    <v>1</v>
  </rv>
  <rv s="0">
    <fb>144.94999999999999</fb>
    <v>1</v>
  </rv>
  <rv s="0">
    <fb>409.3</fb>
    <v>1</v>
  </rv>
  <rv s="0">
    <fb>128.9</fb>
    <v>1</v>
  </rv>
  <rv s="0">
    <fb>430.8</fb>
    <v>1</v>
  </rv>
  <rv s="0">
    <fb>294.95</fb>
    <v>1</v>
  </rv>
  <rv s="0">
    <fb>255.1</fb>
    <v>1</v>
  </rv>
  <rv s="0">
    <fb>13.42</fb>
    <v>1</v>
  </rv>
  <rv s="0">
    <fb>512.20000000000005</fb>
    <v>1</v>
  </rv>
  <rv s="0">
    <fb>108.87</fb>
    <v>1</v>
  </rv>
  <rv s="0">
    <fb>108.105</fb>
    <v>1</v>
  </rv>
  <rv s="0">
    <fb>55.73</fb>
    <v>1</v>
  </rv>
  <rv s="0">
    <fb>45985</fb>
    <v>0</v>
  </rv>
  <rv s="0">
    <fb>158.22</fb>
    <v>1</v>
  </rv>
  <rv s="0">
    <fb>285.14999999999998</fb>
    <v>1</v>
  </rv>
  <rv s="0">
    <fb>196.36</fb>
    <v>1</v>
  </rv>
  <rv s="0">
    <fb>148.94999999999999</fb>
    <v>1</v>
  </rv>
  <rv s="0">
    <fb>413.25</fb>
    <v>1</v>
  </rv>
  <rv s="0">
    <fb>127.34</fb>
    <v>1</v>
  </rv>
  <rv s="0">
    <fb>426.85</fb>
    <v>1</v>
  </rv>
  <rv s="0">
    <fb>323.5</fb>
    <v>1</v>
  </rv>
  <rv s="0">
    <fb>13.39</fb>
    <v>1</v>
  </rv>
  <rv s="0">
    <fb>499.4</fb>
    <v>1</v>
  </rv>
  <rv s="0">
    <fb>110.22499999999999</fb>
    <v>1</v>
  </rv>
  <rv s="0">
    <fb>109.535</fb>
    <v>1</v>
  </rv>
  <rv s="0">
    <fb>55.88</fb>
    <v>1</v>
  </rv>
  <rv s="0">
    <fb>45986</fb>
    <v>0</v>
  </rv>
  <rv s="0">
    <fb>153.47999999999999</fb>
    <v>1</v>
  </rv>
  <rv s="0">
    <fb>200.65</fb>
    <v>1</v>
  </rv>
  <rv s="0">
    <fb>428.45</fb>
    <v>1</v>
  </rv>
  <rv s="0">
    <fb>324.60000000000002</fb>
    <v>1</v>
  </rv>
  <rv s="0">
    <fb>261.5</fb>
    <v>1</v>
  </rv>
  <rv s="0">
    <fb>13.16</fb>
    <v>1</v>
  </rv>
  <rv s="0">
    <fb>512.9</fb>
    <v>1</v>
  </rv>
  <rv s="0">
    <fb>110.63</fb>
    <v>1</v>
  </rv>
  <rv s="0">
    <fb>109.825</fb>
    <v>1</v>
  </rv>
  <rv s="0">
    <fb>45987</fb>
    <v>0</v>
  </rv>
  <rv s="0">
    <fb>289.05</fb>
    <v>1</v>
  </rv>
  <rv s="0">
    <fb>196.08</fb>
    <v>1</v>
  </rv>
  <rv s="0">
    <fb>197.82</fb>
    <v>1</v>
  </rv>
  <rv s="0">
    <fb>151.94999999999999</fb>
    <v>1</v>
  </rv>
  <rv s="0">
    <fb>419.3</fb>
    <v>1</v>
  </rv>
  <rv s="0">
    <fb>127.74</fb>
    <v>1</v>
  </rv>
  <rv s="0">
    <fb>427.75</fb>
    <v>1</v>
  </rv>
  <rv s="0">
    <fb>340.3</fb>
    <v>1</v>
  </rv>
  <rv s="0">
    <fb>13.335000000000001</fb>
    <v>1</v>
  </rv>
  <rv s="0">
    <fb>511.9</fb>
    <v>1</v>
  </rv>
  <rv s="0">
    <fb>111.56</fb>
    <v>1</v>
  </rv>
  <rv s="0">
    <fb>111.07</fb>
    <v>1</v>
  </rv>
  <rv s="0">
    <fb>57.11</fb>
    <v>1</v>
  </rv>
  <rv s="0">
    <fb>45988</fb>
    <v>0</v>
  </rv>
  <rv s="0">
    <fb>154.69999999999999</fb>
    <v>1</v>
  </rv>
  <rv s="0">
    <fb>196.62</fb>
    <v>1</v>
  </rv>
  <rv s="0">
    <fb>198.82</fb>
    <v>1</v>
  </rv>
  <rv s="0">
    <fb>152.5</fb>
    <v>1</v>
  </rv>
  <rv s="0">
    <fb>421.5</fb>
    <v>1</v>
  </rv>
  <rv s="0">
    <fb>128.76</fb>
    <v>1</v>
  </rv>
  <rv s="0">
    <fb>429.8</fb>
    <v>1</v>
  </rv>
  <rv s="0">
    <fb>266.55</fb>
    <v>1</v>
  </rv>
  <rv s="0">
    <fb>13.24</fb>
    <v>1</v>
  </rv>
  <rv s="0">
    <fb>515.9</fb>
    <v>1</v>
  </rv>
  <rv s="0">
    <fb>111.49</fb>
    <v>1</v>
  </rv>
  <rv s="0">
    <fb>110.995</fb>
    <v>1</v>
  </rv>
  <rv s="0">
    <fb>57.04</fb>
    <v>1</v>
  </rv>
  <rv s="0">
    <fb>45989</fb>
    <v>0</v>
  </rv>
  <rv s="0">
    <fb>152.4</fb>
    <v>1</v>
  </rv>
  <rv s="0">
    <fb>288</fb>
    <v>1</v>
  </rv>
  <rv s="0">
    <fb>198.98</fb>
    <v>1</v>
  </rv>
  <rv s="0">
    <fb>155.35</fb>
    <v>1</v>
  </rv>
  <rv s="0">
    <fb>424.3</fb>
    <v>1</v>
  </rv>
  <rv s="0">
    <fb>127.8</fb>
    <v>1</v>
  </rv>
  <rv s="0">
    <fb>430.85</fb>
    <v>1</v>
  </rv>
  <rv s="0">
    <fb>345.3</fb>
    <v>1</v>
  </rv>
  <rv s="0">
    <fb>270</fb>
    <v>1</v>
  </rv>
  <rv s="0">
    <fb>13.33</fb>
    <v>1</v>
  </rv>
  <rv s="0">
    <fb>517.29999999999995</fb>
    <v>1</v>
  </rv>
  <rv s="0">
    <fb>111.905</fb>
    <v>1</v>
  </rv>
  <rv s="0">
    <fb>111.4</fb>
    <v>1</v>
  </rv>
  <rv s="0">
    <fb>45992</fb>
    <v>0</v>
  </rv>
  <rv s="0">
    <fb>248.5</fb>
    <v>1</v>
  </rv>
  <rv s="0">
    <fb>286</fb>
    <v>1</v>
  </rv>
  <rv s="0">
    <fb>420.05</fb>
    <v>1</v>
  </rv>
  <rv s="0">
    <fb>127.66</fb>
    <v>1</v>
  </rv>
  <rv s="0">
    <fb>429.25</fb>
    <v>1</v>
  </rv>
  <rv s="0">
    <fb>88.5</fb>
    <v>1</v>
  </rv>
  <rv s="0">
    <fb>337.05</fb>
    <v>1</v>
  </rv>
  <rv s="0">
    <fb>268</fb>
    <v>1</v>
  </rv>
  <rv s="0">
    <fb>13.19</fb>
    <v>1</v>
  </rv>
  <rv s="0">
    <fb>502.4</fb>
    <v>1</v>
  </rv>
  <rv s="0">
    <fb>111.71</fb>
    <v>1</v>
  </rv>
  <rv s="0">
    <fb>110.97</fb>
    <v>1</v>
  </rv>
  <rv s="0">
    <fb>57.41</fb>
    <v>1</v>
  </rv>
  <rv s="0">
    <fb>45993</fb>
    <v>0</v>
  </rv>
  <rv s="0">
    <fb>156.08000000000001</fb>
    <v>1</v>
  </rv>
  <rv s="0">
    <fb>283.5</fb>
    <v>1</v>
  </rv>
  <rv s="0">
    <fb>203.1</fb>
    <v>1</v>
  </rv>
  <rv s="0">
    <fb>421.55</fb>
    <v>1</v>
  </rv>
  <rv s="0">
    <fb>125.08</fb>
    <v>1</v>
  </rv>
  <rv s="0">
    <fb>85</fb>
    <v>1</v>
  </rv>
  <rv s="0">
    <fb>328.9</fb>
    <v>1</v>
  </rv>
  <rv s="0">
    <fb>266.3</fb>
    <v>1</v>
  </rv>
  <rv s="0">
    <fb>13.21</fb>
    <v>1</v>
  </rv>
  <rv s="0">
    <fb>496.55</fb>
    <v>1</v>
  </rv>
  <rv s="0">
    <fb>111.62</fb>
    <v>1</v>
  </rv>
  <rv s="0">
    <fb>110.99</fb>
    <v>1</v>
  </rv>
  <rv s="0">
    <fb>57.52</fb>
    <v>1</v>
  </rv>
  <rv s="0">
    <fb>45994</fb>
    <v>0</v>
  </rv>
  <rv s="0">
    <fb>253.5</fb>
    <v>1</v>
  </rv>
  <rv s="0">
    <fb>284.39999999999998</fb>
    <v>1</v>
  </rv>
  <rv s="0">
    <fb>199.44</fb>
    <v>1</v>
  </rv>
  <rv s="0">
    <fb>148</fb>
    <v>1</v>
  </rv>
  <rv s="0">
    <fb>126.28</fb>
    <v>1</v>
  </rv>
  <rv s="0">
    <fb>428.95</fb>
    <v>1</v>
  </rv>
  <rv s="0">
    <fb>322.14999999999998</fb>
    <v>1</v>
  </rv>
  <rv s="0">
    <fb>265.8</fb>
    <v>1</v>
  </rv>
  <rv s="0">
    <fb>483.8</fb>
    <v>1</v>
  </rv>
  <rv s="0">
    <fb>111.32</fb>
    <v>1</v>
  </rv>
  <rv s="0">
    <fb>111.035</fb>
    <v>1</v>
  </rv>
  <rv s="0">
    <fb>57.59</fb>
    <v>1</v>
  </rv>
  <rv s="0">
    <fb>45995</fb>
    <v>0</v>
  </rv>
  <rv s="0">
    <fb>157.36000000000001</fb>
    <v>1</v>
  </rv>
  <rv s="0">
    <fb>279.2</fb>
    <v>1</v>
  </rv>
  <rv s="0">
    <fb>212.45</fb>
    <v>1</v>
  </rv>
  <rv s="0">
    <fb>411.85</fb>
    <v>1</v>
  </rv>
  <rv s="0">
    <fb>86</fb>
    <v>1</v>
  </rv>
  <rv s="0">
    <fb>327.95</fb>
    <v>1</v>
  </rv>
  <rv s="0">
    <fb>271.55</fb>
    <v>1</v>
  </rv>
  <rv s="0">
    <fb>13.885</fb>
    <v>1</v>
  </rv>
  <rv s="0">
    <fb>475.1</fb>
    <v>1</v>
  </rv>
  <rv s="0">
    <fb>111.52500000000001</fb>
    <v>1</v>
  </rv>
  <rv s="0">
    <fb>111.28</fb>
    <v>1</v>
  </rv>
  <rv s="0">
    <fb>57.78</fb>
    <v>1</v>
  </rv>
  <rv s="0">
    <fb>45996</fb>
    <v>0</v>
  </rv>
  <rv s="0">
    <fb>156.32</fb>
    <v>1</v>
  </rv>
  <rv s="0">
    <fb>256.5</fb>
    <v>1</v>
  </rv>
  <rv s="0">
    <fb>224.2</fb>
    <v>1</v>
  </rv>
  <rv s="0">
    <fb>151</fb>
    <v>1</v>
  </rv>
  <rv s="0">
    <fb>412.9</fb>
    <v>1</v>
  </rv>
  <rv s="0">
    <fb>123.44</fb>
    <v>1</v>
  </rv>
  <rv s="0">
    <fb>423.3</fb>
    <v>1</v>
  </rv>
  <rv s="0">
    <fb>83.5</fb>
    <v>1</v>
  </rv>
  <rv s="0">
    <fb>332.2</fb>
    <v>1</v>
  </rv>
  <rv s="0">
    <fb>271.25</fb>
    <v>1</v>
  </rv>
  <rv s="0">
    <fb>13.525</fb>
    <v>1</v>
  </rv>
  <rv s="0">
    <fb>486.4</fb>
    <v>1</v>
  </rv>
  <rv s="0">
    <fb>112.13</fb>
    <v>1</v>
  </rv>
  <rv s="0">
    <fb>111.69499999999999</fb>
    <v>1</v>
  </rv>
  <rv s="0">
    <fb>57.89</fb>
    <v>1</v>
  </rv>
  <rv s="0">
    <fb>45999</fb>
    <v>0</v>
  </rv>
  <rv s="0">
    <fb>159</fb>
    <v>1</v>
  </rv>
  <rv s="0">
    <fb>280.95</fb>
    <v>1</v>
  </rv>
  <rv s="0">
    <fb>223.1</fb>
    <v>1</v>
  </rv>
  <rv s="0">
    <fb>195.02</fb>
    <v>1</v>
  </rv>
  <rv s="0">
    <fb>142.94999999999999</fb>
    <v>1</v>
  </rv>
  <rv s="0">
    <fb>421.3</fb>
    <v>1</v>
  </rv>
  <rv s="0">
    <fb>118.84</fb>
    <v>1</v>
  </rv>
  <rv s="0">
    <fb>431.6</fb>
    <v>1</v>
  </rv>
  <rv s="0">
    <fb>87</fb>
    <v>1</v>
  </rv>
  <rv s="0">
    <fb>344.95</fb>
    <v>1</v>
  </rv>
  <rv s="0">
    <fb>269.89999999999998</fb>
    <v>1</v>
  </rv>
  <rv s="0">
    <fb>13.385</fb>
    <v>1</v>
  </rv>
  <rv s="0">
    <fb>477.3</fb>
    <v>1</v>
  </rv>
  <rv s="0">
    <fb>111.515</fb>
    <v>1</v>
  </rv>
  <rv s="0">
    <fb>46000</fb>
    <v>0</v>
  </rv>
  <rv s="0">
    <fb>158.62</fb>
    <v>1</v>
  </rv>
  <rv s="0">
    <fb>280.05</fb>
    <v>1</v>
  </rv>
  <rv s="0">
    <fb>224.95</fb>
    <v>1</v>
  </rv>
  <rv s="0">
    <fb>195.8</fb>
    <v>1</v>
  </rv>
  <rv s="0">
    <fb>142.55000000000001</fb>
    <v>1</v>
  </rv>
  <rv s="0">
    <fb>422.7</fb>
    <v>1</v>
  </rv>
  <rv s="0">
    <fb>119.92</fb>
    <v>1</v>
  </rv>
  <rv s="0">
    <fb>420</fb>
    <v>1</v>
  </rv>
  <rv s="0">
    <fb>84.5</fb>
    <v>1</v>
  </rv>
  <rv s="0">
    <fb>346.5</fb>
    <v>1</v>
  </rv>
  <rv s="0">
    <fb>258.8</fb>
    <v>1</v>
  </rv>
  <rv s="0">
    <fb>13.445</fb>
    <v>1</v>
  </rv>
  <rv s="0">
    <fb>504.5</fb>
    <v>1</v>
  </rv>
  <rv s="0">
    <fb>111.85</fb>
    <v>1</v>
  </rv>
  <rv s="0">
    <fb>111.63500000000001</fb>
    <v>1</v>
  </rv>
  <rv s="0">
    <fb>57.66</fb>
    <v>1</v>
  </rv>
  <rv s="0">
    <fb>46001</fb>
    <v>0</v>
  </rv>
  <rv s="0">
    <fb>267.5</fb>
    <v>1</v>
  </rv>
  <rv s="0">
    <fb>278.5</fb>
    <v>1</v>
  </rv>
  <rv s="0">
    <fb>225.2</fb>
    <v>1</v>
  </rv>
  <rv s="0">
    <fb>198.54</fb>
    <v>1</v>
  </rv>
  <rv s="0">
    <fb>138.6</fb>
    <v>1</v>
  </rv>
  <rv s="0">
    <fb>408.75</fb>
    <v>1</v>
  </rv>
  <rv s="0">
    <fb>119.56</fb>
    <v>1</v>
  </rv>
  <rv s="0">
    <fb>418.1</fb>
    <v>1</v>
  </rv>
  <rv s="0">
    <fb>262.7</fb>
    <v>1</v>
  </rv>
  <rv s="0">
    <fb>13.695</fb>
    <v>1</v>
  </rv>
  <rv s="0">
    <fb>514.20000000000005</fb>
    <v>1</v>
  </rv>
  <rv s="0">
    <fb>111.9</fb>
    <v>1</v>
  </rv>
  <rv s="0">
    <fb>111.38500000000001</fb>
    <v>1</v>
  </rv>
  <rv s="0">
    <fb>46002</fb>
    <v>0</v>
  </rv>
  <rv s="0">
    <fb>153.84</fb>
    <v>1</v>
  </rv>
  <rv s="0">
    <fb>259</fb>
    <v>1</v>
  </rv>
  <rv s="0">
    <fb>290.95</fb>
    <v>1</v>
  </rv>
  <rv s="0">
    <fb>119.78</fb>
    <v>1</v>
  </rv>
  <rv s="0">
    <fb>418.4</fb>
    <v>1</v>
  </rv>
  <rv s="0">
    <fb>337.8</fb>
    <v>1</v>
  </rv>
  <rv s="0">
    <fb>266.89999999999998</fb>
    <v>1</v>
  </rv>
  <rv s="0">
    <fb>13.975</fb>
    <v>1</v>
  </rv>
  <rv s="0">
    <fb>512</fb>
    <v>1</v>
  </rv>
  <rv s="0">
    <fb>111.53</fb>
    <v>1</v>
  </rv>
  <rv s="0">
    <fb>110.97499999999999</fb>
    <v>1</v>
  </rv>
  <rv s="0">
    <fb>58.31</fb>
    <v>1</v>
  </rv>
  <rv s="0">
    <fb>46003</fb>
    <v>0</v>
  </rv>
  <rv s="0">
    <fb>149</fb>
    <v>1</v>
  </rv>
  <rv s="0">
    <fb>295.5</fb>
    <v>1</v>
  </rv>
  <rv s="0">
    <fb>147.35</fb>
    <v>1</v>
  </rv>
  <rv s="0">
    <fb>407.45</fb>
    <v>1</v>
  </rv>
  <rv s="0">
    <fb>121.5</fb>
    <v>1</v>
  </rv>
  <rv s="0">
    <fb>430.75</fb>
    <v>1</v>
  </rv>
  <rv s="0">
    <fb>309.2</fb>
    <v>1</v>
  </rv>
  <rv s="0">
    <fb>13.935</fb>
    <v>1</v>
  </rv>
  <rv s="0">
    <fb>511.4</fb>
    <v>1</v>
  </rv>
  <rv s="0">
    <fb>110.405</fb>
    <v>1</v>
  </rv>
  <rv s="0">
    <fb>110.29</fb>
    <v>1</v>
  </rv>
  <rv s="0">
    <fb>57.95</fb>
    <v>1</v>
  </rv>
  <rv s="0">
    <fb>46006</fb>
    <v>0</v>
  </rv>
  <rv s="0">
    <fb>150.22</fb>
    <v>1</v>
  </rv>
  <rv s="0">
    <fb>215.95</fb>
    <v>1</v>
  </rv>
  <rv s="0">
    <fb>189.2</fb>
    <v>1</v>
  </rv>
  <rv s="0">
    <fb>404.5</fb>
    <v>1</v>
  </rv>
  <rv s="0">
    <fb>123.46</fb>
    <v>1</v>
  </rv>
  <rv s="0">
    <fb>71</fb>
    <v>1</v>
  </rv>
  <rv s="0">
    <fb>293.3</fb>
    <v>1</v>
  </rv>
  <rv s="0">
    <fb>272.95</fb>
    <v>1</v>
  </rv>
  <rv s="0">
    <fb>13.88</fb>
    <v>1</v>
  </rv>
  <rv s="0">
    <fb>493</fb>
    <v>1</v>
  </rv>
  <rv s="0">
    <fb>110.495</fb>
    <v>1</v>
  </rv>
  <rv s="0">
    <fb>57.83</fb>
    <v>1</v>
  </rv>
  <rv s="0">
    <fb>46007</fb>
    <v>0</v>
  </rv>
  <rv s="0">
    <fb>189.9</fb>
    <v>1</v>
  </rv>
  <rv s="0">
    <fb>144.9</fb>
    <v>1</v>
  </rv>
  <rv s="0">
    <fb>405.85</fb>
    <v>1</v>
  </rv>
  <rv s="0">
    <fb>123.98</fb>
    <v>1</v>
  </rv>
  <rv s="0">
    <fb>427.25</fb>
    <v>1</v>
  </rv>
  <rv s="0">
    <fb>66.5</fb>
    <v>1</v>
  </rv>
  <rv s="0">
    <fb>288.60000000000002</fb>
    <v>1</v>
  </rv>
  <rv s="0">
    <fb>268.10000000000002</fb>
    <v>1</v>
  </rv>
  <rv s="0">
    <fb>13.904999999999999</fb>
    <v>1</v>
  </rv>
  <rv s="0">
    <fb>487.6</fb>
    <v>1</v>
  </rv>
  <rv s="0">
    <fb>109.73</fb>
    <v>1</v>
  </rv>
  <rv s="0">
    <fb>57.61</fb>
    <v>1</v>
  </rv>
  <rv s="0">
    <fb>46008</fb>
    <v>0</v>
  </rv>
  <rv s="0">
    <fb>145.9</fb>
    <v>1</v>
  </rv>
  <rv s="0">
    <fb>220.6</fb>
    <v>1</v>
  </rv>
  <rv s="0">
    <fb>189.18</fb>
    <v>1</v>
  </rv>
  <rv s="0">
    <fb>406.85</fb>
    <v>1</v>
  </rv>
  <rv s="0">
    <fb>125.98</fb>
    <v>1</v>
  </rv>
  <rv s="0">
    <fb>66</fb>
    <v>1</v>
  </rv>
  <rv s="0">
    <fb>275.14999999999998</fb>
    <v>1</v>
  </rv>
  <rv s="0">
    <fb>269.75</fb>
    <v>1</v>
  </rv>
  <rv s="0">
    <fb>13.775</fb>
    <v>1</v>
  </rv>
  <rv s="0">
    <fb>484.15</fb>
    <v>1</v>
  </rv>
  <rv s="0">
    <fb>108.97</fb>
    <v>1</v>
  </rv>
  <rv s="0">
    <fb>109.285</fb>
    <v>1</v>
  </rv>
  <rv s="0">
    <fb>57.27</fb>
    <v>1</v>
  </rv>
  <rv s="0">
    <fb>46009</fb>
    <v>0</v>
  </rv>
  <rv s="0">
    <fb>148.91999999999999</fb>
    <v>1</v>
  </rv>
  <rv s="0">
    <fb>243</fb>
    <v>1</v>
  </rv>
  <rv s="0">
    <fb>219.25</fb>
    <v>1</v>
  </rv>
  <rv s="0">
    <fb>193.44</fb>
    <v>1</v>
  </rv>
  <rv s="0">
    <fb>140.94999999999999</fb>
    <v>1</v>
  </rv>
  <rv s="0">
    <fb>124.08</fb>
    <v>1</v>
  </rv>
  <rv s="0">
    <fb>439.2</fb>
    <v>1</v>
  </rv>
  <rv s="0">
    <fb>68</fb>
    <v>1</v>
  </rv>
  <rv s="0">
    <fb>278.64999999999998</fb>
    <v>1</v>
  </rv>
  <rv s="0">
    <fb>267.35000000000002</fb>
    <v>1</v>
  </rv>
  <rv s="0">
    <fb>13.645</fb>
    <v>1</v>
  </rv>
  <rv s="0">
    <fb>484.6</fb>
    <v>1</v>
  </rv>
  <rv s="0">
    <fb>110.425</fb>
    <v>1</v>
  </rv>
  <rv s="0">
    <fb>57.8</fb>
    <v>1</v>
  </rv>
  <rv s="0">
    <fb>46010</fb>
    <v>0</v>
  </rv>
  <rv s="0">
    <fb>153.76</fb>
    <v>1</v>
  </rv>
  <rv s="0">
    <fb>298</fb>
    <v>1</v>
  </rv>
  <rv s="0">
    <fb>219.3</fb>
    <v>1</v>
  </rv>
  <rv s="0">
    <fb>194.48</fb>
    <v>1</v>
  </rv>
  <rv s="0">
    <fb>141.25</fb>
    <v>1</v>
  </rv>
  <rv s="0">
    <fb>123.06</fb>
    <v>1</v>
  </rv>
  <rv s="0">
    <fb>430</fb>
    <v>1</v>
  </rv>
  <rv s="0">
    <fb>285.8</fb>
    <v>1</v>
  </rv>
  <rv s="0">
    <fb>13.795</fb>
    <v>1</v>
  </rv>
  <rv s="0">
    <fb>496.5</fb>
    <v>1</v>
  </rv>
  <rv s="0">
    <fb>110.95</fb>
    <v>1</v>
  </rv>
  <rv s="0">
    <fb>58.11</fb>
    <v>1</v>
  </rv>
  <rv s="0">
    <fb>46013</fb>
    <v>0</v>
  </rv>
  <rv s="0">
    <fb>155.94</fb>
    <v>1</v>
  </rv>
  <rv s="0">
    <fb>249</fb>
    <v>1</v>
  </rv>
  <rv s="0">
    <fb>299.95</fb>
    <v>1</v>
  </rv>
  <rv s="0">
    <fb>194.94</fb>
    <v>1</v>
  </rv>
  <rv s="0">
    <fb>137.35</fb>
    <v>1</v>
  </rv>
  <rv s="0">
    <fb>412.55</fb>
    <v>1</v>
  </rv>
  <rv s="0">
    <fb>121.46</fb>
    <v>1</v>
  </rv>
  <rv s="0">
    <fb>437.55</fb>
    <v>1</v>
  </rv>
  <rv s="0">
    <fb>272.64999999999998</fb>
    <v>1</v>
  </rv>
  <rv s="0">
    <fb>13.63</fb>
    <v>1</v>
  </rv>
  <rv s="0">
    <fb>494.1</fb>
    <v>1</v>
  </rv>
  <rv s="0">
    <fb>110.80500000000001</fb>
    <v>1</v>
  </rv>
  <rv s="0">
    <fb>111.16500000000001</fb>
    <v>1</v>
  </rv>
  <rv s="0">
    <fb>46014</fb>
    <v>0</v>
  </rv>
  <rv s="0">
    <fb>160.30000000000001</fb>
    <v>1</v>
  </rv>
  <rv s="0">
    <fb>224.1</fb>
    <v>1</v>
  </rv>
  <rv s="0">
    <fb>196.72</fb>
    <v>1</v>
  </rv>
  <rv s="0">
    <fb>136.94999999999999</fb>
    <v>1</v>
  </rv>
  <rv s="0">
    <fb>413.35</fb>
    <v>1</v>
  </rv>
  <rv s="0">
    <fb>121.6</fb>
    <v>1</v>
  </rv>
  <rv s="0">
    <fb>439.15</fb>
    <v>1</v>
  </rv>
  <rv s="0">
    <fb>293.55</fb>
    <v>1</v>
  </rv>
  <rv s="0">
    <fb>274.45</fb>
    <v>1</v>
  </rv>
  <rv s="0">
    <fb>13.715</fb>
    <v>1</v>
  </rv>
  <rv s="0">
    <fb>492.65</fb>
    <v>1</v>
  </rv>
  <rv s="0">
    <fb>57.93</fb>
    <v>1</v>
  </rv>
  <rv s="0">
    <fb>46020</fb>
    <v>0</v>
  </rv>
  <rv s="0">
    <fb>159.9</fb>
    <v>1</v>
  </rv>
  <rv s="0">
    <fb>226.7</fb>
    <v>1</v>
  </rv>
  <rv s="0">
    <fb>138.15</fb>
    <v>1</v>
  </rv>
  <rv s="0">
    <fb>122.94</fb>
    <v>1</v>
  </rv>
  <rv s="0">
    <fb>452.8</fb>
    <v>1</v>
  </rv>
  <rv s="0">
    <fb>276.25</fb>
    <v>1</v>
  </rv>
  <rv s="0">
    <fb>13.75</fb>
    <v>1</v>
  </rv>
  <rv s="0">
    <fb>493.9</fb>
    <v>1</v>
  </rv>
  <rv s="0">
    <fb>111.2</fb>
    <v>1</v>
  </rv>
  <rv s="0">
    <fb>111.5</fb>
    <v>1</v>
  </rv>
  <rv s="0">
    <fb>58.02</fb>
    <v>1</v>
  </rv>
  <rv s="0">
    <fb>46021</fb>
    <v>0</v>
  </rv>
  <rv s="0">
    <fb>160.36000000000001</fb>
    <v>1</v>
  </rv>
  <rv s="0">
    <fb>196.84</fb>
    <v>1</v>
  </rv>
  <rv s="0">
    <fb>137.80000000000001</fb>
    <v>1</v>
  </rv>
  <rv s="0">
    <fb>413.2</fb>
    <v>1</v>
  </rv>
  <rv s="0">
    <fb>275.55</fb>
    <v>1</v>
  </rv>
  <rv s="0">
    <fb>13.895</fb>
    <v>1</v>
  </rv>
  <rv s="0">
    <fb>495.2</fb>
    <v>1</v>
  </rv>
  <rv s="0">
    <fb>111.22</fb>
    <v>1</v>
  </rv>
  <rv s="0">
    <fb>111.565</fb>
    <v>1</v>
  </rv>
  <rv s="0">
    <fb>58.4</fb>
    <v>1</v>
  </rv>
  <rv s="0">
    <fb>46024</fb>
    <v>0</v>
  </rv>
  <rv s="0">
    <fb>161.18</fb>
    <v>1</v>
  </rv>
  <rv s="0">
    <fb>273.5</fb>
    <v>1</v>
  </rv>
  <rv s="0">
    <fb>219.55</fb>
    <v>1</v>
  </rv>
  <rv s="0">
    <fb>140.6</fb>
    <v>1</v>
  </rv>
  <rv s="0">
    <fb>402.65</fb>
    <v>1</v>
  </rv>
  <rv s="0">
    <fb>121.16</fb>
    <v>1</v>
  </rv>
  <rv s="0">
    <fb>444.55</fb>
    <v>1</v>
  </rv>
  <rv s="0">
    <fb>78.5</fb>
    <v>1</v>
  </rv>
  <rv s="0">
    <fb>298.64999999999998</fb>
    <v>1</v>
  </rv>
  <rv s="0">
    <fb>13.945</fb>
    <v>1</v>
  </rv>
  <rv s="0">
    <fb>490.85</fb>
    <v>1</v>
  </rv>
  <rv s="0">
    <fb>110.895</fb>
    <v>1</v>
  </rv>
  <rv s="0">
    <fb>111.8</fb>
    <v>1</v>
  </rv>
  <rv s="0">
    <fb>58.71</fb>
    <v>1</v>
  </rv>
  <rv s="0">
    <fb>46027</fb>
    <v>0</v>
  </rv>
  <rv s="0">
    <fb>274</fb>
    <v>1</v>
  </rv>
  <rv s="0">
    <fb>198.68</fb>
    <v>1</v>
  </rv>
  <rv s="0">
    <fb>138.30000000000001</fb>
    <v>1</v>
  </rv>
  <rv s="0">
    <fb>119.72</fb>
    <v>1</v>
  </rv>
  <rv s="0">
    <fb>461.9</fb>
    <v>1</v>
  </rv>
  <rv s="0">
    <fb>287.45</fb>
    <v>1</v>
  </rv>
  <rv s="0">
    <fb>13.785</fb>
    <v>1</v>
  </rv>
  <rv s="0">
    <fb>513.6</fb>
    <v>1</v>
  </rv>
  <rv s="0">
    <fb>59.6</fb>
    <v>1</v>
  </rv>
  <rv s="0">
    <fb>46028</fb>
    <v>0</v>
  </rv>
  <rv s="0">
    <fb>160.24</fb>
    <v>1</v>
  </rv>
  <rv s="0">
    <fb>279</fb>
    <v>1</v>
  </rv>
  <rv s="0">
    <fb>409.65</fb>
    <v>1</v>
  </rv>
  <rv s="0">
    <fb>119.64</fb>
    <v>1</v>
  </rv>
  <rv s="0">
    <fb>285.95</fb>
    <v>1</v>
  </rv>
  <rv s="0">
    <fb>14</fb>
    <v>1</v>
  </rv>
  <rv s="0">
    <fb>490.9</fb>
    <v>1</v>
  </rv>
  <rv s="0">
    <fb>112.375</fb>
    <v>1</v>
  </rv>
  <rv s="0">
    <fb>111.33499999999999</fb>
    <v>1</v>
  </rv>
  <rv s="0">
    <fb>59.91</fb>
    <v>1</v>
  </rv>
  <rv s="0">
    <fb>46029</fb>
    <v>0</v>
  </rv>
  <rv s="0">
    <fb>161.78</fb>
    <v>1</v>
  </rv>
  <rv s="0">
    <fb>304.89999999999998</fb>
    <v>1</v>
  </rv>
  <rv s="0">
    <fb>229.05</fb>
    <v>1</v>
  </rv>
  <rv s="0">
    <fb>207.6</fb>
    <v>1</v>
  </rv>
  <rv s="0">
    <fb>134.30000000000001</fb>
    <v>1</v>
  </rv>
  <rv s="0">
    <fb>413.9</fb>
    <v>1</v>
  </rv>
  <rv s="0">
    <fb>118.34</fb>
    <v>1</v>
  </rv>
  <rv s="0">
    <fb>460.05</fb>
    <v>1</v>
  </rv>
  <rv s="0">
    <fb>85.5</fb>
    <v>1</v>
  </rv>
  <rv s="0">
    <fb>297.3</fb>
    <v>1</v>
  </rv>
  <rv s="0">
    <fb>280.39999999999998</fb>
    <v>1</v>
  </rv>
  <rv s="0">
    <fb>13.365</fb>
    <v>1</v>
  </rv>
  <rv s="0">
    <fb>491.85</fb>
    <v>1</v>
  </rv>
  <rv s="0">
    <fb>112.62</fb>
    <v>1</v>
  </rv>
  <rv s="0">
    <fb>112.74</fb>
    <v>1</v>
  </rv>
  <rv s="0">
    <fb>59.66</fb>
    <v>1</v>
  </rv>
  <rv s="0">
    <fb>46030</fb>
    <v>0</v>
  </rv>
  <rv s="0">
    <fb>274.5</fb>
    <v>1</v>
  </rv>
  <rv s="0">
    <fb>303.75</fb>
    <v>1</v>
  </rv>
  <rv s="0">
    <fb>224.8</fb>
    <v>1</v>
  </rv>
  <rv s="0">
    <fb>129.69999999999999</fb>
    <v>1</v>
  </rv>
  <rv s="0">
    <fb>410.45</fb>
    <v>1</v>
  </rv>
  <rv s="0">
    <fb>121.58</fb>
    <v>1</v>
  </rv>
  <rv s="0">
    <fb>469.75</fb>
    <v>1</v>
  </rv>
  <rv s="0">
    <fb>284.25</fb>
    <v>1</v>
  </rv>
  <rv s="0">
    <fb>13.57</fb>
    <v>1</v>
  </rv>
  <rv s="0">
    <fb>469.1</fb>
    <v>1</v>
  </rv>
  <rv s="0">
    <fb>112.68</fb>
    <v>1</v>
  </rv>
  <rv s="0">
    <fb>113.12</fb>
    <v>1</v>
  </rv>
  <rv s="0">
    <fb>46031</fb>
    <v>0</v>
  </rv>
  <rv s="0">
    <fb>159.32</fb>
    <v>1</v>
  </rv>
  <rv s="0">
    <fb>278</fb>
    <v>1</v>
  </rv>
  <rv s="0">
    <fb>212.4</fb>
    <v>1</v>
  </rv>
  <rv s="0">
    <fb>144.5</fb>
    <v>1</v>
  </rv>
  <rv s="0">
    <fb>121.96</fb>
    <v>1</v>
  </rv>
  <rv s="0">
    <fb>462.4</fb>
    <v>1</v>
  </rv>
  <rv s="0">
    <fb>296.05</fb>
    <v>1</v>
  </rv>
  <rv s="0">
    <fb>283.39999999999998</fb>
    <v>1</v>
  </rv>
  <rv s="0">
    <fb>13.615</fb>
    <v>1</v>
  </rv>
  <rv s="0">
    <fb>113.43</fb>
    <v>1</v>
  </rv>
  <rv s="0">
    <fb>113.455</fb>
    <v>1</v>
  </rv>
  <rv s="0">
    <fb>60.5</fb>
    <v>1</v>
  </rv>
  <rv s="0">
    <fb>46034</fb>
    <v>0</v>
  </rv>
  <rv s="0">
    <fb>158.58000000000001</fb>
    <v>1</v>
  </rv>
  <rv s="0">
    <fb>284.5</fb>
    <v>1</v>
  </rv>
  <rv s="0">
    <fb>149.4</fb>
    <v>1</v>
  </rv>
  <rv s="0">
    <fb>122.98</fb>
    <v>1</v>
  </rv>
  <rv s="0">
    <fb>299.64999999999998</fb>
    <v>1</v>
  </rv>
  <rv s="0">
    <fb>276.45</fb>
    <v>1</v>
  </rv>
  <rv s="0">
    <fb>13.664999999999999</fb>
    <v>1</v>
  </rv>
  <rv s="0">
    <fb>459.3</fb>
    <v>1</v>
  </rv>
  <rv s="0">
    <fb>113.45</fb>
    <v>1</v>
  </rv>
  <rv s="0">
    <fb>113.28</fb>
    <v>1</v>
  </rv>
  <rv s="0">
    <fb>60.72</fb>
    <v>1</v>
  </rv>
  <rv s="0">
    <fb>46035</fb>
    <v>0</v>
  </rv>
  <rv s="0">
    <fb>159.4</fb>
    <v>1</v>
  </rv>
  <rv s="0">
    <fb>285.5</fb>
    <v>1</v>
  </rv>
  <rv s="0">
    <fb>281.85000000000002</fb>
    <v>1</v>
  </rv>
  <rv s="0">
    <fb>208.25</fb>
    <v>1</v>
  </rv>
  <rv s="0">
    <fb>148.19999999999999</fb>
    <v>1</v>
  </rv>
  <rv s="0">
    <fb>403.6</fb>
    <v>1</v>
  </rv>
  <rv s="0">
    <fb>123.52</fb>
    <v>1</v>
  </rv>
  <rv s="0">
    <fb>462.35</fb>
    <v>1</v>
  </rv>
  <rv s="0">
    <fb>91</fb>
    <v>1</v>
  </rv>
  <rv s="0">
    <fb>307.10000000000002</fb>
    <v>1</v>
  </rv>
  <rv s="0">
    <fb>267.14999999999998</fb>
    <v>1</v>
  </rv>
  <rv s="0">
    <fb>13.84</fb>
    <v>1</v>
  </rv>
  <rv s="0">
    <fb>458.9</fb>
    <v>1</v>
  </rv>
  <rv s="0">
    <fb>113.21</fb>
    <v>1</v>
  </rv>
  <rv s="0">
    <fb>114.21</fb>
    <v>1</v>
  </rv>
  <rv s="0">
    <fb>60.79</fb>
    <v>1</v>
  </rv>
  <rv s="0">
    <fb>46036</fb>
    <v>0</v>
  </rv>
  <rv s="0">
    <fb>280.5</fb>
    <v>1</v>
  </rv>
  <rv s="0">
    <fb>282.95</fb>
    <v>1</v>
  </rv>
  <rv s="0">
    <fb>204.45</fb>
    <v>1</v>
  </rv>
  <rv s="0">
    <fb>203.7</fb>
    <v>1</v>
  </rv>
  <rv s="0">
    <fb>145.05000000000001</fb>
    <v>1</v>
  </rv>
  <rv s="0">
    <fb>393.55</fb>
    <v>1</v>
  </rv>
  <rv s="0">
    <fb>125.5</fb>
    <v>1</v>
  </rv>
  <rv s="0">
    <fb>288.10000000000002</fb>
    <v>1</v>
  </rv>
  <rv s="0">
    <fb>13.8</fb>
    <v>1</v>
  </rv>
  <rv s="0">
    <fb>450.4</fb>
    <v>1</v>
  </rv>
  <rv s="0">
    <fb>112.515</fb>
    <v>1</v>
  </rv>
  <rv s="0">
    <fb>114.155</fb>
    <v>1</v>
  </rv>
  <rv s="0">
    <fb>60.48</fb>
    <v>1</v>
  </rv>
  <rv s="0">
    <fb>46037</fb>
    <v>0</v>
  </rv>
  <rv s="0">
    <fb>160.58000000000001</fb>
    <v>1</v>
  </rv>
  <rv s="0">
    <fb>200.6</fb>
    <v>1</v>
  </rv>
  <rv s="0">
    <fb>477</fb>
    <v>1</v>
  </rv>
  <rv s="0">
    <fb>299.2</fb>
    <v>1</v>
  </rv>
  <rv s="0">
    <fb>113.785</fb>
    <v>1</v>
  </rv>
  <rv s="0">
    <fb>114.325</fb>
    <v>1</v>
  </rv>
  <rv s="0">
    <fb>60.76</fb>
    <v>1</v>
  </rv>
  <rv s="0">
    <fb>46038</fb>
    <v>0</v>
  </rv>
  <rv s="0">
    <fb>283.7</fb>
    <v>1</v>
  </rv>
  <rv s="0">
    <fb>144.1</fb>
    <v>1</v>
  </rv>
  <rv s="0">
    <fb>396.85</fb>
    <v>1</v>
  </rv>
  <rv s="0">
    <fb>124.5</fb>
    <v>1</v>
  </rv>
  <rv s="0">
    <fb>473.95</fb>
    <v>1</v>
  </rv>
  <rv s="0">
    <fb>299.8</fb>
    <v>1</v>
  </rv>
  <rv s="0">
    <fb>272</fb>
    <v>1</v>
  </rv>
  <rv s="0">
    <fb>12.8</fb>
    <v>1</v>
  </rv>
  <rv s="0">
    <fb>434.95</fb>
    <v>1</v>
  </rv>
  <rv s="0">
    <fb>113.66500000000001</fb>
    <v>1</v>
  </rv>
  <rv s="0">
    <fb>60.78</fb>
    <v>1</v>
  </rv>
  <rv s="0">
    <fb>46041</fb>
    <v>0</v>
  </rv>
  <rv s="0">
    <fb>292.5</fb>
    <v>1</v>
  </rv>
  <rv s="0">
    <fb>193.34</fb>
    <v>1</v>
  </rv>
  <rv s="0">
    <fb>200.75</fb>
    <v>1</v>
  </rv>
  <rv s="0">
    <fb>140.65</fb>
    <v>1</v>
  </rv>
  <rv s="0">
    <fb>388.4</fb>
    <v>1</v>
  </rv>
  <rv s="0">
    <fb>124.56</fb>
    <v>1</v>
  </rv>
  <rv s="0">
    <fb>462.65</fb>
    <v>1</v>
  </rv>
  <rv s="0">
    <fb>13.43</fb>
    <v>1</v>
  </rv>
  <rv s="0">
    <fb>428.8</fb>
    <v>1</v>
  </rv>
  <rv s="0">
    <fb>114.93</fb>
    <v>1</v>
  </rv>
  <rv s="0">
    <fb>59.71</fb>
    <v>1</v>
  </rv>
  <rv s="0">
    <fb>46042</fb>
    <v>0</v>
  </rv>
  <rv s="0">
    <fb>152</fb>
    <v>1</v>
  </rv>
  <rv s="0">
    <fb>278.35000000000002</fb>
    <v>1</v>
  </rv>
  <rv s="0">
    <fb>189.66</fb>
    <v>1</v>
  </rv>
  <rv s="0">
    <fb>196.88</fb>
    <v>1</v>
  </rv>
  <rv s="0">
    <fb>387.6</fb>
    <v>1</v>
  </rv>
  <rv s="0">
    <fb>124.8</fb>
    <v>1</v>
  </rv>
  <rv s="0">
    <fb>84</fb>
    <v>1</v>
  </rv>
  <rv s="0">
    <fb>258.35000000000002</fb>
    <v>1</v>
  </rv>
  <rv s="0">
    <fb>13.77</fb>
    <v>1</v>
  </rv>
  <rv s="0">
    <fb>436.85</fb>
    <v>1</v>
  </rv>
  <rv s="0">
    <fb>110.13</fb>
    <v>1</v>
  </rv>
  <rv s="0">
    <fb>114.77500000000001</fb>
    <v>1</v>
  </rv>
  <rv s="0">
    <fb>59.26</fb>
    <v>1</v>
  </rv>
  <rv s="0">
    <fb>46043</fb>
    <v>0</v>
  </rv>
  <rv s="0">
    <fb>281</fb>
    <v>1</v>
  </rv>
  <rv s="0">
    <fb>279.14999999999998</fb>
    <v>1</v>
  </rv>
  <rv s="0">
    <fb>191.4</fb>
    <v>1</v>
  </rv>
  <rv s="0">
    <fb>197.88</fb>
    <v>1</v>
  </rv>
  <rv s="0">
    <fb>379.8</fb>
    <v>1</v>
  </rv>
  <rv s="0">
    <fb>124</fb>
    <v>1</v>
  </rv>
  <rv s="0">
    <fb>446.95</fb>
    <v>1</v>
  </rv>
  <rv s="0">
    <fb>281.25</fb>
    <v>1</v>
  </rv>
  <rv s="0">
    <fb>258.55</fb>
    <v>1</v>
  </rv>
  <rv s="0">
    <fb>112.035</fb>
    <v>1</v>
  </rv>
  <rv s="0">
    <fb>59.1</fb>
    <v>1</v>
  </rv>
  <rv s="0">
    <fb>46044</fb>
    <v>0</v>
  </rv>
  <rv s="0">
    <fb>156.76</fb>
    <v>1</v>
  </rv>
  <rv s="0">
    <fb>281.5</fb>
    <v>1</v>
  </rv>
  <rv s="0">
    <fb>277</fb>
    <v>1</v>
  </rv>
  <rv s="0">
    <fb>193.24</fb>
    <v>1</v>
  </rv>
  <rv s="0">
    <fb>199.34</fb>
    <v>1</v>
  </rv>
  <rv s="0">
    <fb>383.5</fb>
    <v>1</v>
  </rv>
  <rv s="0">
    <fb>128.19999999999999</fb>
    <v>1</v>
  </rv>
  <rv s="0">
    <fb>451.7</fb>
    <v>1</v>
  </rv>
  <rv s="0">
    <fb>258.05</fb>
    <v>1</v>
  </rv>
  <rv s="0">
    <fb>13.91</fb>
    <v>1</v>
  </rv>
  <rv s="0">
    <fb>421.45</fb>
    <v>1</v>
  </rv>
  <rv s="0">
    <fb>112.19</fb>
    <v>1</v>
  </rv>
  <rv s="0">
    <fb>60.06</fb>
    <v>1</v>
  </rv>
  <rv s="0">
    <fb>46045</fb>
    <v>0</v>
  </rv>
  <rv s="0">
    <fb>158.56</fb>
    <v>1</v>
  </rv>
  <rv s="0">
    <fb>283</fb>
    <v>1</v>
  </rv>
  <rv s="0">
    <fb>277.45</fb>
    <v>1</v>
  </rv>
  <rv s="0">
    <fb>192.94</fb>
    <v>1</v>
  </rv>
  <rv s="0">
    <fb>202.3</fb>
    <v>1</v>
  </rv>
  <rv s="0">
    <fb>136.15</fb>
    <v>1</v>
  </rv>
  <rv s="0">
    <fb>394.7</fb>
    <v>1</v>
  </rv>
  <rv s="0">
    <fb>455.55</fb>
    <v>1</v>
  </rv>
  <rv s="0">
    <fb>272.5</fb>
    <v>1</v>
  </rv>
  <rv s="0">
    <fb>252</fb>
    <v>1</v>
  </rv>
  <rv s="0">
    <fb>13.95</fb>
    <v>1</v>
  </rv>
  <rv s="0">
    <fb>437</fb>
    <v>1</v>
  </rv>
  <rv s="0">
    <fb>112.29</fb>
    <v>1</v>
  </rv>
  <rv s="0">
    <fb>59.97</fb>
    <v>1</v>
  </rv>
  <rv s="0">
    <fb>46048</fb>
    <v>0</v>
  </rv>
  <rv s="0">
    <fb>156.72</fb>
    <v>1</v>
  </rv>
  <rv s="0">
    <fb>282.5</fb>
    <v>1</v>
  </rv>
  <rv s="0">
    <fb>274.60000000000002</fb>
    <v>1</v>
  </rv>
  <rv s="0">
    <fb>194.12</fb>
    <v>1</v>
  </rv>
  <rv s="0">
    <fb>201.25</fb>
    <v>1</v>
  </rv>
  <rv s="0">
    <fb>135.94999999999999</fb>
    <v>1</v>
  </rv>
  <rv s="0">
    <fb>397.85</fb>
    <v>1</v>
  </rv>
  <rv s="0">
    <fb>455.75</fb>
    <v>1</v>
  </rv>
  <rv s="0">
    <fb>273.8</fb>
    <v>1</v>
  </rv>
  <rv s="0">
    <fb>13.425000000000001</fb>
    <v>1</v>
  </rv>
  <rv s="0">
    <fb>433.7</fb>
    <v>1</v>
  </rv>
  <rv s="0">
    <fb>113.005</fb>
    <v>1</v>
  </rv>
  <rv s="0">
    <fb>60.2</fb>
    <v>1</v>
  </rv>
  <rv s="0">
    <fb>46049</fb>
    <v>0</v>
  </rv>
  <rv s="0">
    <fb>156.82</fb>
    <v>1</v>
  </rv>
  <rv s="0">
    <fb>190.06</fb>
    <v>1</v>
  </rv>
  <rv s="0">
    <fb>134.4</fb>
    <v>1</v>
  </rv>
  <rv s="0">
    <fb>399.05</fb>
    <v>1</v>
  </rv>
  <rv s="0">
    <fb>433.4</fb>
    <v>1</v>
  </rv>
  <rv s="0">
    <fb>277.2</fb>
    <v>1</v>
  </rv>
  <rv s="0">
    <fb>13.31</fb>
    <v>1</v>
  </rv>
  <rv s="0">
    <fb>428.55</fb>
    <v>1</v>
  </rv>
  <rv s="0">
    <fb>110.55</fb>
    <v>1</v>
  </rv>
  <rv s="0">
    <fb>112.78</fb>
    <v>1</v>
  </rv>
  <rv s="0">
    <fb>60.41</fb>
    <v>1</v>
  </rv>
  <rv s="0">
    <fb>46050</fb>
    <v>0</v>
  </rv>
  <rv s="0">
    <fb>160.38</fb>
    <v>1</v>
  </rv>
  <rv s="0">
    <fb>274.14999999999998</fb>
    <v>1</v>
  </rv>
  <rv s="0">
    <fb>135.80000000000001</fb>
    <v>1</v>
  </rv>
  <rv s="0">
    <fb>403.55</fb>
    <v>1</v>
  </rv>
  <rv s="0">
    <fb>433.65</fb>
    <v>1</v>
  </rv>
  <rv s="0">
    <fb>275.3</fb>
    <v>1</v>
  </rv>
  <rv s="0">
    <fb>252.05</fb>
    <v>1</v>
  </rv>
  <rv s="0">
    <fb>13.375</fb>
    <v>1</v>
  </rv>
  <rv s="0">
    <fb>111.01</fb>
    <v>1</v>
  </rv>
  <rv s="0">
    <fb>112.38</fb>
    <v>1</v>
  </rv>
  <rv s="0">
    <fb>59.89</fb>
    <v>1</v>
  </rv>
  <rv s="0">
    <fb>46051</fb>
    <v>0</v>
  </rv>
  <rv s="0">
    <fb>276.2</fb>
    <v>1</v>
  </rv>
  <rv s="0">
    <fb>200.55</fb>
    <v>1</v>
  </rv>
  <rv s="0">
    <fb>134.25</fb>
    <v>1</v>
  </rv>
  <rv s="0">
    <fb>361.65</fb>
    <v>1</v>
  </rv>
  <rv s="0">
    <fb>125.26</fb>
    <v>1</v>
  </rv>
  <rv s="0">
    <fb>271.75</fb>
    <v>1</v>
  </rv>
  <rv s="0">
    <fb>254.65</fb>
    <v>1</v>
  </rv>
  <rv s="0">
    <fb>13.59</fb>
    <v>1</v>
  </rv>
  <rv s="0">
    <fb>416.9</fb>
    <v>1</v>
  </rv>
  <rv s="0">
    <fb>109.85</fb>
    <v>1</v>
  </rv>
  <rv s="0">
    <fb>112.2</fb>
    <v>1</v>
  </rv>
  <rv s="0">
    <fb>59.82</fb>
    <v>1</v>
  </rv>
  <rv s="0">
    <fb>46052</fb>
    <v>0</v>
  </rv>
  <rv s="0">
    <fb>160.88</fb>
    <v>1</v>
  </rv>
  <rv s="0">
    <fb>272.35000000000002</fb>
    <v>1</v>
  </rv>
  <rv s="0">
    <fb>179.26</fb>
    <v>1</v>
  </rv>
  <rv s="0">
    <fb>201.95</fb>
    <v>1</v>
  </rv>
  <rv s="0">
    <fb>133.25</fb>
    <v>1</v>
  </rv>
  <rv s="0">
    <fb>362.5</fb>
    <v>1</v>
  </rv>
  <rv s="0">
    <fb>127.54</fb>
    <v>1</v>
  </rv>
  <rv s="0">
    <fb>447.25</fb>
    <v>1</v>
  </rv>
  <rv s="0">
    <fb>73</fb>
    <v>1</v>
  </rv>
  <rv s="0">
    <fb>282.14999999999998</fb>
    <v>1</v>
  </rv>
  <rv s="0">
    <fb>257.35000000000002</fb>
    <v>1</v>
  </rv>
  <rv s="0">
    <fb>13.61</fb>
    <v>1</v>
  </rv>
  <rv s="0">
    <fb>110.41</fb>
    <v>1</v>
  </rv>
  <rv s="0">
    <fb>112.32</fb>
    <v>1</v>
  </rv>
  <rv s="0">
    <fb>59.74</fb>
    <v>1</v>
  </rv>
  <rv s="0">
    <fb>46055</fb>
    <v>0</v>
  </rv>
  <rv s="0">
    <fb>157.78</fb>
    <v>1</v>
  </rv>
  <rv s="0">
    <fb>289.5</fb>
    <v>1</v>
  </rv>
  <rv s="0">
    <fb>281.35000000000002</fb>
    <v>1</v>
  </rv>
  <rv s="0">
    <fb>359.3</fb>
    <v>1</v>
  </rv>
  <rv s="0">
    <fb>451.85</fb>
    <v>1</v>
  </rv>
  <rv s="0">
    <fb>281.45</fb>
    <v>1</v>
  </rv>
  <rv s="0">
    <fb>13.23</fb>
    <v>1</v>
  </rv>
  <rv s="0">
    <fb>432</fb>
    <v>1</v>
  </rv>
  <rv s="0">
    <fb>112.28</fb>
    <v>1</v>
  </rv>
  <rv s="0">
    <fb>60.64</fb>
    <v>1</v>
  </rv>
  <rv s="0">
    <fb>46056</fb>
    <v>0</v>
  </rv>
  <rv s="0">
    <fb>285</fb>
    <v>1</v>
  </rv>
  <rv s="0">
    <fb>283.10000000000002</fb>
    <v>1</v>
  </rv>
  <rv s="0">
    <fb>163.74</fb>
    <v>1</v>
  </rv>
  <rv s="0">
    <fb>130.4</fb>
    <v>1</v>
  </rv>
  <rv s="0">
    <fb>347.7</fb>
    <v>1</v>
  </rv>
  <rv s="0">
    <fb>131.78</fb>
    <v>1</v>
  </rv>
  <rv s="0">
    <fb>395.45</fb>
    <v>1</v>
  </rv>
  <rv s="0">
    <fb>71.5</fb>
    <v>1</v>
  </rv>
  <rv s="0">
    <fb>267.95</fb>
    <v>1</v>
  </rv>
  <rv s="0">
    <fb>405.4</fb>
    <v>1</v>
  </rv>
  <rv s="0">
    <fb>60.11</fb>
    <v>1</v>
  </rv>
  <rv s="0">
    <fb>46057</fb>
    <v>0</v>
  </rv>
  <rv s="0">
    <fb>275</fb>
    <v>1</v>
  </rv>
  <rv s="0">
    <fb>278.89999999999998</fb>
    <v>1</v>
  </rv>
  <rv s="0">
    <fb>168.36</fb>
    <v>1</v>
  </rv>
  <rv s="0">
    <fb>119.7</fb>
    <v>1</v>
  </rv>
  <rv s="0">
    <fb>350</fb>
    <v>1</v>
  </rv>
  <rv s="0">
    <fb>132.86000000000001</fb>
    <v>1</v>
  </rv>
  <rv s="0">
    <fb>396.7</fb>
    <v>1</v>
  </rv>
  <rv s="0">
    <fb>67</fb>
    <v>1</v>
  </rv>
  <rv s="0">
    <fb>110.375</fb>
    <v>1</v>
  </rv>
  <rv s="0">
    <fb>113.435</fb>
    <v>1</v>
  </rv>
  <rv s="0">
    <fb>60.03</fb>
    <v>1</v>
  </rv>
  <rv s="0">
    <fb>46058</fb>
    <v>0</v>
  </rv>
  <rv s="0">
    <fb>145.30000000000001</fb>
    <v>1</v>
  </rv>
  <rv s="0">
    <fb>281.60000000000002</fb>
    <v>1</v>
  </rv>
  <rv s="0">
    <fb>119.95</fb>
    <v>1</v>
  </rv>
  <rv s="0">
    <fb>333.5</fb>
    <v>1</v>
  </rv>
  <rv s="0">
    <fb>134.22</fb>
    <v>1</v>
  </rv>
  <rv s="0">
    <fb>384.9</fb>
    <v>1</v>
  </rv>
  <rv s="0">
    <fb>62</fb>
    <v>1</v>
  </rv>
  <rv s="0">
    <fb>271.14999999999998</fb>
    <v>1</v>
  </rv>
  <rv s="0">
    <fb>261.95</fb>
    <v>1</v>
  </rv>
  <rv s="0">
    <fb>13.86</fb>
    <v>1</v>
  </rv>
  <rv s="0">
    <fb>357.2</fb>
    <v>1</v>
  </rv>
  <rv s="0">
    <fb>109.435</fb>
    <v>1</v>
  </rv>
  <rv s="0">
    <fb>112.94</fb>
    <v>1</v>
  </rv>
  <rv s="0">
    <fb>59.81</fb>
    <v>1</v>
  </rv>
  <rv s="0">
    <fb>46059</fb>
    <v>0</v>
  </rv>
  <rv s="0">
    <fb>277.89999999999998</fb>
    <v>1</v>
  </rv>
  <rv s="0">
    <fb>160.69999999999999</fb>
    <v>1</v>
  </rv>
  <rv s="0">
    <fb>127.05</fb>
    <v>1</v>
  </rv>
  <rv s="0">
    <fb>339.75</fb>
    <v>1</v>
  </rv>
  <rv s="0">
    <fb>135.02000000000001</fb>
    <v>1</v>
  </rv>
  <rv s="0">
    <fb>374</fb>
    <v>1</v>
  </rv>
  <rv s="0">
    <fb>279.60000000000002</fb>
    <v>1</v>
  </rv>
  <rv s="0">
    <fb>273.45</fb>
    <v>1</v>
  </rv>
  <rv s="0">
    <fb>13.96</fb>
    <v>1</v>
  </rv>
  <rv s="0">
    <fb>357.95</fb>
    <v>1</v>
  </rv>
  <rv s="0">
    <fb>110.86499999999999</fb>
    <v>1</v>
  </rv>
  <rv s="0">
    <fb>112.63</fb>
    <v>1</v>
  </rv>
  <rv s="0">
    <fb>60.59</fb>
    <v>1</v>
  </rv>
  <rv s="0">
    <fb>46062</fb>
    <v>0</v>
  </rv>
  <rv s="0">
    <fb>163</fb>
    <v>1</v>
  </rv>
  <rv s="0">
    <fb>129.85</fb>
    <v>1</v>
  </rv>
  <rv s="0">
    <fb>347.2</fb>
    <v>1</v>
  </rv>
  <rv s="0">
    <fb>131.97999999999999</fb>
    <v>1</v>
  </rv>
  <rv s="0">
    <fb>373.4</fb>
    <v>1</v>
  </rv>
  <rv s="0">
    <fb>79.5</fb>
    <v>1</v>
  </rv>
  <rv s="0">
    <fb>291.25</fb>
    <v>1</v>
  </rv>
  <rv s="0">
    <fb>270.25</fb>
    <v>1</v>
  </rv>
  <rv s="0">
    <fb>352.75</fb>
    <v>1</v>
  </rv>
  <rv s="0">
    <fb>111.55500000000001</fb>
    <v>1</v>
  </rv>
  <rv s="0">
    <fb>61.08</fb>
    <v>1</v>
  </rv>
  <rv s="0">
    <fb>46063</fb>
    <v>0</v>
  </rv>
  <rv s="0">
    <fb>163.19999999999999</fb>
    <v>1</v>
  </rv>
  <rv s="0">
    <fb>174.04</fb>
    <v>1</v>
  </rv>
  <rv s="0">
    <fb>133.9</fb>
    <v>1</v>
  </rv>
  <rv s="0">
    <fb>342.8</fb>
    <v>1</v>
  </rv>
  <rv s="0">
    <fb>287.55</fb>
    <v>1</v>
  </rv>
  <rv s="0">
    <fb>14.085000000000001</fb>
    <v>1</v>
  </rv>
  <rv s="0">
    <fb>405.05</fb>
    <v>1</v>
  </rv>
  <rv s="0">
    <fb>61.05</fb>
    <v>1</v>
  </rv>
  <rv s="0">
    <fb>46064</fb>
    <v>0</v>
  </rv>
  <rv s="0">
    <fb>160.97999999999999</fb>
    <v>1</v>
  </rv>
  <rv s="0">
    <fb>277.05</fb>
    <v>1</v>
  </rv>
  <rv s="0">
    <fb>172.02</fb>
    <v>1</v>
  </rv>
  <rv s="0">
    <fb>135.05000000000001</fb>
    <v>1</v>
  </rv>
  <rv s="0">
    <fb>340.8</fb>
    <v>1</v>
  </rv>
  <rv s="0">
    <fb>135.44</fb>
    <v>1</v>
  </rv>
  <rv s="0">
    <fb>335</fb>
    <v>1</v>
  </rv>
  <rv s="0">
    <fb>284.14999999999998</fb>
    <v>1</v>
  </rv>
  <rv s="0">
    <fb>260.35000000000002</fb>
    <v>1</v>
  </rv>
  <rv s="0">
    <fb>13.97</fb>
    <v>1</v>
  </rv>
  <rv s="0">
    <fb>408.35</fb>
    <v>1</v>
  </rv>
  <rv s="0">
    <fb>110.745</fb>
    <v>1</v>
  </rv>
  <rv s="0">
    <fb>113.23</fb>
    <v>1</v>
  </rv>
  <rv s="0">
    <fb>61.11</fb>
    <v>1</v>
  </rv>
  <rv s="0">
    <fb>46065</fb>
    <v>0</v>
  </rv>
  <rv s="0">
    <fb>274.25</fb>
    <v>1</v>
  </rv>
  <rv s="0">
    <fb>155.69999999999999</fb>
    <v>1</v>
  </rv>
  <rv s="0">
    <fb>167.32</fb>
    <v>1</v>
  </rv>
  <rv s="0">
    <fb>137.85</fb>
    <v>1</v>
  </rv>
  <rv s="0">
    <fb>339.85</fb>
    <v>1</v>
  </rv>
  <rv s="0">
    <fb>137.06</fb>
    <v>1</v>
  </rv>
  <rv s="0">
    <fb>325</fb>
    <v>1</v>
  </rv>
  <rv s="0">
    <fb>282.2</fb>
    <v>1</v>
  </rv>
  <rv s="0">
    <fb>254.85</fb>
    <v>1</v>
  </rv>
  <rv s="0">
    <fb>371.25</fb>
    <v>1</v>
  </rv>
  <rv s="0">
    <fb>109.6</fb>
    <v>1</v>
  </rv>
  <rv s="0">
    <fb>113.425</fb>
    <v>1</v>
  </rv>
  <rv s="0">
    <fb>46066</fb>
    <v>0</v>
  </rv>
  <rv s="0">
    <fb>153.91999999999999</fb>
    <v>1</v>
  </rv>
  <rv s="0">
    <fb>160.4</fb>
    <v>1</v>
  </rv>
  <rv s="0">
    <fb>143.9</fb>
    <v>1</v>
  </rv>
  <rv s="0">
    <fb>337.7</fb>
    <v>1</v>
  </rv>
  <rv s="0">
    <fb>82.5</fb>
    <v>1</v>
  </rv>
  <rv s="0">
    <fb>276</fb>
    <v>1</v>
  </rv>
  <rv s="0">
    <fb>255.15</fb>
    <v>1</v>
  </rv>
  <rv s="0">
    <fb>13.535</fb>
    <v>1</v>
  </rv>
  <rv s="0">
    <fb>378.2</fb>
    <v>1</v>
  </rv>
  <rv s="0">
    <fb>109.69</fb>
    <v>1</v>
  </rv>
  <rv s="0">
    <fb>60.49</fb>
    <v>1</v>
  </rv>
  <rv s="0">
    <fb>46069</fb>
    <v>0</v>
  </rv>
  <rv s="0">
    <fb>154.32</fb>
    <v>1</v>
  </rv>
  <rv s="0">
    <fb>313</fb>
    <v>1</v>
  </rv>
  <rv s="0">
    <fb>168.86</fb>
    <v>1</v>
  </rv>
  <rv s="0">
    <fb>144.44999999999999</fb>
    <v>1</v>
  </rv>
  <rv s="0">
    <fb>339.9</fb>
    <v>1</v>
  </rv>
  <rv s="0">
    <fb>349</fb>
    <v>1</v>
  </rv>
  <rv s="0">
    <fb>13.545</fb>
    <v>1</v>
  </rv>
  <rv s="0">
    <fb>386.9</fb>
    <v>1</v>
  </rv>
  <rv s="0">
    <fb>109.45</fb>
    <v>1</v>
  </rv>
  <rv s="0">
    <fb>112.345</fb>
    <v>1</v>
  </rv>
  <rv s="0">
    <fb>60.47</fb>
    <v>1</v>
  </rv>
  <rv s="0">
    <fb>46070</fb>
    <v>0</v>
  </rv>
  <rv s="0">
    <fb>156.1</fb>
    <v>1</v>
  </rv>
  <rv s="0">
    <fb>308.5</fb>
    <v>1</v>
  </rv>
  <rv s="0">
    <fb>270.10000000000002</fb>
    <v>1</v>
  </rv>
  <rv s="0">
    <fb>155.32</fb>
    <v>1</v>
  </rv>
  <rv s="0">
    <fb>169.18</fb>
    <v>1</v>
  </rv>
  <rv s="0">
    <fb>147.9</fb>
    <v>1</v>
  </rv>
  <rv s="0">
    <fb>334.9</fb>
    <v>1</v>
  </rv>
  <rv s="0">
    <fb>134.54</fb>
    <v>1</v>
  </rv>
  <rv s="0">
    <fb>349.25</fb>
    <v>1</v>
  </rv>
  <rv s="0">
    <fb>279.35000000000002</fb>
    <v>1</v>
  </rv>
  <rv s="0">
    <fb>259.5</fb>
    <v>1</v>
  </rv>
  <rv s="0">
    <fb>13.255000000000001</fb>
    <v>1</v>
  </rv>
  <rv s="0">
    <fb>398.35</fb>
    <v>1</v>
  </rv>
  <rv s="0">
    <fb>109.51</fb>
    <v>1</v>
  </rv>
  <rv s="0">
    <fb>112.27500000000001</fb>
    <v>1</v>
  </rv>
  <rv s="0">
    <fb>60.85</fb>
    <v>1</v>
  </rv>
  <rv s="0">
    <fb>46071</fb>
    <v>0</v>
  </rv>
  <rv s="0">
    <fb>306.5</fb>
    <v>1</v>
  </rv>
  <rv s="0">
    <fb>272.8</fb>
    <v>1</v>
  </rv>
  <rv s="0">
    <fb>174.02</fb>
    <v>1</v>
  </rv>
  <rv s="0">
    <fb>147.65</fb>
    <v>1</v>
  </rv>
  <rv s="0">
    <fb>132.36000000000001</fb>
    <v>1</v>
  </rv>
  <rv s="0">
    <fb>358.75</fb>
    <v>1</v>
  </rv>
  <rv s="0">
    <fb>262.64999999999998</fb>
    <v>1</v>
  </rv>
  <rv s="0">
    <fb>13.135</fb>
    <v>1</v>
  </rv>
  <rv s="0">
    <fb>405.25</fb>
    <v>1</v>
  </rv>
  <rv s="0">
    <fb>111.985</fb>
    <v>1</v>
  </rv>
  <rv s="0">
    <fb>61.43</fb>
    <v>1</v>
  </rv>
  <rv s="0">
    <fb>46072</fb>
    <v>0</v>
  </rv>
  <rv s="0">
    <fb>159.63999999999999</fb>
    <v>1</v>
  </rv>
  <rv s="0">
    <fb>270.35000000000002</fb>
    <v>1</v>
  </rv>
  <rv s="0">
    <fb>158.24</fb>
    <v>1</v>
  </rv>
  <rv s="0">
    <fb>145.75</fb>
    <v>1</v>
  </rv>
  <rv s="0">
    <fb>338.5</fb>
    <v>1</v>
  </rv>
  <rv s="0">
    <fb>134.86000000000001</fb>
    <v>1</v>
  </rv>
  <rv s="0">
    <fb>358.05</fb>
    <v>1</v>
  </rv>
  <rv s="0">
    <fb>261.7</fb>
    <v>1</v>
  </rv>
  <rv s="0">
    <fb>13.234999999999999</fb>
    <v>1</v>
  </rv>
  <rv s="0">
    <fb>415.9</fb>
    <v>1</v>
  </rv>
  <rv s="0">
    <fb>112.30500000000001</fb>
    <v>1</v>
  </rv>
  <rv s="0">
    <fb>61.03</fb>
    <v>1</v>
  </rv>
  <rv s="0">
    <fb>46073</fb>
    <v>0</v>
  </rv>
  <rv s="0">
    <fb>161.04</fb>
    <v>1</v>
  </rv>
  <rv s="0">
    <fb>271.89999999999998</fb>
    <v>1</v>
  </rv>
  <rv s="0">
    <fb>157.72</fb>
    <v>1</v>
  </rv>
  <rv s="0">
    <fb>177.64</fb>
    <v>1</v>
  </rv>
  <rv s="0">
    <fb>144.65</fb>
    <v>1</v>
  </rv>
  <rv s="0">
    <fb>136.26</fb>
    <v>1</v>
  </rv>
  <rv s="0">
    <fb>357.5</fb>
    <v>1</v>
  </rv>
  <rv s="0">
    <fb>284.45</fb>
    <v>1</v>
  </rv>
  <rv s="0">
    <fb>13.05</fb>
    <v>1</v>
  </rv>
  <rv s="0">
    <fb>420.25</fb>
    <v>1</v>
  </rv>
  <rv s="0">
    <fb>111.065</fb>
    <v>1</v>
  </rv>
  <rv s="0">
    <fb>113.535</fb>
    <v>1</v>
  </rv>
  <rv s="0">
    <fb>61.82</fb>
    <v>1</v>
  </rv>
  <rv s="0">
    <fb>46076</fb>
    <v>0</v>
  </rv>
  <rv s="0">
    <fb>314</fb>
    <v>1</v>
  </rv>
  <rv s="0">
    <fb>149.36000000000001</fb>
    <v>1</v>
  </rv>
  <rv s="0">
    <fb>173.42</fb>
    <v>1</v>
  </rv>
  <rv s="0">
    <fb>143.1</fb>
    <v>1</v>
  </rv>
  <rv s="0">
    <fb>325.39999999999998</fb>
    <v>1</v>
  </rv>
  <rv s="0">
    <fb>346</fb>
    <v>1</v>
  </rv>
  <rv s="0">
    <fb>282.10000000000002</fb>
    <v>1</v>
  </rv>
  <rv s="0">
    <fb>251.35</fb>
    <v>1</v>
  </rv>
  <rv s="0">
    <fb>12.91</fb>
    <v>1</v>
  </rv>
  <rv s="0">
    <fb>398.65</fb>
    <v>1</v>
  </rv>
  <rv s="0">
    <fb>109.81</fb>
    <v>1</v>
  </rv>
  <rv s="0">
    <fb>113.38500000000001</fb>
    <v>1</v>
  </rv>
  <rv s="0">
    <fb>61.84</fb>
    <v>1</v>
  </rv>
  <rv s="0">
    <fb>46077</fb>
    <v>0</v>
  </rv>
  <rv s="0">
    <fb>163.9</fb>
    <v>1</v>
  </rv>
  <rv s="0">
    <fb>329</fb>
    <v>1</v>
  </rv>
  <rv s="0">
    <fb>260.3</fb>
    <v>1</v>
  </rv>
  <rv s="0">
    <fb>158.44</fb>
    <v>1</v>
  </rv>
  <rv s="0">
    <fb>176.8</fb>
    <v>1</v>
  </rv>
  <rv s="0">
    <fb>142.35</fb>
    <v>1</v>
  </rv>
  <rv s="0">
    <fb>329.9</fb>
    <v>1</v>
  </rv>
  <rv s="0">
    <fb>140.47999999999999</fb>
    <v>1</v>
  </rv>
  <rv s="0">
    <fb>352</fb>
    <v>1</v>
  </rv>
  <rv s="0">
    <fb>275.75</fb>
    <v>1</v>
  </rv>
  <rv s="0">
    <fb>252.7</fb>
    <v>1</v>
  </rv>
  <rv s="0">
    <fb>12.965</fb>
    <v>1</v>
  </rv>
  <rv s="0">
    <fb>395.6</fb>
    <v>1</v>
  </rv>
  <rv s="0">
    <fb>110.82</fb>
    <v>1</v>
  </rv>
  <rv s="0">
    <fb>113.67</fb>
    <v>1</v>
  </rv>
  <rv s="0">
    <fb>61.9</fb>
    <v>1</v>
  </rv>
  <rv s="0">
    <fb>46078</fb>
    <v>0</v>
  </rv>
  <rv s="0">
    <fb>165.58</fb>
    <v>1</v>
  </rv>
  <rv s="0">
    <fb>328</fb>
    <v>1</v>
  </rv>
  <rv s="0">
    <fb>162.68</fb>
    <v>1</v>
  </rv>
  <rv s="0">
    <fb>178.58</fb>
    <v>1</v>
  </rv>
  <rv s="0">
    <fb>149.15</fb>
    <v>1</v>
  </rv>
  <rv s="0">
    <fb>338.9</fb>
    <v>1</v>
  </rv>
  <rv s="0">
    <fb>139.04</fb>
    <v>1</v>
  </rv>
  <rv s="0">
    <fb>363</fb>
    <v>1</v>
  </rv>
  <rv s="0">
    <fb>280.55</fb>
    <v>1</v>
  </rv>
  <rv s="0">
    <fb>256.25</fb>
    <v>1</v>
  </rv>
  <rv s="0">
    <fb>13.4</fb>
    <v>1</v>
  </rv>
  <rv s="0">
    <fb>397.45</fb>
    <v>1</v>
  </rv>
  <rv s="0">
    <fb>112.92</fb>
    <v>1</v>
  </rv>
  <rv s="0">
    <fb>62.4</fb>
    <v>1</v>
  </rv>
  <rv s="0">
    <fb>46079</fb>
    <v>0</v>
  </rv>
  <rv s="0">
    <fb>156.66</fb>
    <v>1</v>
  </rv>
  <rv s="0">
    <fb>318</fb>
    <v>1</v>
  </rv>
  <rv s="0">
    <fb>268.45</fb>
    <v>1</v>
  </rv>
  <rv s="0">
    <fb>169.98</fb>
    <v>1</v>
  </rv>
  <rv s="0">
    <fb>142.05000000000001</fb>
    <v>1</v>
  </rv>
  <rv s="0">
    <fb>340.1</fb>
    <v>1</v>
  </rv>
  <rv s="0">
    <fb>138.32</fb>
    <v>1</v>
  </rv>
  <rv s="0">
    <fb>374.35</fb>
    <v>1</v>
  </rv>
  <rv s="0">
    <fb>90</fb>
    <v>1</v>
  </rv>
  <rv s="0">
    <fb>13.175000000000001</fb>
    <v>1</v>
  </rv>
  <rv s="0">
    <fb>413.4</fb>
    <v>1</v>
  </rv>
  <rv s="0">
    <fb>110.925</fb>
    <v>1</v>
  </rv>
  <rv s="0">
    <fb>113.375</fb>
    <v>1</v>
  </rv>
  <rv s="0">
    <fb>62.25</fb>
    <v>1</v>
  </rv>
  <rv s="0">
    <fb>46080</fb>
    <v>0</v>
  </rv>
  <rv s="0">
    <fb>317</fb>
    <v>1</v>
  </rv>
  <rv s="0">
    <fb>268.7</fb>
    <v>1</v>
  </rv>
  <rv s="0">
    <fb>164.5</fb>
    <v>1</v>
  </rv>
  <rv s="0">
    <fb>176.34</fb>
    <v>1</v>
  </rv>
  <rv s="0">
    <fb>145.80000000000001</fb>
    <v>1</v>
  </rv>
  <rv s="0">
    <fb>332.6</fb>
    <v>1</v>
  </rv>
  <rv s="0">
    <fb>367.35</fb>
    <v>1</v>
  </rv>
  <rv s="0">
    <fb>77.5</fb>
    <v>1</v>
  </rv>
  <rv s="0">
    <fb>269</fb>
    <v>1</v>
  </rv>
  <rv s="0">
    <fb>250.95</fb>
    <v>1</v>
  </rv>
  <rv s="0">
    <fb>12.92</fb>
    <v>1</v>
  </rv>
  <rv s="0">
    <fb>110.04</fb>
    <v>1</v>
  </rv>
  <rv s="0">
    <fb>114.25</fb>
    <v>1</v>
  </rv>
  <rv s="0">
    <fb>61.69</fb>
    <v>1</v>
  </rv>
  <rv s="0">
    <fb>46083</fb>
    <v>0</v>
  </rv>
  <rv s="0">
    <fb>156.02000000000001</fb>
    <v>1</v>
  </rv>
  <rv s="0">
    <fb>164.62</fb>
    <v>1</v>
  </rv>
  <rv s="0">
    <fb>179.14</fb>
    <v>1</v>
  </rv>
  <rv s="0">
    <fb>148.6</fb>
    <v>1</v>
  </rv>
  <rv s="0">
    <fb>341</fb>
    <v>1</v>
  </rv>
  <rv s="0">
    <fb>140.80000000000001</fb>
    <v>1</v>
  </rv>
  <rv s="0">
    <fb>372.8</fb>
    <v>1</v>
  </rv>
  <rv s="0">
    <fb>255.4</fb>
    <v>1</v>
  </rv>
  <rv s="0">
    <fb>12.39</fb>
    <v>1</v>
  </rv>
  <rv s="0">
    <fb>114.03</fb>
    <v>1</v>
  </rv>
  <rv s="0">
    <fb>60.65</fb>
    <v>1</v>
  </rv>
  <rv s="0">
    <fb>46084</fb>
    <v>0</v>
  </rv>
  <rv s="0">
    <fb>155.13999999999999</fb>
    <v>1</v>
  </rv>
  <rv s="0">
    <fb>170.62</fb>
    <v>1</v>
  </rv>
  <rv s="0">
    <fb>179.68</fb>
    <v>1</v>
  </rv>
  <rv s="0">
    <fb>347.5</fb>
    <v>1</v>
  </rv>
  <rv s="0">
    <fb>137.22</fb>
    <v>1</v>
  </rv>
  <rv s="0">
    <fb>379.5</fb>
    <v>1</v>
  </rv>
  <rv s="0">
    <fb>12.12</fb>
    <v>1</v>
  </rv>
  <rv s="0">
    <fb>113.575</fb>
    <v>1</v>
  </rv>
  <rv s="0">
    <fb>59.08</fb>
    <v>1</v>
  </rv>
  <rv s="0">
    <fb>46085</fb>
    <v>0</v>
  </rv>
  <rv s="0">
    <fb>157.26</fb>
    <v>1</v>
  </rv>
  <rv s="0">
    <fb>310</fb>
    <v>1</v>
  </rv>
  <rv s="0">
    <fb>276.39999999999998</fb>
    <v>1</v>
  </rv>
  <rv s="0">
    <fb>168.62</fb>
    <v>1</v>
  </rv>
  <rv s="0">
    <fb>185.88</fb>
    <v>1</v>
  </rv>
  <rv s="0">
    <fb>136.4</fb>
    <v>1</v>
  </rv>
  <rv s="0">
    <fb>349.7</fb>
    <v>1</v>
  </rv>
  <rv s="0">
    <fb>135.9</fb>
    <v>1</v>
  </rv>
  <rv s="0">
    <fb>385</fb>
    <v>1</v>
  </rv>
  <rv s="0">
    <fb>275.39999999999998</fb>
    <v>1</v>
  </rv>
  <rv s="0">
    <fb>256.60000000000002</fb>
    <v>1</v>
  </rv>
  <rv s="0">
    <fb>10.52</fb>
    <v>1</v>
  </rv>
  <rv s="0">
    <fb>463.2</fb>
    <v>1</v>
  </rv>
  <rv s="0">
    <fb>113.83</fb>
    <v>1</v>
  </rv>
  <rv s="0">
    <fb>59.58</fb>
    <v>1</v>
  </rv>
  <rv s="0">
    <fb>46086</fb>
    <v>0</v>
  </rv>
  <rv s="0">
    <fb>155.82</fb>
    <v>1</v>
  </rv>
  <rv s="0">
    <fb>274.8</fb>
    <v>1</v>
  </rv>
  <rv s="0">
    <fb>174.92</fb>
    <v>1</v>
  </rv>
  <rv s="0">
    <fb>188.3</fb>
    <v>1</v>
  </rv>
  <rv s="0">
    <fb>143.69999999999999</fb>
    <v>1</v>
  </rv>
  <rv s="0">
    <fb>353</fb>
    <v>1</v>
  </rv>
  <rv s="0">
    <fb>385.6</fb>
    <v>1</v>
  </rv>
  <rv s="0">
    <fb>288.7</fb>
    <v>1</v>
  </rv>
  <rv s="0">
    <fb>473.15</fb>
    <v>1</v>
  </rv>
  <rv s="0">
    <fb>111.105</fb>
    <v>1</v>
  </rv>
  <rv s="0">
    <fb>112.645</fb>
    <v>1</v>
  </rv>
  <rv s="0">
    <fb>58.08</fb>
    <v>1</v>
  </rv>
  <rv s="0">
    <fb>46087</fb>
    <v>0</v>
  </rv>
  <rv s="0">
    <fb>153</fb>
    <v>1</v>
  </rv>
  <rv s="0">
    <fb>271.10000000000002</fb>
    <v>1</v>
  </rv>
  <rv s="0">
    <fb>172.5</fb>
    <v>1</v>
  </rv>
  <rv s="0">
    <fb>183.16</fb>
    <v>1</v>
  </rv>
  <rv s="0">
    <fb>143.35</fb>
    <v>1</v>
  </rv>
  <rv s="0">
    <fb>352.05</fb>
    <v>1</v>
  </rv>
  <rv s="0">
    <fb>390.7</fb>
    <v>1</v>
  </rv>
  <rv s="0">
    <fb>10.435</fb>
    <v>1</v>
  </rv>
  <rv s="0">
    <fb>477.55</fb>
    <v>1</v>
  </rv>
  <rv s="0">
    <fb>110.505</fb>
    <v>1</v>
  </rv>
  <rv s="0">
    <fb>113.855</fb>
    <v>1</v>
  </rv>
  <rv s="0">
    <fb>58.04</fb>
    <v>1</v>
  </rv>
  <rv s="0">
    <fb>46090</fb>
    <v>0</v>
  </rv>
  <rv s="0">
    <fb>156.63999999999999</fb>
    <v>1</v>
  </rv>
  <rv s="0">
    <fb>302.5</fb>
    <v>1</v>
  </rv>
  <rv s="0">
    <fb>269.7</fb>
    <v>1</v>
  </rv>
  <rv s="0">
    <fb>169.06</fb>
    <v>1</v>
  </rv>
  <rv s="0">
    <fb>182.54</fb>
    <v>1</v>
  </rv>
  <rv s="0">
    <fb>131.5</fb>
    <v>1</v>
  </rv>
  <rv s="0">
    <fb>352.6</fb>
    <v>1</v>
  </rv>
  <rv s="0">
    <fb>133.86000000000001</fb>
    <v>1</v>
  </rv>
  <rv s="0">
    <fb>383.65</fb>
    <v>1</v>
  </rv>
  <rv s="0">
    <fb>296.95</fb>
    <v>1</v>
  </rv>
  <rv s="0">
    <fb>245.9</fb>
    <v>1</v>
  </rv>
  <rv s="0">
    <fb>10.77</fb>
    <v>1</v>
  </rv>
  <rv s="0">
    <fb>475.45</fb>
    <v>1</v>
  </rv>
  <rv s="0">
    <fb>110.93</fb>
    <v>1</v>
  </rv>
  <rv s="0">
    <fb>113.245</fb>
    <v>1</v>
  </rv>
  <rv s="0">
    <fb>58.15</fb>
    <v>1</v>
  </rv>
  <rv s="0">
    <fb>46091</fb>
    <v>0</v>
  </rv>
  <rv s="0">
    <fb>159.38</fb>
    <v>1</v>
  </rv>
  <rv s="0">
    <fb>300.5</fb>
    <v>1</v>
  </rv>
  <rv s="0">
    <fb>168.26</fb>
    <v>1</v>
  </rv>
  <rv s="0">
    <fb>139.75</fb>
    <v>1</v>
  </rv>
  <rv s="0">
    <fb>349.15</fb>
    <v>1</v>
  </rv>
  <rv s="0">
    <fb>134.78</fb>
    <v>1</v>
  </rv>
  <rv s="0">
    <fb>377.9</fb>
    <v>1</v>
  </rv>
  <rv s="0">
    <fb>10.62</fb>
    <v>1</v>
  </rv>
  <rv s="0">
    <fb>112.02</fb>
    <v>1</v>
  </rv>
  <rv s="0">
    <fb>58.53</fb>
    <v>1</v>
  </rv>
  <rv s="0">
    <fb>46092</fb>
    <v>0</v>
  </rv>
  <rv s="0">
    <fb>166.82</fb>
    <v>1</v>
  </rv>
  <rv s="0">
    <fb>183.38</fb>
    <v>1</v>
  </rv>
  <rv s="0">
    <fb>141.35</fb>
    <v>1</v>
  </rv>
  <rv s="0">
    <fb>349.65</fb>
    <v>1</v>
  </rv>
  <rv s="0">
    <fb>132.38</fb>
    <v>1</v>
  </rv>
  <rv s="0">
    <fb>372.35</fb>
    <v>1</v>
  </rv>
  <rv s="0">
    <fb>295.3</fb>
    <v>1</v>
  </rv>
  <rv s="0">
    <fb>10.395</fb>
    <v>1</v>
  </rv>
  <rv s="0">
    <fb>448.65</fb>
    <v>1</v>
  </rv>
  <rv s="0">
    <fb>110.94</fb>
    <v>1</v>
  </rv>
  <rv s="0">
    <fb>111.44</fb>
    <v>1</v>
  </rv>
  <rv s="0">
    <fb>58.62</fb>
    <v>1</v>
  </rv>
  <rv s="0">
    <fb>46093</fb>
    <v>0</v>
  </rv>
  <rv s="0">
    <fb>158.94</fb>
    <v>1</v>
  </rv>
  <rv s="0">
    <fb>294</fb>
    <v>1</v>
  </rv>
  <rv s="0">
    <fb>172.08</fb>
    <v>1</v>
  </rv>
  <rv s="0">
    <fb>182.48</fb>
    <v>1</v>
  </rv>
  <rv s="0">
    <fb>139.05000000000001</fb>
    <v>1</v>
  </rv>
  <rv s="0">
    <fb>349.75</fb>
    <v>1</v>
  </rv>
  <rv s="0">
    <fb>366.35</fb>
    <v>1</v>
  </rv>
  <rv s="0">
    <fb>293.10000000000002</fb>
    <v>1</v>
  </rv>
  <rv s="0">
    <fb>244.55</fb>
    <v>1</v>
  </rv>
  <rv s="0">
    <fb>110.27500000000001</fb>
    <v>1</v>
  </rv>
  <rv s="0">
    <fb>113.01</fb>
    <v>1</v>
  </rv>
  <rv s="0">
    <fb>46094</fb>
    <v>0</v>
  </rv>
  <rv s="0">
    <fb>157.9</fb>
    <v>1</v>
  </rv>
  <rv s="0">
    <fb>297.5</fb>
    <v>1</v>
  </rv>
  <rv s="0">
    <fb>173.3</fb>
    <v>1</v>
  </rv>
  <rv s="0">
    <fb>181.36</fb>
    <v>1</v>
  </rv>
  <rv s="0">
    <fb>137.6</fb>
    <v>1</v>
  </rv>
  <rv s="0">
    <fb>345.85</fb>
    <v>1</v>
  </rv>
  <rv s="0">
    <fb>132.04</fb>
    <v>1</v>
  </rv>
  <rv s="0">
    <fb>362.4</fb>
    <v>1</v>
  </rv>
  <rv s="0">
    <fb>96.5</fb>
    <v>1</v>
  </rv>
  <rv s="0">
    <fb>248.45</fb>
    <v>1</v>
  </rv>
  <rv s="0">
    <fb>9.0180000000000007</fb>
    <v>1</v>
  </rv>
  <rv s="0">
    <fb>448.75</fb>
    <v>1</v>
  </rv>
  <rv s="0">
    <fb>110.235</fb>
    <v>1</v>
  </rv>
  <rv s="0">
    <fb>112.6</fb>
    <v>1</v>
  </rv>
  <rv s="0">
    <fb>57.51</fb>
    <v>1</v>
  </rv>
  <rv s="0">
    <fb>46097</fb>
    <v>0</v>
  </rv>
  <rv s="0">
    <fb>158.74</fb>
    <v>1</v>
  </rv>
  <rv s="0">
    <fb>296</fb>
    <v>1</v>
  </rv>
  <rv s="0">
    <fb>269.64999999999998</fb>
    <v>1</v>
  </rv>
  <rv s="0">
    <fb>172.72</fb>
    <v>1</v>
  </rv>
  <rv s="0">
    <fb>184.38</fb>
    <v>1</v>
  </rv>
  <rv s="0">
    <fb>347.15</fb>
    <v>1</v>
  </rv>
  <rv s="0">
    <fb>131.74</fb>
    <v>1</v>
  </rv>
  <rv s="0">
    <fb>284.55</fb>
    <v>1</v>
  </rv>
  <rv s="0">
    <fb>8.06</fb>
    <v>1</v>
  </rv>
  <rv s="0">
    <fb>453.2</fb>
    <v>1</v>
  </rv>
  <rv s="0">
    <fb>110.55500000000001</fb>
    <v>1</v>
  </rv>
  <rv s="0">
    <fb>112.06</fb>
    <v>1</v>
  </rv>
  <rv s="0">
    <fb>57.9</fb>
    <v>1</v>
  </rv>
  <rv s="0">
    <fb>46098</fb>
    <v>0</v>
  </rv>
  <rv s="0">
    <fb>157.76</fb>
    <v>1</v>
  </rv>
  <rv s="0">
    <fb>185.92</fb>
    <v>1</v>
  </rv>
  <rv s="0">
    <fb>346.3</fb>
    <v>1</v>
  </rv>
  <rv s="0">
    <fb>131.44</fb>
    <v>1</v>
  </rv>
  <rv s="0">
    <fb>372.6</fb>
    <v>1</v>
  </rv>
  <rv s="0">
    <fb>276.10000000000002</fb>
    <v>1</v>
  </rv>
  <rv s="0">
    <fb>8.0679999999999996</fb>
    <v>1</v>
  </rv>
  <rv s="0">
    <fb>110.545</fb>
    <v>1</v>
  </rv>
  <rv s="0">
    <fb>58.09</fb>
    <v>1</v>
  </rv>
  <rv s="0">
    <fb>46099</fb>
    <v>0</v>
  </rv>
  <rv s="0">
    <fb>157.34</fb>
    <v>1</v>
  </rv>
  <rv s="0">
    <fb>168.16</fb>
    <v>1</v>
  </rv>
  <rv s="0">
    <fb>341.7</fb>
    <v>1</v>
  </rv>
  <rv s="0">
    <fb>128.04</fb>
    <v>1</v>
  </rv>
  <rv s="0">
    <fb>380</fb>
    <v>1</v>
  </rv>
  <rv s="0">
    <fb>8.032</fb>
    <v>1</v>
  </rv>
  <rv s="0">
    <fb>448.35</fb>
    <v>1</v>
  </rv>
  <rv s="0">
    <fb>112.15</fb>
    <v>1</v>
  </rv>
  <rv s="0">
    <fb>57.71</fb>
    <v>1</v>
  </rv>
  <rv s="0">
    <fb>46100</fb>
    <v>0</v>
  </rv>
  <rv s="0">
    <fb>154.46</fb>
    <v>1</v>
  </rv>
  <rv s="0">
    <fb>167.42</fb>
    <v>1</v>
  </rv>
  <rv s="0">
    <fb>180.62</fb>
    <v>1</v>
  </rv>
  <rv s="0">
    <fb>336.3</fb>
    <v>1</v>
  </rv>
  <rv s="0">
    <fb>125.76</fb>
    <v>1</v>
  </rv>
  <rv s="0">
    <fb>368.85</fb>
    <v>1</v>
  </rv>
  <rv s="0">
    <fb>276.7</fb>
    <v>1</v>
  </rv>
  <rv s="0">
    <fb>248.1</fb>
    <v>1</v>
  </rv>
  <rv s="0">
    <fb>8.3699999999999992</fb>
    <v>1</v>
  </rv>
  <rv s="0">
    <fb>423.95</fb>
    <v>1</v>
  </rv>
  <rv s="0">
    <fb>107.85</fb>
    <v>1</v>
  </rv>
  <rv s="0">
    <fb>56.53</fb>
    <v>1</v>
  </rv>
  <rv s="0">
    <fb>46101</fb>
    <v>0</v>
  </rv>
  <rv s="0">
    <fb>150.5</fb>
    <v>1</v>
  </rv>
  <rv s="0">
    <fb>260.55</fb>
    <v>1</v>
  </rv>
  <rv s="0">
    <fb>167.6</fb>
    <v>1</v>
  </rv>
  <rv s="0">
    <fb>127.95</fb>
    <v>1</v>
  </rv>
  <rv s="0">
    <fb>330.7</fb>
    <v>1</v>
  </rv>
  <rv s="0">
    <fb>125</fb>
    <v>1</v>
  </rv>
  <rv s="0">
    <fb>365</fb>
    <v>1</v>
  </rv>
  <rv s="0">
    <fb>274.35000000000002</fb>
    <v>1</v>
  </rv>
  <rv s="0">
    <fb>249.35</fb>
    <v>1</v>
  </rv>
  <rv s="0">
    <fb>8.4</fb>
    <v>1</v>
  </rv>
  <rv s="0">
    <fb>417.25</fb>
    <v>1</v>
  </rv>
  <rv s="0">
    <fb>106.67</fb>
    <v>1</v>
  </rv>
  <rv s="0">
    <fb>111.73</fb>
    <v>1</v>
  </rv>
  <rv s="0">
    <fb>46104</fb>
    <v>0</v>
  </rv>
  <rv s="0">
    <fb>151.19999999999999</fb>
    <v>1</v>
  </rv>
  <rv s="0">
    <fb>262.10000000000002</fb>
    <v>1</v>
  </rv>
  <rv s="0">
    <fb>181.64</fb>
    <v>1</v>
  </rv>
  <rv s="0">
    <fb>131.25</fb>
    <v>1</v>
  </rv>
  <rv s="0">
    <fb>370.3</fb>
    <v>1</v>
  </rv>
  <rv s="0">
    <fb>99.5</fb>
    <v>1</v>
  </rv>
  <rv s="0">
    <fb>251.05</fb>
    <v>1</v>
  </rv>
  <rv s="0">
    <fb>8.7439999999999998</fb>
    <v>1</v>
  </rv>
  <rv s="0">
    <fb>422.45</fb>
    <v>1</v>
  </rv>
  <rv s="0">
    <fb>56.63</fb>
    <v>1</v>
  </rv>
  <rv s="0">
    <fb>46105</fb>
    <v>0</v>
  </rv>
  <rv s="0">
    <fb>152.54</fb>
    <v>1</v>
  </rv>
  <rv s="0">
    <fb>296.5</fb>
    <v>1</v>
  </rv>
  <rv s="0">
    <fb>179.28</fb>
    <v>1</v>
  </rv>
  <rv s="0">
    <fb>130.25</fb>
    <v>1</v>
  </rv>
  <rv s="0">
    <fb>123.86</fb>
    <v>1</v>
  </rv>
  <rv s="0">
    <fb>353.8</fb>
    <v>1</v>
  </rv>
  <rv s="0">
    <fb>425.55</fb>
    <v>1</v>
  </rv>
  <rv s="0">
    <fb>107.535</fb>
    <v>1</v>
  </rv>
  <rv s="0">
    <fb>108.77</fb>
    <v>1</v>
  </rv>
  <rv s="0">
    <fb>56.21</fb>
    <v>1</v>
  </rv>
  <rv s="0">
    <fb>109.185</fb>
    <v>1</v>
  </rv>
  <rv s="0">
    <fb>109.22499999999999</fb>
    <v>1</v>
  </rv>
  <rv s="2">
    <v>https://www.bing.com/financeapi/forcetrigger?t=afsc1h&amp;q=XETR%3aIES&amp;form=skydnc</v>
    <v>Learn more on Bing</v>
  </rv>
  <rv s="3">
    <v>it-IT</v>
    <v>afsc1h</v>
    <v>268435456</v>
    <v>1</v>
    <v>Con tecnologia Refinitiv</v>
    <v>2</v>
    <v>3</v>
    <v>Intesa Sanpaolo SpA (XETR:IES)</v>
    <v>5</v>
    <v>6</v>
    <v>Finance</v>
    <v>7</v>
    <v>5.19</v>
    <v>17413390000</v>
    <v>1.2023999999999999</v>
    <v>104306200000</v>
    <v>5.0750000000000002</v>
    <v>Intesa Sanpaolo Spa è una società bancaria con sede in Italia. La società opera in sei segmenti di business: Banca dei territori, IMI Corporate &amp; Investment Banking, banche controllate internazionali, Asset Management, Private Banking e assicurazioni. Banca dei territori comprende le attività tradizionali di prestito e raccolta di depositi in Italia e i relativi servizi finanziari. IMI Corporate &amp; Investment Banking copre corporate banking, investment banking e finanza pubblica in Italia e all'estero. Le banche sussidiarie internazionali controllano le operazioni commerciali della società sui mercati internazionali attraverso società controllate e collegate di banche commerciali. Private Banking fornisce prodotti e servizi specifici a privati e persone con un elevato patrimonio netto. Asset Management sviluppa soluzioni di gestione delle risorse. L'attività assicurativa sorveglia la gestione delle controllate intesa Sanpaolo vita S.p.A. e Fideuram vita S.p.A. e sviluppa un mix di prodotti assicurativi. La Banca è presente a livello globale.</v>
    <v>90679</v>
    <v>Xetra</v>
    <v>XETR</v>
    <v>4557</v>
    <v>5.2130000000000001</v>
    <v>6.1580000000000004</v>
    <v>5.1459999999999999</v>
    <v>3.4740000000000002</v>
    <v>Intesa Sanpaolo SpA</v>
    <v>Intesa Sanpaolo SpA</v>
    <v>46106.856342592589</v>
    <v>9.7951999999999995</v>
    <v>5.165</v>
    <v>via Monte di Pieta, 8, MILANO, MILANO, 20121 IT</v>
    <v>Banking Services</v>
    <v>XETR</v>
    <v>IES</v>
    <v>Azionario</v>
    <v>Intesa Sanpaolo SpA (XETR:IES)</v>
    <v>EUR</v>
    <v>0.09</v>
    <v>1.7734E-2</v>
    <v>133669</v>
    <v>68560560</v>
  </rv>
  <rv s="4">
    <v>4558</v>
  </rv>
  <rv s="2">
    <v>https://www.bing.com/financeapi/forcetrigger?t=afrlmw&amp;q=XETR%3aENL&amp;form=skydnc</v>
    <v>Learn more on Bing</v>
  </rv>
  <rv s="5">
    <v>it-IT</v>
    <v>afrlmw</v>
    <v>268435456</v>
    <v>1</v>
    <v>Con tecnologia Refinitiv</v>
    <v>8</v>
    <v>9</v>
    <v>ENEL - SPA (XETR:ENL)</v>
    <v>5</v>
    <v>10</v>
    <v>Finance</v>
    <v>7</v>
    <v>1989</v>
    <v>9.2959999999999994</v>
    <v>10166680000</v>
    <v>0.78110000000000002</v>
    <v>93228450000</v>
    <v>9.2059999999999995</v>
    <v>Enel Spa è una multinazionale con sede in Italia, attiva principalmente nel segmento della distribuzione di energia elettrica e operatore integrato nei mercati globali dell'energia, del gas e delle energie rinnovabili. L'azienda è attiva in Europa ed è presente in più di 30 paesi, producendo energia con oltre 68 gigawatt (GW) di capacità installata. Enel distribuisce energia elettrica attraverso una rete di oltre 2,2 milioni di chilometri, fornendo oltre 70 milioni di utenti finali aziendali e domestici a livello globale. Enel Green Power fornisce energia a centrali eoliche, solari, geotermiche e idroelettriche installate in Europa, nelle Americhe, in Africa, Asia e Oceania. Enel X è la linea di business globale di Enel che si concentra su prodotti e servizi connessi all'energia, tra cui sistemi di distribuzione e batterie, illuminazione intelligente, energia e mobilità elettrica.</v>
    <v>61192</v>
    <v>Xetra</v>
    <v>XETR</v>
    <v>4560</v>
    <v>9.3650000000000002</v>
    <v>10.295999999999999</v>
    <v>9.2680000000000007</v>
    <v>6.7389999999999999</v>
    <v>ENEL - SPA</v>
    <v>ENEL - SPA</v>
    <v>46106.856354166666</v>
    <v>15.381399999999999</v>
    <v>9.2949999999999999</v>
    <v>Viale Regina Margherita, 137, ROMA, ROMA, 00198 IT</v>
    <v>Electrical Utilities &amp; IPPs</v>
    <v>XETR</v>
    <v>ENL</v>
    <v>Azionario</v>
    <v>ENEL - SPA (XETR:ENL)</v>
    <v>EUR</v>
    <v>8.8999999999999996E-2</v>
    <v>9.6679999999999995E-3</v>
    <v>16856</v>
    <v>31785880</v>
  </rv>
  <rv s="4">
    <v>4561</v>
  </rv>
  <rv s="2">
    <v>https://www.bing.com/financeapi/forcetrigger?t=aftekr&amp;q=XETR%3aPFE&amp;form=skydnc</v>
    <v>Learn more on Bing</v>
  </rv>
  <rv s="5">
    <v>it-IT</v>
    <v>aftekr</v>
    <v>268435456</v>
    <v>1</v>
    <v>Con tecnologia Refinitiv</v>
    <v>8</v>
    <v>9</v>
    <v>PFIZER INC. (XETR:PFE)</v>
    <v>5</v>
    <v>11</v>
    <v>Finance</v>
    <v>7</v>
    <v>1942</v>
    <v>23.33</v>
    <v>5688356000</v>
    <v>0.41089999999999999</v>
    <v>142995500000</v>
    <v>23.38</v>
    <v>Pfizer Inc. È un'azienda biofarmaceutica globale basata sulla ricerca. L'azienda è impegnata nella scoperta, sviluppo, produzione, commercializzazione, vendita e distribuzione di prodotti biofarmaceutici in tutto il mondo. Il segmento Biopharma comprende la Pfizer U.S. Commercial Division e la Pfizer International Commercial Division. Le sue categorie di prodotti includono oncologia, cure primarie e cure specialistiche. I suoi prodotti oncologici includono Ibrance, Xtandi, Padcev, Adcetris, Inlyta, Lorbrena, Bosulif, Tukysa, Braftovi, Mektovi, Orgovyx, Elrexfio, Tivdak e Talzenna. Tra i suoi prodotti primari figurano Eliquis, Nurtec ODT/Vydura, Zavzpret, la famiglia Prevnar, Comirnaty, Abrysvo, FSME/IMMUN-TicoVac, Nimenrix, Trumenba e Paxlovid. I suoi prodotti speciali per la cura includono Xeljanz, Enbrel (al di fuori degli Stati Uniti e del Canada), Inflectra, Abrilada, Cibinqo, Litfulo, Eucrisa, Velsipity, famiglia Vyndaqel, Genotropina, BeneFIX, Xyntha, SOMAVERT, Ngenla, Hympavzi, Sulperazon, Zavicefta, Octagam e altri.</v>
    <v>75000</v>
    <v>Xetra</v>
    <v>XETR</v>
    <v>4563</v>
    <v>23.745000000000001</v>
    <v>24.26</v>
    <v>23.29</v>
    <v>18.57</v>
    <v>PFIZER INC.</v>
    <v>PFIZER INC.</v>
    <v>46106.850960648146</v>
    <v>20.538799999999998</v>
    <v>23.71</v>
    <v>66 HUDSON BOULEVARD EAST, NEW YORK, NY, 10001-2192 US</v>
    <v>Pharmaceuticals</v>
    <v>XETR</v>
    <v>PFE</v>
    <v>Azionario</v>
    <v>PFIZER INC. (XETR:PFE)</v>
    <v>EUR</v>
    <v>0.33</v>
    <v>1.4114999999999999E-2</v>
    <v>29222</v>
    <v>44279670</v>
  </rv>
  <rv s="4">
    <v>4564</v>
  </rv>
  <rv s="2">
    <v>https://www.bing.com/financeapi/forcetrigger?t=afqpjc&amp;q=XETR%3aBNP&amp;form=skydnc</v>
    <v>Learn more on Bing</v>
  </rv>
  <rv s="5">
    <v>it-IT</v>
    <v>afqpjc</v>
    <v>268435456</v>
    <v>1</v>
    <v>Con tecnologia Refinitiv</v>
    <v>8</v>
    <v>9</v>
    <v>BNP Paribas SA (XETR:BNP)</v>
    <v>5</v>
    <v>10</v>
    <v>Finance</v>
    <v>7</v>
    <v>1966</v>
    <v>84.6</v>
    <v>1101601000</v>
    <v>1.1617999999999999</v>
    <v>97048590000</v>
    <v>83.02</v>
    <v>BNP Paribas SA è un istituto bancario internazionale con sede in Francia. La società organizza le proprie attività in tre settori principali: Corporate and Institutional Banking (CIB), Commercial, Personal Banking and Services (CPBS) e Investment and Protection Services (IPS). CIB include Global Banking, Global Markets e Securities Services. Il CPBS copre le attività bancarie commerciali e personali in Francia, Belgio, Italia, Lussemburgo e in Europa-mediterraneo, offre anche attività specializzate, con Arval e leasing Solutions, BNP Paribas Personal Finance e nuove imprese digitali e investitori personali. IPS fornisce servizi quali gestione patrimoniale, gestione patrimoniale, immobiliare e investimenti principali.</v>
    <v>177990</v>
    <v>Xetra</v>
    <v>XETR</v>
    <v>4566</v>
    <v>84.89</v>
    <v>97.25</v>
    <v>83.78</v>
    <v>61.28</v>
    <v>BNP Paribas SA</v>
    <v>BNP Paribas SA</v>
    <v>46106.856342592589</v>
    <v>8.2119999999999997</v>
    <v>84.24</v>
    <v>16 Boulevard Des Italiens, Paris 9, PARIS, ILE-DE-FRANCE, 75009 FR</v>
    <v>Banking Services</v>
    <v>XETR</v>
    <v>BNP</v>
    <v>Azionario</v>
    <v>BNP Paribas SA (XETR:BNP)</v>
    <v>EUR</v>
    <v>1.22</v>
    <v>1.4695E-2</v>
    <v>12081</v>
    <v>3246020</v>
  </rv>
  <rv s="4">
    <v>4567</v>
  </rv>
  <rv s="2">
    <v>https://www.bing.com/financeapi/forcetrigger?t=bn8xlh&amp;q=XETR%3aPRG&amp;form=skydnc</v>
    <v>Learn more on Bing</v>
  </rv>
  <rv s="5">
    <v>it-IT</v>
    <v>bn8xlh</v>
    <v>268435456</v>
    <v>1</v>
    <v>Con tecnologia Refinitiv</v>
    <v>8</v>
    <v>9</v>
    <v>THE PROCTER &amp; GAMBLE COMPANY (XETR:PRG)</v>
    <v>5</v>
    <v>11</v>
    <v>Finance</v>
    <v>7</v>
    <v>1905</v>
    <v>124.6</v>
    <v>2324001000</v>
    <v>0.40379999999999999</v>
    <v>337050400000</v>
    <v>124.52</v>
    <v>The Procter &amp; Gamble Company si concentra sulla fornitura di prodotti di consumo confezionati con marchio ai consumatori di tutto il mondo. I segmenti dell'azienda includono bellezza, cura del corpo, assistenza sanitaria, cura della casa e dei tessuti e cura del bambino, della donna e della famiglia. I prodotti della società sono venduti in circa 180 paesi e territori principalmente attraverso i commercianti di massa, il commercio elettronico, compresi i canali di commercio sociale, i negozi di alimentari, i negozi dei club associativi, i negozi di droga, i grandi magazzini, distributori, grossisti, negozi di bellezza specializzati, compresi i negozi duty free dell'aeroporto), negozi ad alta frequenza, farmacie, negozi di elettronica e canali professionali. Vende anche direttamente ai singoli consumatori. Opera in circa 70 paesi. Offre prodotti di marchi come Head &amp; Shoulders, Herbal Essences, Pantene, Rejoice, Olay, Old Spice, Safeguard, Secret, SK-II, Braun, Gillette, Venere, Crest, Oral-B, Ariel, downy, Gain, Tide, Always, Always, Always discreto, Tampax, Bounty e altri.</v>
    <v>109000</v>
    <v>Xetra</v>
    <v>XETR</v>
    <v>4569</v>
    <v>124.6</v>
    <v>158.47999999999999</v>
    <v>123</v>
    <v>118.22</v>
    <v>THE PROCTER &amp; GAMBLE COMPANY</v>
    <v>THE PROCTER &amp; GAMBLE COMPANY</v>
    <v>46106.853206018517</v>
    <v>21.5656</v>
    <v>123.92</v>
    <v>One Procter &amp; Gamble Plaza, CINCINNATI, OH, 45202 US</v>
    <v>Personal &amp; Household Products &amp; Services</v>
    <v>XETR</v>
    <v>PRG</v>
    <v>Azionario</v>
    <v>THE PROCTER &amp; GAMBLE COMPANY (XETR:PRG)</v>
    <v>EUR</v>
    <v>-0.6</v>
    <v>-4.8190000000000004E-3</v>
    <v>2612</v>
    <v>13764090</v>
  </rv>
  <rv s="4">
    <v>4570</v>
  </rv>
  <rv s="2">
    <v>https://www.bing.com/financeapi/forcetrigger?t=aft7sm&amp;q=XETR%3aNVD&amp;form=skydnc</v>
    <v>Learn more on Bing</v>
  </rv>
  <rv s="5">
    <v>it-IT</v>
    <v>aft7sm</v>
    <v>268435456</v>
    <v>1</v>
    <v>Con tecnologia Refinitiv</v>
    <v>8</v>
    <v>9</v>
    <v>NVIDIA CORPORATION (XETR:NVD)</v>
    <v>5</v>
    <v>11</v>
    <v>Finance</v>
    <v>7</v>
    <v>1998</v>
    <v>152.82</v>
    <v>24300000000</v>
    <v>2.3397000000000001</v>
    <v>4515183000000</v>
    <v>151.02000000000001</v>
    <v>NVIDIA Corporation è un'azienda di infrastrutture informatiche full-stack. L'azienda è impegnata nel computing accelerato per aiutare a risolvere i problemi computazionali più complessi. I segmenti dell'azienda includono computing, networking e grafica. Il segmento Compute &amp; Networking include le sue piattaforme informatiche accelerate per data center e soluzioni e software di intelligenza artificiale (ai); networking; piattaforme automobilistiche e soluzioni per veicoli elettrici ed autonomi; Jetson per robotica e altre piattaforme embedded e servizi di cloud computing DGX. Il segmento della grafica include GPU GeForce per giochi e PC, il servizio di streaming di giochi GeForce e la relativa infrastruttura, e soluzioni per piattaforme di gioco; GPU quadro/NVIDIA RTX per la grafica di workstation aziendali; software GPU virtuale per il computing virtuale e visivo basato su cloud; piattaforme automobilistiche per sistemi di infotainment e software Omniverse Enterprise per la costruzione e il funzionamento di IA industriale e applicazioni gemelle digitali.</v>
    <v>42000</v>
    <v>Xetra</v>
    <v>XETR</v>
    <v>4572</v>
    <v>156.44</v>
    <v>182.3</v>
    <v>152.69999999999999</v>
    <v>75.400000000000006</v>
    <v>NVIDIA CORPORATION</v>
    <v>NVIDIA CORPORATION</v>
    <v>46106.856273148151</v>
    <v>37.376100000000001</v>
    <v>154.91999999999999</v>
    <v>2788 San Tomas Expressway, SANTA CLARA, CA, 95051 US</v>
    <v>Semiconductors &amp; Semiconductor Equipment</v>
    <v>XETR</v>
    <v>NVD</v>
    <v>Azionario</v>
    <v>NVIDIA CORPORATION (XETR:NVD)</v>
    <v>EUR</v>
    <v>3.9</v>
    <v>2.5824E-2</v>
    <v>79672</v>
    <v>176131590</v>
  </rv>
  <rv s="4">
    <v>4573</v>
  </rv>
  <rv s="2">
    <v>https://www.bing.com/financeapi/forcetrigger?t=afqjw7&amp;q=XETR%3aAMZ&amp;form=skydnc</v>
    <v>Learn more on Bing</v>
  </rv>
  <rv s="5">
    <v>it-IT</v>
    <v>afqjw7</v>
    <v>268435456</v>
    <v>1</v>
    <v>Con tecnologia Refinitiv</v>
    <v>8</v>
    <v>9</v>
    <v>AMAZON.COM, INC. (XETR:AMZ)</v>
    <v>5</v>
    <v>11</v>
    <v>Finance</v>
    <v>7</v>
    <v>1996</v>
    <v>180.72</v>
    <v>10734920000</v>
    <v>1.3909</v>
    <v>2593447000000</v>
    <v>179.3</v>
    <v>Amazon.com, Inc. Fornisce una gamma di prodotti e servizi ai clienti. I prodotti offerti attraverso i suoi punti vendita includono prodotti e contenuti acquistati per la rivendita e prodotti offerti da venditori terzi. I segmenti della società comprendono Nord America, International e Amazon Web Services (AWS). Serve i consumatori attraverso i suoi negozi online e fisici e si concentra sulla selezione, il prezzo e la convenienza. I clienti accedono alle proprie offerte tramite i propri siti Web, app mobili, Alexa, dispositivi, streaming, e visitando fisicamente i suoi negozi. Produce e vende anche dispositivi elettronici, tra cui Kindle, Fire tablet, Fire TV, Echo, ring, Blink ed eero, e sviluppa e produce contenuti multimediali. Serve sviluppatori e imprese di tutte le dimensioni, comprese Start-up, agenzie governative e istituzioni accademiche, tramite AWS, che offre una serie di servizi tecnologici on-demand, tra cui elaborazione, storage, database, analisi, e l'apprendimento automatico e altri servizi.</v>
    <v>1576000</v>
    <v>Xetra</v>
    <v>XETR</v>
    <v>4575</v>
    <v>183.92</v>
    <v>225.15</v>
    <v>180.64</v>
    <v>142.6</v>
    <v>AMAZON.COM, INC.</v>
    <v>AMAZON.COM, INC.</v>
    <v>46106.856446759259</v>
    <v>30.042899999999999</v>
    <v>183.46</v>
    <v>410 Terry Avenue North, SEATTLE, WA, 98109 US</v>
    <v>Diversified Retail</v>
    <v>XETR</v>
    <v>AMZ</v>
    <v>Azionario</v>
    <v>AMAZON.COM, INC. (XETR:AMZ)</v>
    <v>EUR</v>
    <v>4.16</v>
    <v>2.3200999999999999E-2</v>
    <v>27837</v>
    <v>41900090</v>
  </rv>
  <rv s="4">
    <v>4576</v>
  </rv>
  <rv s="2">
    <v>https://www.bing.com/financeapi/forcetrigger?t=af715r&amp;q=XFRA%3aCMC&amp;form=skydnc</v>
    <v>Learn more on Bing</v>
  </rv>
  <rv s="5">
    <v>it-IT</v>
    <v>af715r</v>
    <v>268435456</v>
    <v>1</v>
    <v>Con tecnologia Refinitiv</v>
    <v>8</v>
    <v>9</v>
    <v>JPMORGAN CHASE &amp; CO. (XFRA:CMC)</v>
    <v>5</v>
    <v>11</v>
    <v>Finance</v>
    <v>7</v>
    <v>1968</v>
    <v>254.1</v>
    <v>2697032000</v>
    <v>1.0488</v>
    <v>854898500000</v>
    <v>252.7</v>
    <v>JPMorgan Chase &amp; Co. È una holding finanziaria. La società si occupa di servizi bancari di investimento, servizi finanziari per consumatori e piccole imprese, servizi bancari commerciali, elaborazione di transazioni finanziarie e gestione patrimoniale. La società opera in tre segmenti: Consumer &amp; Community Banking (CCB), Commercial &amp; Investment Bank (CIB) e Asset &amp; Wealth Management (AWM). Il segmento CCB offre prodotti e servizi ai consumatori e alle piccole imprese attraverso filiali bancarie, bancomat, servizi bancari digitali e telefonici. Il suo segmento CIB comprende servizi bancari e di pagamento, mercati e titoli e offre una suite di servizi di investment banking, prestiti, pagamenti, market making, finanziamenti, prodotti e servizi di custodia e titoli per una base globale di clienti aziendali e istituzionali. Il segmento AWM offre soluzioni di investimento e gestione patrimoniale. Offre soluzioni per la gestione degli investimenti multi-asset, prodotti e servizi pensionistici, intermediazione, custodia, pianificazione immobiliare e altro ancora.</v>
    <v>318512</v>
    <v>Deutsche Boerse AG</v>
    <v>XFRA</v>
    <v>4578</v>
    <v>255.7</v>
    <v>287.7</v>
    <v>254.1</v>
    <v>73.680000000000007</v>
    <v>JPMORGAN CHASE &amp; CO.</v>
    <v>JPMORGAN CHASE &amp; CO.</v>
    <v>46106.854861111111</v>
    <v>14.973599999999999</v>
    <v>255.15</v>
    <v>270 Park Avenue, NEW YORK, NY, 10017 US</v>
    <v>Banking Services</v>
    <v>XFRA</v>
    <v>CMC</v>
    <v>Azionario</v>
    <v>JPMORGAN CHASE &amp; CO. (XFRA:CMC)</v>
    <v>EUR</v>
    <v>2.4500000000000002</v>
    <v>9.6950000000000005E-3</v>
    <v>951</v>
    <v>11232280</v>
  </rv>
  <rv s="4">
    <v>4579</v>
  </rv>
  <rv s="2">
    <v>https://www.bing.com/financeapi/forcetrigger?t=afq88m&amp;q=XETR%3a3V64&amp;form=skydnc</v>
    <v>Learn more on Bing</v>
  </rv>
  <rv s="5">
    <v>it-IT</v>
    <v>afq88m</v>
    <v>268435456</v>
    <v>1</v>
    <v>Con tecnologia Refinitiv</v>
    <v>8</v>
    <v>9</v>
    <v>VISA INC. (XETR:3V64)</v>
    <v>5</v>
    <v>11</v>
    <v>Finance</v>
    <v>7</v>
    <v>2007</v>
    <v>264.7</v>
    <v>1906009000</v>
    <v>0.79769999999999996</v>
    <v>626984400000</v>
    <v>262.8</v>
    <v>Visa Inc. È un'azienda globale di tecnologia per i pagamenti. Facilita il commercio globale e la circolazione del denaro in più di 200 paesi e territori tra un insieme globale di consumatori, commercianti, istituzioni finanziarie ed enti governativi attraverso le tecnologie. Opera attraverso il segmento dei servizi di pagamento. Fornisce servizi di elaborazione delle transazioni (principalmente autorizzazione, compensazione e regolamento) ai propri istituti finanziari e clienti commerciali attraverso VisaNet, la sua rete proprietaria di elaborazione avanzata delle transazioni. Offre una gamma di prodotti di pagamento a marchio Visa che i suoi clienti, tra cui quasi 14.500 istituti finanziari, utilizzano per sviluppare e offrire soluzioni o servizi di pagamento, tra cui programmi di credito, debito, prepagato e accesso in contanti per i titolari di conti privati, aziendali e governativi. Fornisce inoltre servizi a valore aggiunto ai propri clienti, tra cui soluzioni di emissione, soluzioni di accettazione, soluzioni di rischio e identità, soluzioni bancarie aperte e servizi di consulenza.</v>
    <v>34100</v>
    <v>Xetra</v>
    <v>XETR</v>
    <v>4581</v>
    <v>266.14999999999998</v>
    <v>328.05</v>
    <v>261.2</v>
    <v>250</v>
    <v>VISA INC.</v>
    <v>VISA INC.</v>
    <v>46106.852719907409</v>
    <v>29.095400000000001</v>
    <v>264</v>
    <v>P.O. Box 8999, SAN FRANCISCO, CA, 94128-8999 US</v>
    <v>Professional &amp; Commercial Services</v>
    <v>XETR</v>
    <v>3V64</v>
    <v>Azionario</v>
    <v>VISA INC. (XETR:3V64)</v>
    <v>EUR</v>
    <v>1.2</v>
    <v>4.5659999999999997E-3</v>
    <v>1764</v>
    <v>7360420</v>
  </rv>
  <rv s="4">
    <v>4582</v>
  </rv>
  <rv s="2">
    <v>https://www.bing.com/financeapi/forcetrigger?t=bsg6k2&amp;q=XETR%3a1YD&amp;form=skydnc</v>
    <v>Learn more on Bing</v>
  </rv>
  <rv s="5">
    <v>it-IT</v>
    <v>bsg6k2</v>
    <v>268435456</v>
    <v>1</v>
    <v>Con tecnologia Refinitiv</v>
    <v>8</v>
    <v>9</v>
    <v>BROADCOM INC. (XETR:1YD)</v>
    <v>5</v>
    <v>11</v>
    <v>Finance</v>
    <v>7</v>
    <v>2018</v>
    <v>277.60000000000002</v>
    <v>4734668000</v>
    <v>1.242</v>
    <v>1681303000000</v>
    <v>274.45</v>
    <v>Broadcom Inc. È un'azienda tecnologica globale che progetta, sviluppa e fornisce una gamma di semiconduttori, software aziendale e soluzioni di sicurezza. L'azienda opera in due segmenti: Soluzioni per semiconduttori e software per infrastrutture. Il segmento delle soluzioni per semiconduttori comprende tutte le linee di prodotti e le licenze di proprietà intellettuale (IP). Fornisce una varietà di dispositivi semiconduttori a radiofrequenza, soluzioni di connettività wireless, controller touch personalizzati e soluzioni di ricarica induttiva per applicazioni mobili. Il segmento software per infrastrutture comprende il cloud privato e ibrido, lo sviluppo e la distribuzione di applicazioni, la periferia definita tramite software, il networking e la sicurezza delle applicazioni, il mainframe, le soluzioni distribuite e di cybersicurezza e il business FC SAN. Fornisce un portafoglio di soluzioni software che consentono ai clienti di pianificare, sviluppare, automatizzare, gestire e proteggere le applicazioni su piattaforme mainframe, distribuite, mobili e cloud.</v>
    <v>33000</v>
    <v>Xetra</v>
    <v>XETR</v>
    <v>4584</v>
    <v>279.3</v>
    <v>350.5</v>
    <v>275.39999999999998</v>
    <v>120.02</v>
    <v>BROADCOM INC.</v>
    <v>BROADCOM INC.</v>
    <v>46106.856006944443</v>
    <v>66.834299999999999</v>
    <v>276.39999999999998</v>
    <v>3421 Hillview Avenue, PALO ALTO, CA, 94304 US</v>
    <v>Semiconductors &amp; Semiconductor Equipment</v>
    <v>XETR</v>
    <v>1YD</v>
    <v>Azionario</v>
    <v>BROADCOM INC. (XETR:1YD)</v>
    <v>EUR</v>
    <v>1.95</v>
    <v>7.1050000000000002E-3</v>
    <v>4708</v>
    <v>28568090</v>
  </rv>
  <rv s="4">
    <v>4585</v>
  </rv>
  <rv s="2">
    <v>http://en.wikipedia.org/wiki/Public_domain</v>
    <v>Public domain</v>
  </rv>
  <rv s="2">
    <v>https://en.wikipedia.org/wiki/Microsoft</v>
    <v>Wikipedia</v>
  </rv>
  <rv s="6">
    <v>4587</v>
    <v>4588</v>
  </rv>
  <rv s="7">
    <v>17</v>
    <v>https://www.bing.com/th?id=AMMS_e6e837c7bf3a77408619758b7447855a&amp;qlt=95</v>
    <v>4589</v>
    <v>0</v>
    <v>https://www.bing.com/images/search?form=xlimg&amp;q=microsoft</v>
    <v>Image of MICROSOFT CORPORATION</v>
  </rv>
  <rv s="2">
    <v>https://www.bing.com/financeapi/forcetrigger?t=aft3sm&amp;q=XETR%3aMSF&amp;form=skydnc</v>
    <v>Learn more on Bing</v>
  </rv>
  <rv s="8">
    <v>it-IT</v>
    <v>aft3sm</v>
    <v>268435456</v>
    <v>1</v>
    <v>Con tecnologia Refinitiv</v>
    <v>12</v>
    <v>13</v>
    <v>MICROSOFT CORPORATION (XETR:MSF)</v>
    <v>15</v>
    <v>16</v>
    <v>Finance</v>
    <v>7</v>
    <v>1993</v>
    <v>323.60000000000002</v>
    <v>7425629000</v>
    <v>1.1066</v>
    <v>3498197000000</v>
    <v>322.2</v>
    <v>Microsoft Corporation è un'azienda tecnologica. L'azienda sviluppa e supporta software, servizi, dispositivi e soluzioni. I segmenti dell'azienda includono produttività e processi aziendali, cloud intelligente e altro Personal Computing. Il segmento Productivity and Business Process comprende prodotti e servizi nel suo portafoglio di servizi di produttività, comunicazione e informazione. Questo segmento comprende principalmente: Office Commercial, Office Consumer, LinkedIn e Dynamics Business Solutions. Il segmento Intelligent Cloud è costituito da prodotti server e servizi cloud, tra cui Azure e altri servizi cloud, SQL Server, Windows Server, Visual Studio, System Center, e le relative licenze di accesso client (CAL), Nuance e GitHub; e i servizi aziendali, inclusi i servizi di supporto aziendale, le soluzioni di settore e i servizi professionali Nuance. Il segmento del Personal Computing comprende principalmente Windows, dispositivi, giochi e pubblicità di ricerca e notizie.</v>
    <v>228000</v>
    <v>Xetra</v>
    <v>XETR</v>
    <v>4590</v>
    <v>4591</v>
    <v>327.3</v>
    <v>491.85</v>
    <v>319.8</v>
    <v>301.10000000000002</v>
    <v>MICROSOFT CORPORATION</v>
    <v>MICROSOFT CORPORATION</v>
    <v>46106.85564814815</v>
    <v>23.5929</v>
    <v>321.05</v>
    <v>One Microsoft Way, REDMOND, WA, 98052 US</v>
    <v>Software &amp; IT Services</v>
    <v>XETR</v>
    <v>MSF</v>
    <v>Azionario</v>
    <v>MICROSOFT CORPORATION (XETR:MSF)</v>
    <v>EUR</v>
    <v>-1.1499999999999999</v>
    <v>-3.5690000000000001E-3</v>
    <v>49898</v>
    <v>30790010</v>
  </rv>
  <rv s="4">
    <v>4592</v>
  </rv>
  <rv s="2">
    <v>https://www.bing.com/financeapi/forcetrigger?t=afmifr&amp;q=XFRA%3aTSFA&amp;form=skydnc</v>
    <v>Learn more on Bing</v>
  </rv>
  <rv s="5">
    <v>it-IT</v>
    <v>afmifr</v>
    <v>268435456</v>
    <v>1</v>
    <v>Con tecnologia Refinitiv</v>
    <v>8</v>
    <v>9</v>
    <v>Taiwan Semiconductor Manufacturing Company Limited (XFRA:TSFA)</v>
    <v>5</v>
    <v>11</v>
    <v>Finance</v>
    <v>7</v>
    <v>1987</v>
    <v>296.5</v>
    <v>5186505000</v>
    <v>1.3467</v>
    <v>1405045000000</v>
    <v>296.5</v>
    <v>Taiwan Semiconductor Manufacturing Co., Ltd. è una fonderia di semiconduttori. La Società è impegnata nella produzione, vendita, imballaggio, test e progettazione assistita da computer di circuiti integrati ed altri dispositivi a semiconduttore e produzione di maschere. Opera attraverso il segmento della fonderia. Il segmento della fonderia è impegnato nella produzione, vendita, imballaggio, test e progettazione assistita da computer di circuiti integrati (IC) e altri dispositivi a semiconduttore e produzione di maschere. Opera tre fabbriche di wafer da 12 pollici, quattro fabbriche di wafer da otto pollici, un wafer da sei pollici (fab 2) e due fab a backend (backend avanzato fab 1 e 2). Gestisce anche due fabs da otto pollici presso le sue filiali, WaferTech, LLC negli Stati Uniti e TSMC China Company Limited. Il suo lavoro esplorativo si concentra su transistor e tecnologie, come strutture tridimensionali (3D), semiconduttori complementari a ossido di metallo a strati tesi (CMOS), materiali ad alta mobilità e dispositivi 3D IC.</v>
    <v>52045</v>
    <v>Deutsche Boerse AG</v>
    <v>XFRA</v>
    <v>4594</v>
    <v>301.5</v>
    <v>333</v>
    <v>296.5</v>
    <v>29.82</v>
    <v>Taiwan Semiconductor Manufacturing Company Limited</v>
    <v>Taiwan Semiconductor Manufacturing Company Limited</v>
    <v>46106.852777777778</v>
    <v>33.222200000000001</v>
    <v>299</v>
    <v>No.8, Li-Hsin 6th Road, Hsinchu Science Park, HSINCHU, HSINCHU, 300 TW</v>
    <v>Semiconductors &amp; Semiconductor Equipment</v>
    <v>XFRA</v>
    <v>TSFA</v>
    <v>Azionario</v>
    <v>Taiwan Semiconductor Manufacturing Company Limited (XFRA:TSFA)</v>
    <v>EUR</v>
    <v>2.5</v>
    <v>8.4320000000000003E-3</v>
    <v>1411</v>
    <v>14240200</v>
  </rv>
  <rv s="4">
    <v>4595</v>
  </rv>
  <rv s="2">
    <v>https://www.bing.com/financeapi/forcetrigger?t=afpkm7&amp;q=XFRA%3aYDX&amp;form=skydnc</v>
    <v>Learn more on Bing</v>
  </rv>
  <rv s="9">
    <v>it-IT</v>
    <v>afpkm7</v>
    <v>268435456</v>
    <v>1</v>
    <v>Con tecnologia Refinitiv</v>
    <v>18</v>
    <v>19</v>
    <v>Nebius Group (XFRA:YDX)</v>
    <v>5</v>
    <v>20</v>
    <v>Finance</v>
    <v>7</v>
    <v>2004</v>
    <v>100</v>
    <v>253017000</v>
    <v>-13.254</v>
    <v>26548040000</v>
    <v>100</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Deutsche Boerse AG</v>
    <v>XFRA</v>
    <v>4597</v>
    <v>104</v>
    <v>98.5</v>
    <v>Nebius Group</v>
    <v>Nebius Group</v>
    <v>46106.833333333336</v>
    <v>728.57140000000004</v>
    <v>102</v>
    <v>Schiphol Boulevard 165, SCHIPHOL, NOORD-HOLLAND, 1118BG NL</v>
    <v>Professional &amp; Commercial Services</v>
    <v>XFRA</v>
    <v>YDX</v>
    <v>Azionario</v>
    <v>Nebius Group (XFRA:YDX)</v>
    <v>EUR</v>
    <v>2</v>
    <v>0.02</v>
    <v>221</v>
    <v>24385100</v>
  </rv>
  <rv s="4">
    <v>4598</v>
  </rv>
  <rv s="2">
    <v>https://www.bing.com/financeapi/forcetrigger?t=afrxk2&amp;q=XETR%3aFOO&amp;form=skydnc</v>
    <v>Learn more on Bing</v>
  </rv>
  <rv s="5">
    <v>it-IT</v>
    <v>afrxk2</v>
    <v>268435456</v>
    <v>1</v>
    <v>Con tecnologia Refinitiv</v>
    <v>8</v>
    <v>9</v>
    <v>SALESFORCE, INC. (XETR:FOO)</v>
    <v>5</v>
    <v>11</v>
    <v>Finance</v>
    <v>7</v>
    <v>1999</v>
    <v>158.91999999999999</v>
    <v>923000000</v>
    <v>1.3015000000000001</v>
    <v>225873200000</v>
    <v>159.52000000000001</v>
    <v>Salesforce, Inc. È un fornitore di tecnologia CRM (Customer Relationship Management). L'azienda aiuta le organizzazioni di qualsiasi dimensione a reinventare il proprio business per il mondo dell'intelligenza artificiale (ai). Con Agentforce, la sua piattaforma, le organizzazioni possono riunire persone e agenti di intelligenza artificiale per promuovere il successo dei clienti su un'unica piattaforma profondamente unificata. Con la piattaforma Salesforce, offre un'unica fonte di dati, collegando i dati dei clienti con l'intelligenza artificiale integrata tra sistemi, app e dispositivi per aiutare le aziende a vendere, fornire assistenza, commercializzare e condurre attività commerciali da qualsiasi luogo. Agentforce è un nuovo livello della piattaforma Salesforce che consente alle aziende di creare e implementare agenti di intelligenza artificiale in grado di rispondere agli input, prendere decisioni e agire autonomamente in tutte le funzioni aziendali. Agentforce include una suite di agenti personalizzabili da utilizzare per vendite, assistenza, marketing e commercio. Datablazer è un innovatore basato sui dati, che sfrutta la piattaforma aziendale per ottenere informazioni e guidare le decisioni.</v>
    <v>83334</v>
    <v>Xetra</v>
    <v>XETR</v>
    <v>4600</v>
    <v>160.66</v>
    <v>268.60000000000002</v>
    <v>155.69999999999999</v>
    <v>148.18</v>
    <v>SALESFORCE, INC.</v>
    <v>SALESFORCE, INC.</v>
    <v>46106.854988425926</v>
    <v>23.782699999999998</v>
    <v>156.74</v>
    <v>SALESFORCE TOWER, 415 MISSION STREET 3RD FL, SAN FRANCISCO, CA, 94105 US</v>
    <v>Software &amp; IT Services</v>
    <v>XETR</v>
    <v>FOO</v>
    <v>Azionario</v>
    <v>SALESFORCE, INC. (XETR:FOO)</v>
    <v>EUR</v>
    <v>-2.78</v>
    <v>-1.7426999999999998E-2</v>
    <v>6144</v>
    <v>14829150</v>
  </rv>
  <rv s="4">
    <v>4601</v>
  </rv>
  <rv s="2">
    <v>https://www.bing.com/financeapi/forcetrigger?t=aewwp2&amp;q=XFRA%3a0V6&amp;form=skydnc</v>
    <v>Learn more on Bing</v>
  </rv>
  <rv s="5">
    <v>it-IT</v>
    <v>aewwp2</v>
    <v>268435456</v>
    <v>1</v>
    <v>Con tecnologia Refinitiv</v>
    <v>8</v>
    <v>9</v>
    <v>VISTRA CORP. (XFRA:0V6)</v>
    <v>5</v>
    <v>11</v>
    <v>Finance</v>
    <v>7</v>
    <v>2016</v>
    <v>132.25</v>
    <v>338549300</v>
    <v>1.4912000000000001</v>
    <v>58081460000</v>
    <v>131.25</v>
    <v>Vistra Corp. È un'azienda integrata di produzione di energia elettrica e di elettricità al dettaglio che fornisce risorse essenziali a clienti, aziende e comunità dalla California al Maine. Gestisce una flotta affidabile di impianti di stoccaggio di energia a gas naturale, nucleare, carbone, solare e batteria, adottando un approccio innovativo e incentrato sul cliente nei confronti della propria attività di vendita al dettaglio. I suoi segmenti includono Retail, Texas, East, West e Asset Closure. Il segmento Retail è impegnato nella vendita al dettaglio di elettricità e gas naturale a clienti residenziali, commerciali e industriali. I segmenti del Texas e dell'Est sono impegnati nella produzione di energia elettrica, nella vendita e nell'acquisto di energia all'ingrosso, nelle attività di gestione del rischio delle materie prime, nell'approvvigionamento di combustibile e nella gestione logistica. Il segmento ovest rappresenta i risultati del mercato CAISO, compresi i progetti ESS per batterie presso la centrale elettrica di Moss Landing. Il segmento di chiusura delle attività è impegnato nello smantellamento e nella bonifica di impianti e miniere in pensione.</v>
    <v>6390</v>
    <v>Deutsche Boerse AG</v>
    <v>XFRA</v>
    <v>4603</v>
    <v>134</v>
    <v>192.15</v>
    <v>132.25</v>
    <v>11</v>
    <v>VISTRA CORP.</v>
    <v>VISTRA CORP.</v>
    <v>46106.833333333336</v>
    <v>71.747299999999996</v>
    <v>133.44999999999999</v>
    <v>6555 Sierra Drive, IRVING, TX, 75039 US</v>
    <v>Electrical Utilities &amp; IPPs</v>
    <v>XFRA</v>
    <v>0V6</v>
    <v>Azionario</v>
    <v>VISTRA CORP. (XFRA:0V6)</v>
    <v>EUR</v>
    <v>2.2000000000000002</v>
    <v>1.6761999999999999E-2</v>
    <v>215</v>
    <v>4604520</v>
  </rv>
  <rv s="4">
    <v>4604</v>
  </rv>
  <rv s="2">
    <v>https://www.bing.com/financeapi/forcetrigger?t=azk7rw&amp;q=XFRA%3a639&amp;form=skydnc</v>
    <v>Learn more on Bing</v>
  </rv>
  <rv s="5">
    <v>it-IT</v>
    <v>azk7rw</v>
    <v>268435456</v>
    <v>1</v>
    <v>Con tecnologia Refinitiv</v>
    <v>8</v>
    <v>9</v>
    <v>Spotify Technology SA (XFRA:639)</v>
    <v>5</v>
    <v>11</v>
    <v>Finance</v>
    <v>7</v>
    <v>2007</v>
    <v>417.25</v>
    <v>205882300</v>
    <v>1.7065999999999999</v>
    <v>110079200000</v>
    <v>419.3</v>
    <v>Spotify Technology SA è una società con sede in Lussemburgo, che offre servizi di streaming di musica digitale. L'Azienda consente agli utenti di scoprire le nuove uscite, che includono gli ultimi singoli e album; le playlist, che include playlist già pronte messe insieme da appassionati di musica ed esperti, e oltre milioni di brani in modo che gli utenti possano riprodurre i loro preferiti, scoprire nuovi brani e creare una raccolta personalizzata. Gli utenti possono selezionare tra Spotify Free, che include solo la riproduzione casuale, e Spotify Premium, che comprende una serie di funzionalità, come riproduzione casuale, senza pubblicità, salti illimitati, ascolto offline, riproduzione di qualsiasi traccia e audio. L'Azienda opera attraverso una serie di filiali, tra cui Spotify LTD, ed è presente in oltre 20 Paesi. Il servizio offre un'esperienza di ascolto della musica senza interruzioni pubblicitarie.</v>
    <v>7287</v>
    <v>Deutsche Boerse AG</v>
    <v>XFRA</v>
    <v>4606</v>
    <v>417.25</v>
    <v>670.9</v>
    <v>417.25</v>
    <v>67.13</v>
    <v>Spotify Technology SA</v>
    <v>Spotify Technology SA</v>
    <v>46106.834722222222</v>
    <v>39.966500000000003</v>
    <v>417.25</v>
    <v>42-44, avenue de la Gare, LUXEMBOURG, 1610 LU</v>
    <v>Software &amp; IT Services</v>
    <v>XFRA</v>
    <v>639</v>
    <v>Azionario</v>
    <v>Spotify Technology SA (XFRA:639)</v>
    <v>EUR</v>
    <v>-2.0499999999999998</v>
    <v>-4.8890000000000001E-3</v>
    <v>30</v>
    <v>1774290</v>
  </rv>
  <rv s="4">
    <v>4607</v>
  </rv>
  <rv s="2">
    <v>https://www.bing.com/financeapi/forcetrigger?t=bxcf4c&amp;q=XETR%3aMHL&amp;form=skydnc</v>
    <v>Learn more on Bing</v>
  </rv>
  <rv s="5">
    <v>it-IT</v>
    <v>bxcf4c</v>
    <v>268435456</v>
    <v>1</v>
    <v>Con tecnologia Refinitiv</v>
    <v>8</v>
    <v>9</v>
    <v>S&amp;P GLOBAL INC. (XETR:MHL)</v>
    <v>5</v>
    <v>11</v>
    <v>Finance</v>
    <v>7</v>
    <v>1925</v>
    <v>357.7</v>
    <v>298800000</v>
    <v>1.2233000000000001</v>
    <v>164166000000</v>
    <v>358.3</v>
    <v>S&amp;P Global Inc. Fornisce informazioni essenziali. Le sue attività comprendono cinque aziende: S&amp;P Global Market Intelligence (Market Intelligence), S&amp;P Global Ratings (Ratings), S&amp;P Global Commodity Insights (Commodity Insights), S&amp;P Global Mobility (Mobility) e S&amp;P Dow Jones Insights (indici). Market Intelligence è un fornitore globale di dati e analisi multi-asset-class integrati con soluzioni per flussi di lavoro appositamente progettate. Rating è un fornitore indipendente di rating del credito, ricerca e analisi, che offre agli investitori e ad altri operatori di mercato informazioni, rating e benchmark. Commodity Insights è un fornitore indipendente di informazioni e prezzi di riferimento per i mercati delle materie prime e dell'energia. Mobility è un fornitore di soluzioni che servono l'intera catena del valore del settore automobilistico, inclusi i produttori di veicoli e i rivenditori. Indices è un fornitore globale di indici che mantiene una varietà di indici di valutazione e benchmark per consulenti di investimento, gestori patrimoniali e investitori istituzionali.</v>
    <v>44500</v>
    <v>Xetra</v>
    <v>XETR</v>
    <v>4609</v>
    <v>359.55</v>
    <v>492</v>
    <v>350.1</v>
    <v>304.05</v>
    <v>S&amp;P GLOBAL INC.</v>
    <v>S&amp;P GLOBAL INC.</v>
    <v>46106.845150462963</v>
    <v>28.4725</v>
    <v>355.4</v>
    <v>55 Water Street, NEW YORK, NY, 10041 US</v>
    <v>Professional &amp; Commercial Services</v>
    <v>XETR</v>
    <v>MHL</v>
    <v>Azionario</v>
    <v>S&amp;P GLOBAL INC. (XETR:MHL)</v>
    <v>EUR</v>
    <v>-2.9</v>
    <v>-8.0940000000000005E-3</v>
    <v>320</v>
    <v>2147250</v>
  </rv>
  <rv s="4">
    <v>4610</v>
  </rv>
  <rv s="2">
    <v>https://www.bing.com/financeapi/forcetrigger?t=aje3hw&amp;q=XMIL%3aAMP&amp;form=skydnc</v>
    <v>Learn more on Bing</v>
  </rv>
  <rv s="3">
    <v>it-IT</v>
    <v>aje3hw</v>
    <v>268435456</v>
    <v>1</v>
    <v>Con tecnologia Refinitiv</v>
    <v>2</v>
    <v>3</v>
    <v>AMPLIFON S.P.A. (XMIL:AMP)</v>
    <v>5</v>
    <v>6</v>
    <v>Finance</v>
    <v>21</v>
    <v>8.8699999999999992</v>
    <v>226388600</v>
    <v>0.8599</v>
    <v>3093601000</v>
    <v>8.7439999999999998</v>
    <v>Amplifon SpA è una società con sede in Italia attiva nel mercato al dettaglio della cura dell'udito. L'Azienda fornisce soluzioni personalizzate e assistenza ai clienti con problemi di udito. Offre una vasta gamma di servizi, dalla diagnosi delle difficoltà uditive, all'adattamento, alla manutenzione ed alla manutenzione degli apparecchi acustici. La Società è organizzata in tre segmenti operativi geografici: Europa, Medio Oriente e Africa - EMEA - (Italia, Francia, Paesi Bassi, Germania, Regno Unito, Irlanda, Spagna, Portogallo, Svizzera, Belgio, Lussemburgo, Ungheria, Egitto, Turchia, Polonia e Israele), Americhe (USA, Canada, Cile, Argentina, Ecuador, Colombia, Panama e Messico) e Asia-Pacifico (Australia, Nuova Zelanda, India e Cina).</v>
    <v>15070</v>
    <v>Borsa Italiana</v>
    <v>XMIL</v>
    <v>4612</v>
    <v>9.0459999999999994</v>
    <v>21.4</v>
    <v>8.7080000000000002</v>
    <v>7.84</v>
    <v>AMPLIFON S.P.A.</v>
    <v>AMPLIFON S.P.A.</v>
    <v>46106.708333333336</v>
    <v>17.278400000000001</v>
    <v>8.8879999999999999</v>
    <v>Via Ripamonti 133, MILANO, MILANO, 20141 IT</v>
    <v>Healthcare Equipment &amp; Supplies</v>
    <v>XMIL</v>
    <v>AMP</v>
    <v>Azionario</v>
    <v>AMPLIFON S.P.A. (XMIL:AMP)</v>
    <v>EUR</v>
    <v>0.14399999999999999</v>
    <v>1.6468E-2</v>
    <v>3380970</v>
    <v>6913850</v>
  </rv>
  <rv s="4">
    <v>4613</v>
  </rv>
  <rv s="10">
    <v>22</v>
    <v>XFRA:CMC</v>
    <v>Daily</v>
    <v>45658</v>
    <v>46106</v>
    <v>0</v>
    <v>1</v>
    <v>639099072000000000,639100537345095692,0</v>
    <v>0</v>
    <v>af715r</v>
    <v>XFRA:CMC</v>
    <v>1</v>
  </rv>
  <rv s="10">
    <v>22</v>
    <v>NVD</v>
    <v>Daily</v>
    <v>45658</v>
    <v>46106</v>
    <v>0</v>
    <v>1</v>
    <v>639099072000000000,639100537344865781,0</v>
    <v>0</v>
    <v>afh2qh</v>
    <v>XFRA:NVD</v>
    <v>2</v>
  </rv>
  <rv s="10">
    <v>22</v>
    <v>EXW1</v>
    <v>Daily</v>
    <v>45658</v>
    <v>46106</v>
    <v>0</v>
    <v>1</v>
    <v>639099072000000000,639100247367424369,0</v>
    <v>0</v>
    <v>af9srw</v>
    <v>XFRA:EXW1</v>
    <v>3</v>
  </rv>
  <rv s="10">
    <v>22</v>
    <v>VUSA</v>
    <v>Daily</v>
    <v>45658</v>
    <v>46106</v>
    <v>0</v>
    <v>1</v>
    <v>639099072000000000,639100247368613702,0</v>
    <v>0</v>
    <v>afnsw7</v>
    <v>XFRA:VUSA</v>
    <v>4</v>
  </rv>
  <rv s="10">
    <v>22</v>
    <v>IWDA</v>
    <v>Daily</v>
    <v>45658</v>
    <v>46106</v>
    <v>0</v>
    <v>1</v>
    <v>639099072000000000,639100247367041114,0</v>
    <v>5</v>
    <v>aloe4c</v>
    <v>XAMS:IWDA</v>
    <v>6</v>
  </rv>
  <rv s="10">
    <v>22</v>
    <v>3V64</v>
    <v>Daily</v>
    <v>45658</v>
    <v>46106</v>
    <v>0</v>
    <v>1</v>
    <v>639099072000000000,639100537346923576,0</v>
    <v>0</v>
    <v>aeznrw</v>
    <v>XFRA:3V64</v>
    <v>7</v>
  </rv>
  <rv s="10">
    <v>22</v>
    <v>FOO</v>
    <v>Daily</v>
    <v>45658</v>
    <v>46106</v>
    <v>0</v>
    <v>1</v>
    <v>639099072000000000,639100537347956801,0</v>
    <v>0</v>
    <v>afacmw</v>
    <v>XFRA:FOO</v>
    <v>8</v>
  </rv>
  <rv s="10">
    <v>22</v>
    <v>YDX</v>
    <v>Daily</v>
    <v>45658</v>
    <v>46106</v>
    <v>0</v>
    <v>1</v>
    <v>639099072000000000,639100537354129724,0</v>
    <v>0</v>
    <v>afpkm7</v>
    <v>XFRA:YDX</v>
    <v>9</v>
  </rv>
  <rv s="10">
    <v>22</v>
    <v>MSF</v>
    <v>Daily</v>
    <v>45658</v>
    <v>46106</v>
    <v>0</v>
    <v>1</v>
    <v>639099072000000000,639100537351040412,0</v>
    <v>0</v>
    <v>affzzr</v>
    <v>XFRA:MSF</v>
    <v>10</v>
  </rv>
  <rv s="10">
    <v>22</v>
    <v>TSFA</v>
    <v>Daily</v>
    <v>45658</v>
    <v>46106</v>
    <v>0</v>
    <v>1</v>
    <v>639099072000000000,639100537345891923,0</v>
    <v>0</v>
    <v>afmifr</v>
    <v>XFRA:TSFA</v>
    <v>11</v>
  </rv>
  <rv s="10">
    <v>22</v>
    <v>1YD</v>
    <v>Daily</v>
    <v>45658</v>
    <v>46106</v>
    <v>0</v>
    <v>1</v>
    <v>639099072000000000,639100537344918696,0</v>
    <v>0</v>
    <v>bsg6k2</v>
    <v>XETR:1YD</v>
    <v>12</v>
  </rv>
  <rv s="10">
    <v>22</v>
    <v>0V6</v>
    <v>Daily</v>
    <v>45658</v>
    <v>46106</v>
    <v>0</v>
    <v>1</v>
    <v>639099072000000000,639100537350009973,0</v>
    <v>0</v>
    <v>aewwp2</v>
    <v>XFRA:0V6</v>
    <v>13</v>
  </rv>
  <rv s="10">
    <v>22</v>
    <v>AMZ</v>
    <v>Daily</v>
    <v>45658</v>
    <v>46106</v>
    <v>0</v>
    <v>1</v>
    <v>639099072000000000,639100537348984277,0</v>
    <v>0</v>
    <v>af4d6h</v>
    <v>XFRA:AMZ</v>
    <v>14</v>
  </rv>
  <rv s="10">
    <v>22</v>
    <v>PRG</v>
    <v>Daily</v>
    <v>45658</v>
    <v>46106</v>
    <v>0</v>
    <v>1</v>
    <v>639099072000000000,639100537352059977,0</v>
    <v>0</v>
    <v>afipm7</v>
    <v>XFRA:PRG</v>
    <v>15</v>
  </rv>
  <rv s="10">
    <v>22</v>
    <v>XETR:639</v>
    <v>Daily</v>
    <v>45658</v>
    <v>46106</v>
    <v>0</v>
    <v>1</v>
    <v>639099072000000000,639100537345495451,0</v>
    <v>0</v>
    <v>bn62rw</v>
    <v>XETR:639</v>
    <v>16</v>
  </rv>
  <rv s="10">
    <v>22</v>
    <v>MHL</v>
    <v>Daily</v>
    <v>45658</v>
    <v>46106</v>
    <v>0</v>
    <v>1</v>
    <v>639099072000000000,639100537353091435,0</v>
    <v>0</v>
    <v>affmur</v>
    <v>XFRA:MHL</v>
    <v>17</v>
  </rv>
  <rv s="10">
    <v>22</v>
    <v>XMIL:AMP</v>
    <v>Daily</v>
    <v>45658</v>
    <v>46106</v>
    <v>0</v>
    <v>1</v>
    <v>639099072000000000,639100537345283931,0</v>
    <v>18</v>
    <v>aje3hw</v>
    <v>XMIL:AMP</v>
    <v>19</v>
  </rv>
</rvData>
</file>

<file path=xl/richData/rdrichvaluestructure.xml><?xml version="1.0" encoding="utf-8"?>
<rvStructures xmlns="http://schemas.microsoft.com/office/spreadsheetml/2017/richdata" count="11">
  <s t="_formattednumber">
    <k n="_Format" t="spb"/>
  </s>
  <s t="_error">
    <k n="errorType" t="i"/>
    <k n="subType" t="i"/>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pri"/>
    <k n="Azioni in circolazione"/>
    <k n="Beta"/>
    <k n="Capitalizzazione di mercato"/>
    <k n="Chiusura precedente"/>
    <k n="Descrizione" t="s"/>
    <k n="Dipendenti"/>
    <k n="Exchange" t="s"/>
    <k n="ExchangeID" t="s"/>
    <k n="LearnMoreOnLink" t="r"/>
    <k n="Massimo"/>
    <k n="Massimo in 52 settimane"/>
    <k n="Minimo"/>
    <k n="Minimo di 52 settimane"/>
    <k n="Nome" t="s"/>
    <k n="Nome ufficiale" t="s"/>
    <k n="Orario ultima transazione"/>
    <k n="P/U"/>
    <k n="Prezzo"/>
    <k n="Sede centrale" t="s"/>
    <k n="Settore" t="s"/>
    <k n="Simbolo azionario" t="s"/>
    <k n="Simbolo dell'azione" t="s"/>
    <k n="Tipo strumento" t="s"/>
    <k n="UniqueName" t="s"/>
    <k n="Valuta" t="s"/>
    <k n="Variazione"/>
    <k n="Variazione (%)"/>
    <k n="Volume"/>
    <k n="Volume medio"/>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nno costituita"/>
    <k n="Apri"/>
    <k n="Azioni in circolazione"/>
    <k n="Beta"/>
    <k n="Capitalizzazione di mercato"/>
    <k n="Chiusura precedente"/>
    <k n="Descrizione" t="s"/>
    <k n="Dipendenti"/>
    <k n="Exchange" t="s"/>
    <k n="ExchangeID" t="s"/>
    <k n="LearnMoreOnLink" t="r"/>
    <k n="Massimo"/>
    <k n="Massimo in 52 settimane"/>
    <k n="Minimo"/>
    <k n="Minimo di 52 settimane"/>
    <k n="Nome" t="s"/>
    <k n="Nome ufficiale" t="s"/>
    <k n="Orario ultima transazione"/>
    <k n="P/U"/>
    <k n="Prezzo"/>
    <k n="Sede centrale" t="s"/>
    <k n="Settore" t="s"/>
    <k n="Simbolo azionario" t="s"/>
    <k n="Simbolo dell'azione" t="s"/>
    <k n="Tipo strumento" t="s"/>
    <k n="UniqueName" t="s"/>
    <k n="Valuta" t="s"/>
    <k n="Variazione"/>
    <k n="Variazione (%)"/>
    <k n="Volume"/>
    <k n="Volume medio"/>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nno costituita"/>
    <k n="Apri"/>
    <k n="Azioni in circolazione"/>
    <k n="Beta"/>
    <k n="Capitalizzazione di mercato"/>
    <k n="Chiusura precedente"/>
    <k n="Descrizione" t="s"/>
    <k n="Dipendenti"/>
    <k n="Exchange" t="s"/>
    <k n="ExchangeID" t="s"/>
    <k n="Immagine" t="r"/>
    <k n="LearnMoreOnLink" t="r"/>
    <k n="Massimo"/>
    <k n="Massimo in 52 settimane"/>
    <k n="Minimo"/>
    <k n="Minimo di 52 settimane"/>
    <k n="Nome" t="s"/>
    <k n="Nome ufficiale" t="s"/>
    <k n="Orario ultima transazione"/>
    <k n="P/U"/>
    <k n="Prezzo"/>
    <k n="Sede centrale" t="s"/>
    <k n="Settore" t="s"/>
    <k n="Simbolo azionario" t="s"/>
    <k n="Simbolo dell'azione" t="s"/>
    <k n="Tipo strumento" t="s"/>
    <k n="UniqueName" t="s"/>
    <k n="Valuta" t="s"/>
    <k n="Variazione"/>
    <k n="Variazione (%)"/>
    <k n="Volume"/>
    <k n="Volume medio"/>
  </s>
  <s t="_linkedentitycore">
    <k n="%EntityCulture" t="s"/>
    <k n="%EntityId" t="s"/>
    <k n="%EntityServiceId"/>
    <k n="%IsRefreshable" t="b"/>
    <k n="%ProviderInfo" t="s"/>
    <k n="_CanonicalPropertyNames" t="spb"/>
    <k n="_Display" t="spb"/>
    <k n="_DisplayString" t="s"/>
    <k n="_Flags" t="spb"/>
    <k n="_Format" t="spb"/>
    <k n="_Icon" t="s"/>
    <k n="_SubLabel" t="spb"/>
    <k n="Anno costituita"/>
    <k n="Apri"/>
    <k n="Azioni in circolazione"/>
    <k n="Beta"/>
    <k n="Capitalizzazione di mercato"/>
    <k n="Chiusura precedente"/>
    <k n="Descrizione" t="s"/>
    <k n="Dipendenti"/>
    <k n="Exchange" t="s"/>
    <k n="ExchangeID" t="s"/>
    <k n="LearnMoreOnLink" t="r"/>
    <k n="Massimo"/>
    <k n="Minimo"/>
    <k n="Nome" t="s"/>
    <k n="Nome ufficiale" t="s"/>
    <k n="Orario ultima transazione"/>
    <k n="P/U"/>
    <k n="Prezzo"/>
    <k n="Sede centrale" t="s"/>
    <k n="Settore" t="s"/>
    <k n="Simbolo azionario" t="s"/>
    <k n="Simbolo dell'azione" t="s"/>
    <k n="Tipo strumento" t="s"/>
    <k n="UniqueName" t="s"/>
    <k n="Valuta" t="s"/>
    <k n="Variazione"/>
    <k n="Variazione (%)"/>
    <k n="Volume"/>
    <k n="Volume medio"/>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4">
    <a count="42">
      <v t="s">%EntityServiceId</v>
      <v t="s">_Format</v>
      <v t="s">%IsRefreshable</v>
      <v t="s">_CanonicalPropertyNames</v>
      <v t="s">%EntityCulture</v>
      <v t="s">%EntityId</v>
      <v t="s">_Icon</v>
      <v t="s">_Display</v>
      <v t="s">Nome</v>
      <v t="s">_SubLabel</v>
      <v t="s">Prezzo</v>
      <v t="s">Exchange</v>
      <v t="s">Nome ufficiale</v>
      <v t="s">Orario ultima transazione</v>
      <v t="s">Simbolo dell'azione</v>
      <v t="s">Simbolo azionario</v>
      <v t="s">Variazione</v>
      <v t="s">Variazione (%)</v>
      <v t="s">Valuta</v>
      <v t="s">Chiusura precedente</v>
      <v t="s">Apri</v>
      <v t="s">Massimo</v>
      <v t="s">Minimo</v>
      <v t="s">Massimo in 52 settimane</v>
      <v t="s">Minimo di 52 settimane</v>
      <v t="s">Volume</v>
      <v t="s">Volume medio</v>
      <v t="s">Capitalizzazione di mercato</v>
      <v t="s">Beta</v>
      <v t="s">P/U</v>
      <v t="s">Azioni in circolazione</v>
      <v t="s">Descrizione</v>
      <v t="s">Dipendenti</v>
      <v t="s">Sede centrale</v>
      <v t="s">Settore</v>
      <v t="s">Tipo strumento</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Prezzo</v>
      <v t="s">Exchange</v>
      <v t="s">Nome ufficiale</v>
      <v t="s">Orario ultima transazione</v>
      <v t="s">Simbolo dell'azione</v>
      <v t="s">Simbolo azionario</v>
      <v t="s">Variazione</v>
      <v t="s">Variazione (%)</v>
      <v t="s">Valuta</v>
      <v t="s">Chiusura precedente</v>
      <v t="s">Apri</v>
      <v t="s">Massimo</v>
      <v t="s">Minimo</v>
      <v t="s">Massimo in 52 settimane</v>
      <v t="s">Minimo di 52 settimane</v>
      <v t="s">Volume</v>
      <v t="s">Volume medio</v>
      <v t="s">Capitalizzazione di mercato</v>
      <v t="s">Beta</v>
      <v t="s">P/U</v>
      <v t="s">Azioni in circolazione</v>
      <v t="s">Descrizione</v>
      <v t="s">Dipendenti</v>
      <v t="s">Sede centrale</v>
      <v t="s">Settore</v>
      <v t="s">Tipo strumento</v>
      <v t="s">Anno costituita</v>
      <v t="s">_Flags</v>
      <v t="s">UniqueName</v>
      <v t="s">_DisplayString</v>
      <v t="s">LearnMoreOnLink</v>
      <v t="s">ExchangeID</v>
      <v t="s">%ProviderInfo</v>
    </a>
    <a count="44">
      <v t="s">%EntityServiceId</v>
      <v t="s">_Format</v>
      <v t="s">%IsRefreshable</v>
      <v t="s">_CanonicalPropertyNames</v>
      <v t="s">%EntityCulture</v>
      <v t="s">%EntityId</v>
      <v t="s">_Icon</v>
      <v t="s">_Display</v>
      <v t="s">Nome</v>
      <v t="s">_SubLabel</v>
      <v t="s">Prezzo</v>
      <v t="s">Exchange</v>
      <v t="s">Nome ufficiale</v>
      <v t="s">Orario ultima transazione</v>
      <v t="s">Simbolo dell'azione</v>
      <v t="s">Simbolo azionario</v>
      <v t="s">Variazione</v>
      <v t="s">Variazione (%)</v>
      <v t="s">Valuta</v>
      <v t="s">Chiusura precedente</v>
      <v t="s">Apri</v>
      <v t="s">Massimo</v>
      <v t="s">Minimo</v>
      <v t="s">Massimo in 52 settimane</v>
      <v t="s">Minimo di 52 settimane</v>
      <v t="s">Volume</v>
      <v t="s">Volume medio</v>
      <v t="s">Capitalizzazione di mercato</v>
      <v t="s">Beta</v>
      <v t="s">P/U</v>
      <v t="s">Azioni in circolazione</v>
      <v t="s">Descrizione</v>
      <v t="s">Dipendenti</v>
      <v t="s">Sede centrale</v>
      <v t="s">Settore</v>
      <v t="s">Tipo strumento</v>
      <v t="s">Anno costituita</v>
      <v t="s">_Flags</v>
      <v t="s">UniqueName</v>
      <v t="s">_DisplayString</v>
      <v t="s">LearnMoreOnLink</v>
      <v t="s">Immagine</v>
      <v t="s">ExchangeID</v>
      <v t="s">%ProviderInfo</v>
    </a>
    <a count="41">
      <v t="s">%EntityServiceId</v>
      <v t="s">_Format</v>
      <v t="s">%IsRefreshable</v>
      <v t="s">_CanonicalPropertyNames</v>
      <v t="s">%EntityCulture</v>
      <v t="s">%EntityId</v>
      <v t="s">_Icon</v>
      <v t="s">_Display</v>
      <v t="s">Nome</v>
      <v t="s">_SubLabel</v>
      <v t="s">Prezzo</v>
      <v t="s">Exchange</v>
      <v t="s">Nome ufficiale</v>
      <v t="s">Orario ultima transazione</v>
      <v t="s">Simbolo dell'azione</v>
      <v t="s">Simbolo azionario</v>
      <v t="s">Variazione</v>
      <v t="s">Variazione (%)</v>
      <v t="s">Valuta</v>
      <v t="s">Chiusura precedente</v>
      <v t="s">Apri</v>
      <v t="s">Massimo</v>
      <v t="s">Minimo</v>
      <v t="s">Volume</v>
      <v t="s">Volume medio</v>
      <v t="s">Capitalizzazione di mercato</v>
      <v t="s">Beta</v>
      <v t="s">P/U</v>
      <v t="s">Azioni in circolazione</v>
      <v t="s">Descrizione</v>
      <v t="s">Dipendenti</v>
      <v t="s">Sede centrale</v>
      <v t="s">Settore</v>
      <v t="s">Tipo strumento</v>
      <v t="s">Anno costituita</v>
      <v t="s">_Flags</v>
      <v t="s">UniqueName</v>
      <v t="s">_DisplayString</v>
      <v t="s">LearnMoreOnLink</v>
      <v t="s">ExchangeID</v>
      <v t="s">%ProviderInfo</v>
    </a>
  </spbArrays>
  <spbData count="23">
    <spb s="0">
      <v>1</v>
    </spb>
    <spb s="0">
      <v>2</v>
    </spb>
    <spb s="1">
      <v>P/E</v>
      <v>Open</v>
      <v>Beta</v>
      <v>Name</v>
      <v>Low</v>
      <v>Price</v>
      <v>Currency</v>
      <v>Volume</v>
      <v>High</v>
      <v>Industry</v>
      <v>Exchange</v>
      <v>Employees</v>
      <v>ExchangeID</v>
      <v>UniqueName</v>
      <v>Change</v>
      <v>Description</v>
      <v>Volume average</v>
      <v>%ProviderInfo</v>
      <v>Headquarters</v>
      <v>Official name</v>
      <v>Instrument type</v>
      <v>Change (%)</v>
      <v>LearnMoreOnLink</v>
      <v>Exchange abbreviation</v>
      <v>Previous close</v>
      <v>Ticker symbol</v>
      <v>Shares outstanding</v>
      <v>52 week low</v>
      <v>52 week high</v>
      <v>Last trade time</v>
      <v>Market cap</v>
    </spb>
    <spb s="2">
      <v>0</v>
      <v>Name</v>
      <v>LearnMoreOnLink</v>
    </spb>
    <spb s="3">
      <v>0</v>
      <v>0</v>
      <v>0</v>
    </spb>
    <spb s="4">
      <v>4</v>
      <v>4</v>
      <v>4</v>
      <v>4</v>
    </spb>
    <spb s="5">
      <v>3</v>
      <v>2</v>
      <v>3</v>
      <v>4</v>
      <v>2</v>
      <v>2</v>
      <v>5</v>
      <v>2</v>
      <v>5</v>
      <v>2</v>
      <v>5</v>
      <v>6</v>
      <v>7</v>
      <v>2</v>
      <v>5</v>
      <v>2</v>
      <v>2</v>
      <v>8</v>
      <v>9</v>
    </spb>
    <spb s="6">
      <v>Ritardato di 15 minuti</v>
      <v xml:space="preserve">dalla chiusura precedente </v>
      <v xml:space="preserve">dalla chiusura precedente </v>
      <v>GMT</v>
    </spb>
    <spb s="7">
      <v>P/E</v>
      <v>Open</v>
      <v>Beta</v>
      <v>Name</v>
      <v>Low</v>
      <v>Price</v>
      <v>Currency</v>
      <v>Volume</v>
      <v>High</v>
      <v>Industry</v>
      <v>Exchange</v>
      <v>Employees</v>
      <v>ExchangeID</v>
      <v>UniqueName</v>
      <v>Change</v>
      <v>Description</v>
      <v>Volume average</v>
      <v>%ProviderInfo</v>
      <v>Headquarters</v>
      <v>Official name</v>
      <v>Instrument type</v>
      <v>Change (%)</v>
      <v>Year incorporated</v>
      <v>LearnMoreOnLink</v>
      <v>Exchange abbreviation</v>
      <v>Previous close</v>
      <v>Ticker symbol</v>
      <v>Shares outstanding</v>
      <v>52 week low</v>
      <v>52 week high</v>
      <v>Last trade time</v>
      <v>Market cap</v>
    </spb>
    <spb s="2">
      <v>1</v>
      <v>Name</v>
      <v>LearnMoreOnLink</v>
    </spb>
    <spb s="8">
      <v>3</v>
      <v>2</v>
      <v>3</v>
      <v>4</v>
      <v>2</v>
      <v>2</v>
      <v>5</v>
      <v>2</v>
      <v>5</v>
      <v>2</v>
      <v>5</v>
      <v>6</v>
      <v>10</v>
      <v>7</v>
      <v>2</v>
      <v>5</v>
      <v>2</v>
      <v>2</v>
      <v>8</v>
      <v>9</v>
    </spb>
    <spb s="8">
      <v>3</v>
      <v>2</v>
      <v>3</v>
      <v>4</v>
      <v>2</v>
      <v>2</v>
      <v>5</v>
      <v>2</v>
      <v>5</v>
      <v>2</v>
      <v>5</v>
      <v>6</v>
      <v>10</v>
      <v>7</v>
      <v>2</v>
      <v>5</v>
      <v>2</v>
      <v>2</v>
      <v>8</v>
      <v>11</v>
    </spb>
    <spb s="9">
      <v>P/E</v>
      <v>Open</v>
      <v>Beta</v>
      <v>Name</v>
      <v>Low</v>
      <v>Price</v>
      <v>Currency</v>
      <v>Volume</v>
      <v>High</v>
      <v>Industry</v>
      <v>Exchange</v>
      <v>Image</v>
      <v>Employees</v>
      <v>ExchangeID</v>
      <v>UniqueName</v>
      <v>Change</v>
      <v>Description</v>
      <v>Volume average</v>
      <v>%ProviderInfo</v>
      <v>Headquarters</v>
      <v>Official name</v>
      <v>Instrument type</v>
      <v>Change (%)</v>
      <v>Year incorporated</v>
      <v>LearnMoreOnLink</v>
      <v>Exchange abbreviation</v>
      <v>Previous close</v>
      <v>Ticker symbol</v>
      <v>Shares outstanding</v>
      <v>52 week low</v>
      <v>52 week high</v>
      <v>Last trade time</v>
      <v>Market cap</v>
    </spb>
    <spb s="2">
      <v>2</v>
      <v>Name</v>
      <v>LearnMoreOnLink</v>
    </spb>
    <spb s="10">
      <v>0</v>
      <v>0</v>
    </spb>
    <spb s="11">
      <v>14</v>
      <v>4</v>
      <v>4</v>
      <v>4</v>
      <v>4</v>
    </spb>
    <spb s="12">
      <v>3</v>
      <v>2</v>
      <v>3</v>
      <v>4</v>
      <v>2</v>
      <v>2</v>
      <v>5</v>
      <v>2</v>
      <v>12</v>
      <v>5</v>
      <v>2</v>
      <v>5</v>
      <v>6</v>
      <v>10</v>
      <v>7</v>
      <v>2</v>
      <v>5</v>
      <v>2</v>
      <v>2</v>
      <v>8</v>
      <v>11</v>
    </spb>
    <spb s="13">
      <v>Con tecnologia Refinitiv</v>
    </spb>
    <spb s="14">
      <v>P/E</v>
      <v>Open</v>
      <v>Beta</v>
      <v>Name</v>
      <v>Low</v>
      <v>Price</v>
      <v>Currency</v>
      <v>Volume</v>
      <v>High</v>
      <v>Industry</v>
      <v>Exchange</v>
      <v>Employees</v>
      <v>ExchangeID</v>
      <v>UniqueName</v>
      <v>Change</v>
      <v>Description</v>
      <v>Volume average</v>
      <v>%ProviderInfo</v>
      <v>Headquarters</v>
      <v>Official name</v>
      <v>Instrument type</v>
      <v>Change (%)</v>
      <v>Year incorporated</v>
      <v>LearnMoreOnLink</v>
      <v>Exchange abbreviation</v>
      <v>Previous close</v>
      <v>Ticker symbol</v>
      <v>Shares outstanding</v>
      <v>Last trade time</v>
      <v>Market cap</v>
    </spb>
    <spb s="2">
      <v>3</v>
      <v>Name</v>
      <v>LearnMoreOnLink</v>
    </spb>
    <spb s="15">
      <v>3</v>
      <v>2</v>
      <v>3</v>
      <v>4</v>
      <v>2</v>
      <v>2</v>
      <v>5</v>
      <v>2</v>
      <v>5</v>
      <v>2</v>
      <v>5</v>
      <v>6</v>
      <v>10</v>
      <v>7</v>
      <v>2</v>
      <v>5</v>
      <v>8</v>
      <v>11</v>
    </spb>
    <spb s="16">
      <v>Ritardato di 15 minuti</v>
      <v>Borsa Italia</v>
      <v xml:space="preserve">dalla chiusura precedente </v>
      <v xml:space="preserve">dalla chiusura precedente </v>
      <v>GMT</v>
    </spb>
    <spb s="17">
      <v>1</v>
      <v>2</v>
    </spb>
  </spbData>
</supportingPropertyBags>
</file>

<file path=xl/richData/rdsupportingpropertybagstructure.xml><?xml version="1.0" encoding="utf-8"?>
<spbStructures xmlns="http://schemas.microsoft.com/office/spreadsheetml/2017/richdata2" count="18">
  <s>
    <k n="_Self" t="i"/>
  </s>
  <s>
    <k n="P/U" t="s"/>
    <k n="Apri" t="s"/>
    <k n="Beta" t="s"/>
    <k n="Nome" t="s"/>
    <k n="Minimo" t="s"/>
    <k n="Prezzo" t="s"/>
    <k n="Valuta" t="s"/>
    <k n="Volume" t="s"/>
    <k n="Massimo" t="s"/>
    <k n="Settore" t="s"/>
    <k n="Exchange" t="s"/>
    <k n="Dipendenti" t="s"/>
    <k n="ExchangeID" t="s"/>
    <k n="UniqueName" t="s"/>
    <k n="Variazione" t="s"/>
    <k n="Descrizione" t="s"/>
    <k n="Volume medio" t="s"/>
    <k n="%ProviderInfo" t="s"/>
    <k n="Sede centrale" t="s"/>
    <k n="Nome ufficiale" t="s"/>
    <k n="Tipo strumento" t="s"/>
    <k n="Variazione (%)" t="s"/>
    <k n="LearnMoreOnLink" t="s"/>
    <k n="Simbolo azionario" t="s"/>
    <k n="Chiusura precedente" t="s"/>
    <k n="Simbolo dell'azione" t="s"/>
    <k n="Azioni in circolazione" t="s"/>
    <k n="Minimo di 52 settimane" t="s"/>
    <k n="Massimo in 52 settimane" t="s"/>
    <k n="Orario ultima transazione" t="s"/>
    <k n="Capitalizzazione di mercato" t="s"/>
  </s>
  <s>
    <k n="^Order" t="spba"/>
    <k n="TitleProperty" t="s"/>
    <k n="SubTitleProperty" t="s"/>
  </s>
  <s>
    <k n="ShowInCardView" t="b"/>
    <k n="ShowInDotNotation" t="b"/>
    <k n="ShowInAutoComplete" t="b"/>
  </s>
  <s>
    <k n="ExchangeID" t="spb"/>
    <k n="UniqueName" t="spb"/>
    <k n="`%ProviderInfo" t="spb"/>
    <k n="LearnMoreOnLink" t="spb"/>
  </s>
  <s>
    <k n="P/U" t="i"/>
    <k n="Apri" t="i"/>
    <k n="Beta" t="i"/>
    <k n="Nome" t="i"/>
    <k n="Minimo" t="i"/>
    <k n="Prezzo" t="i"/>
    <k n="Volume" t="i"/>
    <k n="Massimo" t="i"/>
    <k n="Dipendenti" t="i"/>
    <k n="Variazione" t="i"/>
    <k n="Volume medio" t="i"/>
    <k n="Variazione (%)" t="i"/>
    <k n="`%EntityServiceId" t="i"/>
    <k n="Chiusura precedente" t="i"/>
    <k n="Azioni in circolazione" t="i"/>
    <k n="Minimo di 52 settimane" t="i"/>
    <k n="Massimo in 52 settimane" t="i"/>
    <k n="Orario ultima transazione" t="i"/>
    <k n="Capitalizzazione di mercato" t="i"/>
  </s>
  <s>
    <k n="Prezzo" t="s"/>
    <k n="Variazione" t="s"/>
    <k n="Variazione (%)" t="s"/>
    <k n="Orario ultima transazione" t="s"/>
  </s>
  <s>
    <k n="P/U" t="s"/>
    <k n="Apri" t="s"/>
    <k n="Beta" t="s"/>
    <k n="Nome" t="s"/>
    <k n="Minimo" t="s"/>
    <k n="Prezzo" t="s"/>
    <k n="Valuta" t="s"/>
    <k n="Volume" t="s"/>
    <k n="Massimo" t="s"/>
    <k n="Settore" t="s"/>
    <k n="Exchange" t="s"/>
    <k n="Dipendenti" t="s"/>
    <k n="ExchangeID" t="s"/>
    <k n="UniqueName" t="s"/>
    <k n="Variazione" t="s"/>
    <k n="Descrizione" t="s"/>
    <k n="Volume medio" t="s"/>
    <k n="%ProviderInfo" t="s"/>
    <k n="Sede centrale" t="s"/>
    <k n="Nome ufficiale" t="s"/>
    <k n="Tipo strumento" t="s"/>
    <k n="Variazione (%)" t="s"/>
    <k n="Anno costituita" t="s"/>
    <k n="LearnMoreOnLink" t="s"/>
    <k n="Simbolo azionario" t="s"/>
    <k n="Chiusura precedente" t="s"/>
    <k n="Simbolo dell'azione" t="s"/>
    <k n="Azioni in circolazione" t="s"/>
    <k n="Minimo di 52 settimane" t="s"/>
    <k n="Massimo in 52 settimane" t="s"/>
    <k n="Orario ultima transazione" t="s"/>
    <k n="Capitalizzazione di mercato" t="s"/>
  </s>
  <s>
    <k n="P/U" t="i"/>
    <k n="Apri" t="i"/>
    <k n="Beta" t="i"/>
    <k n="Nome" t="i"/>
    <k n="Minimo" t="i"/>
    <k n="Prezzo" t="i"/>
    <k n="Volume" t="i"/>
    <k n="Massimo" t="i"/>
    <k n="Dipendenti" t="i"/>
    <k n="Variazione" t="i"/>
    <k n="Volume medio" t="i"/>
    <k n="Variazione (%)" t="i"/>
    <k n="Anno costituita" t="i"/>
    <k n="`%EntityServiceId" t="i"/>
    <k n="Chiusura precedente" t="i"/>
    <k n="Azioni in circolazione" t="i"/>
    <k n="Minimo di 52 settimane" t="i"/>
    <k n="Massimo in 52 settimane" t="i"/>
    <k n="Orario ultima transazione" t="i"/>
    <k n="Capitalizzazione di mercato" t="i"/>
  </s>
  <s>
    <k n="P/U" t="s"/>
    <k n="Apri" t="s"/>
    <k n="Beta" t="s"/>
    <k n="Nome" t="s"/>
    <k n="Minimo" t="s"/>
    <k n="Prezzo" t="s"/>
    <k n="Valuta" t="s"/>
    <k n="Volume" t="s"/>
    <k n="Massimo" t="s"/>
    <k n="Settore" t="s"/>
    <k n="Exchange" t="s"/>
    <k n="Immagine" t="s"/>
    <k n="Dipendenti" t="s"/>
    <k n="ExchangeID" t="s"/>
    <k n="UniqueName" t="s"/>
    <k n="Variazione" t="s"/>
    <k n="Descrizione" t="s"/>
    <k n="Volume medio" t="s"/>
    <k n="%ProviderInfo" t="s"/>
    <k n="Sede centrale" t="s"/>
    <k n="Nome ufficiale" t="s"/>
    <k n="Tipo strumento" t="s"/>
    <k n="Variazione (%)" t="s"/>
    <k n="Anno costituita" t="s"/>
    <k n="LearnMoreOnLink" t="s"/>
    <k n="Simbolo azionario" t="s"/>
    <k n="Chiusura precedente" t="s"/>
    <k n="Simbolo dell'azione" t="s"/>
    <k n="Azioni in circolazione" t="s"/>
    <k n="Minimo di 52 settimane" t="s"/>
    <k n="Massimo in 52 settimane" t="s"/>
    <k n="Orario ultima transazione" t="s"/>
    <k n="Capitalizzazione di mercato" t="s"/>
  </s>
  <s>
    <k n="ShowInDotNotation" t="b"/>
    <k n="ShowInAutoComplete" t="b"/>
  </s>
  <s>
    <k n="Immagine" t="spb"/>
    <k n="ExchangeID" t="spb"/>
    <k n="UniqueName" t="spb"/>
    <k n="`%ProviderInfo" t="spb"/>
    <k n="LearnMoreOnLink" t="spb"/>
  </s>
  <s>
    <k n="P/U" t="i"/>
    <k n="Apri" t="i"/>
    <k n="Beta" t="i"/>
    <k n="Nome" t="i"/>
    <k n="Minimo" t="i"/>
    <k n="Prezzo" t="i"/>
    <k n="Volume" t="i"/>
    <k n="Massimo" t="i"/>
    <k n="Immagine" t="i"/>
    <k n="Dipendenti" t="i"/>
    <k n="Variazione" t="i"/>
    <k n="Volume medio" t="i"/>
    <k n="Variazione (%)" t="i"/>
    <k n="Anno costituita" t="i"/>
    <k n="`%EntityServiceId" t="i"/>
    <k n="Chiusura precedente" t="i"/>
    <k n="Azioni in circolazione" t="i"/>
    <k n="Minimo di 52 settimane" t="i"/>
    <k n="Massimo in 52 settimane" t="i"/>
    <k n="Orario ultima transazione" t="i"/>
    <k n="Capitalizzazione di mercato" t="i"/>
  </s>
  <s>
    <k n="name" t="s"/>
  </s>
  <s>
    <k n="P/U" t="s"/>
    <k n="Apri" t="s"/>
    <k n="Beta" t="s"/>
    <k n="Nome" t="s"/>
    <k n="Minimo" t="s"/>
    <k n="Prezzo" t="s"/>
    <k n="Valuta" t="s"/>
    <k n="Volume" t="s"/>
    <k n="Massimo" t="s"/>
    <k n="Settore" t="s"/>
    <k n="Exchange" t="s"/>
    <k n="Dipendenti" t="s"/>
    <k n="ExchangeID" t="s"/>
    <k n="UniqueName" t="s"/>
    <k n="Variazione" t="s"/>
    <k n="Descrizione" t="s"/>
    <k n="Volume medio" t="s"/>
    <k n="%ProviderInfo" t="s"/>
    <k n="Sede centrale" t="s"/>
    <k n="Nome ufficiale" t="s"/>
    <k n="Tipo strumento" t="s"/>
    <k n="Variazione (%)" t="s"/>
    <k n="Anno costituita" t="s"/>
    <k n="LearnMoreOnLink" t="s"/>
    <k n="Simbolo azionario" t="s"/>
    <k n="Chiusura precedente" t="s"/>
    <k n="Simbolo dell'azione" t="s"/>
    <k n="Azioni in circolazione" t="s"/>
    <k n="Orario ultima transazione" t="s"/>
    <k n="Capitalizzazione di mercato" t="s"/>
  </s>
  <s>
    <k n="P/U" t="i"/>
    <k n="Apri" t="i"/>
    <k n="Beta" t="i"/>
    <k n="Nome" t="i"/>
    <k n="Minimo" t="i"/>
    <k n="Prezzo" t="i"/>
    <k n="Volume" t="i"/>
    <k n="Massimo" t="i"/>
    <k n="Dipendenti" t="i"/>
    <k n="Variazione" t="i"/>
    <k n="Volume medio" t="i"/>
    <k n="Variazione (%)" t="i"/>
    <k n="Anno costituita" t="i"/>
    <k n="`%EntityServiceId" t="i"/>
    <k n="Chiusura precedente" t="i"/>
    <k n="Azioni in circolazione" t="i"/>
    <k n="Orario ultima transazione" t="i"/>
    <k n="Capitalizzazione di mercato" t="i"/>
  </s>
  <s>
    <k n="Prezzo" t="s"/>
    <k n="ExchangeID" t="s"/>
    <k n="Variazione" t="s"/>
    <k n="Variazione (%)" t="s"/>
    <k n="Orario ultima transazion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7"/>
    <rSty dxfid="1">
      <rpv i="0">_([$€-x-euro2] * #,##0.00_);_([$€-x-euro2] * (#,##0.00);_([$€-x-euro2] * "-"??_);_(@_)</rpv>
    </rSty>
    <rSty dxfid="5">
      <rpv i="0">#,##0.00</rpv>
    </rSty>
    <rSty>
      <rpv i="1">1</rpv>
    </rSty>
    <rSty dxfid="4">
      <rpv i="0">#,##0</rpv>
    </rSty>
    <rSty dxfid="3"/>
    <rSty dxfid="0">
      <rpv i="0">0.00</rpv>
    </rSty>
    <rSty dxfid="2"/>
    <rSty dxfid="1">
      <rpv i="0">_([$€-x-euro2] * #,##0_);_([$€-x-euro2] * (#,##0);_([$€-x-euro2] * "-"_);_(@_)</rpv>
    </rSty>
    <rSty dxfid="6">
      <rpv i="0">0</rpv>
    </rSty>
    <rSty dxfid="1">
      <rpv i="0">_([$$-en-US]* #,##0_);_([$$-en-US]* (#,##0);_([$$-en-US]* "-"_);_(@_)</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7DD3E5-8BD8-430A-B0D5-728CB49743CD}" name="MovementsTable." displayName="MovementsTable." ref="B2:I28" totalsRowShown="0" headerRowDxfId="9" dataDxfId="8">
  <autoFilter ref="B2:I28" xr:uid="{767DD3E5-8BD8-430A-B0D5-728CB49743CD}"/>
  <sortState xmlns:xlrd2="http://schemas.microsoft.com/office/spreadsheetml/2017/richdata2" ref="B3:I19">
    <sortCondition ref="G3:G19"/>
  </sortState>
  <tableColumns count="8">
    <tableColumn id="1" xr3:uid="{5895BD45-4AA4-445D-A0A8-C1BFC5839B61}" name="Date." dataDxfId="7"/>
    <tableColumn id="2" xr3:uid="{9BEA1444-F110-4EB3-9B8C-3E41334F672E}" name="Stocks." dataDxfId="6"/>
    <tableColumn id="3" xr3:uid="{4C1C356C-AB80-4BAA-804F-DFE0EBEE6BCF}" name="Ticker." dataDxfId="5">
      <calculatedColumnFormula array="1">_FV(MovementsTable.[[#This Row],[Stocks.]],"Simbolo dell'azione",TRUE)</calculatedColumnFormula>
    </tableColumn>
    <tableColumn id="4" xr3:uid="{3A974D40-3B82-487A-A280-124D642A9F7A}" name="Buy/Sell." dataDxfId="4"/>
    <tableColumn id="5" xr3:uid="{FDCB4E39-E5DA-41CC-B50E-C7F40B522091}" name="Commision." dataDxfId="3"/>
    <tableColumn id="6" xr3:uid="{B355A2CE-3568-4635-B097-D7E3F0147FB5}" name="Price." dataDxfId="2"/>
    <tableColumn id="7" xr3:uid="{4A03EA23-D6BD-418F-8F03-D7F621283344}" name="Quantity." dataDxfId="1"/>
    <tableColumn id="13" xr3:uid="{0FE3B509-57D1-4740-9523-8B990071D5CC}" name="TotalAmount." dataDxfId="0">
      <calculatedColumnFormula>MovementsTable.[[#This Row],[Price.]]*MovementsTable.[[#This Row],[Quantity.]] + MovementsTable.[[#This Row],[Commision.]]</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Pro">
      <a:dk1>
        <a:sysClr val="windowText" lastClr="000000"/>
      </a:dk1>
      <a:lt1>
        <a:sysClr val="window" lastClr="FFFFFF"/>
      </a:lt1>
      <a:dk2>
        <a:srgbClr val="373545"/>
      </a:dk2>
      <a:lt2>
        <a:srgbClr val="CEDBE6"/>
      </a:lt2>
      <a:accent1>
        <a:srgbClr val="1A315E"/>
      </a:accent1>
      <a:accent2>
        <a:srgbClr val="707070"/>
      </a:accent2>
      <a:accent3>
        <a:srgbClr val="A6A6A6"/>
      </a:accent3>
      <a:accent4>
        <a:srgbClr val="B0C4DE"/>
      </a:accent4>
      <a:accent5>
        <a:srgbClr val="2E7D32"/>
      </a:accent5>
      <a:accent6>
        <a:srgbClr val="B71C1C"/>
      </a:accent6>
      <a:hlink>
        <a:srgbClr val="124163"/>
      </a:hlink>
      <a:folHlink>
        <a:srgbClr val="50771B"/>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2581F-2EEB-4229-BE70-47C49198C48C}">
  <dimension ref="A1:AZ315"/>
  <sheetViews>
    <sheetView topLeftCell="S265" zoomScale="70" workbookViewId="0">
      <selection activeCell="AO2" sqref="AO2:AR312"/>
    </sheetView>
  </sheetViews>
  <sheetFormatPr defaultRowHeight="13.8" x14ac:dyDescent="0.25"/>
  <cols>
    <col min="1" max="1" width="10.8984375" customWidth="1"/>
    <col min="2" max="2" width="11.5" customWidth="1"/>
    <col min="3" max="3" width="10.69921875" customWidth="1"/>
    <col min="4" max="7" width="10.8984375" customWidth="1"/>
    <col min="8" max="8" width="11.796875" customWidth="1"/>
    <col min="9" max="10" width="12" customWidth="1"/>
    <col min="11" max="11" width="10.69921875" customWidth="1"/>
    <col min="12" max="12" width="10.796875" customWidth="1"/>
    <col min="13" max="13" width="11.296875" customWidth="1"/>
    <col min="14" max="15" width="11.5" customWidth="1"/>
    <col min="19" max="19" width="8.69921875" customWidth="1"/>
    <col min="20" max="21" width="8.796875" style="2"/>
    <col min="22" max="22" width="12.796875" style="9" customWidth="1"/>
    <col min="23" max="23" width="9.69921875" style="2" customWidth="1"/>
    <col min="25" max="25" width="9" style="1" customWidth="1"/>
    <col min="26" max="26" width="9.296875" style="2" customWidth="1"/>
    <col min="27" max="30" width="9.8984375" style="1" customWidth="1"/>
    <col min="32" max="32" width="10.69921875" customWidth="1"/>
    <col min="33" max="33" width="10.796875" customWidth="1"/>
    <col min="34" max="34" width="9.8984375" style="1" customWidth="1"/>
    <col min="35" max="35" width="8.8984375" customWidth="1"/>
    <col min="36" max="36" width="10" style="1" customWidth="1"/>
    <col min="38" max="38" width="8.5" style="1" customWidth="1"/>
    <col min="39" max="39" width="8" style="2" customWidth="1"/>
    <col min="40" max="40" width="9" style="9" customWidth="1"/>
    <col min="46" max="46" width="10.09765625" customWidth="1"/>
    <col min="47" max="47" width="14" style="2" customWidth="1"/>
    <col min="48" max="48" width="15.19921875" bestFit="1" customWidth="1"/>
  </cols>
  <sheetData>
    <row r="1" spans="1:48" x14ac:dyDescent="0.25">
      <c r="B1" s="7" t="s">
        <v>20</v>
      </c>
      <c r="C1" s="7" t="s">
        <v>21</v>
      </c>
      <c r="D1" s="7" t="s">
        <v>22</v>
      </c>
      <c r="E1" s="7" t="s">
        <v>47</v>
      </c>
      <c r="F1" s="7" t="s">
        <v>23</v>
      </c>
      <c r="G1" s="7" t="s">
        <v>48</v>
      </c>
      <c r="H1" s="7" t="s">
        <v>24</v>
      </c>
      <c r="I1" s="7" t="s">
        <v>25</v>
      </c>
      <c r="J1" s="7" t="s">
        <v>50</v>
      </c>
      <c r="K1" s="7" t="s">
        <v>26</v>
      </c>
      <c r="L1" s="7" t="s">
        <v>27</v>
      </c>
      <c r="M1" s="7" t="s">
        <v>28</v>
      </c>
      <c r="N1" s="7" t="s">
        <v>52</v>
      </c>
      <c r="O1" s="7" t="s">
        <v>49</v>
      </c>
      <c r="T1" s="3"/>
      <c r="U1" s="3"/>
      <c r="V1" s="7" t="s">
        <v>33</v>
      </c>
      <c r="W1"/>
      <c r="Y1"/>
      <c r="Z1"/>
      <c r="AA1"/>
      <c r="AB1"/>
      <c r="AC1"/>
      <c r="AD1"/>
      <c r="AE1" s="14"/>
      <c r="AG1" s="9"/>
      <c r="AH1" s="11" t="s">
        <v>35</v>
      </c>
      <c r="AI1" s="17" t="s">
        <v>38</v>
      </c>
      <c r="AJ1" s="12" t="s">
        <v>41</v>
      </c>
      <c r="AK1" s="18" t="s">
        <v>39</v>
      </c>
      <c r="AL1" s="12" t="s">
        <v>36</v>
      </c>
      <c r="AM1" s="18" t="s">
        <v>40</v>
      </c>
    </row>
    <row r="2" spans="1:48" x14ac:dyDescent="0.25">
      <c r="A2" s="7" t="str" cm="1">
        <f t="array" aca="1" ref="A2:B313" ca="1">_xlfn.STOCKHISTORY(B$1, DATE(2025,1,1), TODAY(),0,1,,0,1 )</f>
        <v>Date</v>
      </c>
      <c r="B2" s="7" t="str">
        <f ca="1"/>
        <v>Close</v>
      </c>
      <c r="C2" s="7" t="str" cm="1">
        <f t="array" aca="1" ref="C2:C313" ca="1">_xlfn.STOCKHISTORY(C$1, DATE(2025,1,1), TODAY(),0,1,1 )</f>
        <v>Close</v>
      </c>
      <c r="D2" s="7" t="str" cm="1">
        <f t="array" aca="1" ref="D2:D313" ca="1">_xlfn.STOCKHISTORY(D$1, DATE(2025,1,1), TODAY(),0,1,1 )</f>
        <v>Close</v>
      </c>
      <c r="E2" s="7" t="str" cm="1">
        <f t="array" aca="1" ref="E2:E313" ca="1">_xlfn.STOCKHISTORY(E$1, DATE(2025,1,1), TODAY(),0,1,1 )</f>
        <v>Close</v>
      </c>
      <c r="F2" s="7" t="str" cm="1">
        <f t="array" aca="1" ref="F2:F313" ca="1">_xlfn.STOCKHISTORY(F$1, DATE(2025,1,1), TODAY(),0,1,1 )</f>
        <v>Close</v>
      </c>
      <c r="G2" s="7" t="str" cm="1">
        <f t="array" aca="1" ref="G2:G313" ca="1">_xlfn.STOCKHISTORY(G$1, DATE(2025,1,1), TODAY(),0,1,1 )</f>
        <v>Close</v>
      </c>
      <c r="H2" s="7" t="str" cm="1">
        <f t="array" aca="1" ref="H2:H313" ca="1">_xlfn.STOCKHISTORY(H$1, DATE(2025,1,1), TODAY(),0,1,1 )</f>
        <v>Close</v>
      </c>
      <c r="I2" s="7" t="str" cm="1">
        <f t="array" aca="1" ref="I2:I313" ca="1">_xlfn.STOCKHISTORY(I$1, DATE(2025,1,1), TODAY(),0,1,1 )</f>
        <v>Close</v>
      </c>
      <c r="J2" s="7" t="str" cm="1">
        <f t="array" aca="1" ref="J2:J313" ca="1">_xlfn.STOCKHISTORY(J$1, DATE(2025,1,1), TODAY(),0,1,1 )</f>
        <v>Close</v>
      </c>
      <c r="K2" s="7" t="str" cm="1">
        <f t="array" aca="1" ref="K2:K313" ca="1">_xlfn.STOCKHISTORY(K$1, DATE(2025,1,1), TODAY(),0,1,1 )</f>
        <v>Close</v>
      </c>
      <c r="L2" s="7" t="str" cm="1">
        <f t="array" aca="1" ref="L2:L313" ca="1">_xlfn.STOCKHISTORY(L$1, DATE(2025,1,1), TODAY(),0,1,1 )</f>
        <v>Close</v>
      </c>
      <c r="M2" s="7" t="str" cm="1">
        <f t="array" aca="1" ref="M2:M313" ca="1">_xlfn.STOCKHISTORY(M$1, DATE(2025,1,1), TODAY(),0,1,1 )</f>
        <v>Close</v>
      </c>
      <c r="N2" s="7" t="str" cm="1">
        <f t="array" aca="1" ref="N2:N312" ca="1">_xlfn.STOCKHISTORY(N$1, DATE(2025,1,1), TODAY(),0,1,1 )</f>
        <v>Close</v>
      </c>
      <c r="O2" s="7" t="str" cm="1">
        <f t="array" aca="1" ref="O2:O313" ca="1">_xlfn.STOCKHISTORY(O$1, DATE(2025,1,1), TODAY(),0,1,1 )</f>
        <v>Close</v>
      </c>
      <c r="Q2" s="7" t="s">
        <v>51</v>
      </c>
      <c r="R2" s="7" t="s">
        <v>47</v>
      </c>
      <c r="S2" s="7" t="s">
        <v>48</v>
      </c>
      <c r="T2" s="7" t="s">
        <v>25</v>
      </c>
      <c r="U2" s="7" t="s">
        <v>50</v>
      </c>
      <c r="V2" s="17" t="s">
        <v>20</v>
      </c>
      <c r="W2" s="7" t="s">
        <v>23</v>
      </c>
      <c r="X2" s="7" t="s">
        <v>29</v>
      </c>
      <c r="Y2" s="7" t="s">
        <v>22</v>
      </c>
      <c r="Z2" s="7" t="s">
        <v>27</v>
      </c>
      <c r="AA2" s="7" t="s">
        <v>24</v>
      </c>
      <c r="AB2" s="7">
        <v>639</v>
      </c>
      <c r="AC2" s="7" t="s">
        <v>21</v>
      </c>
      <c r="AD2" s="3"/>
      <c r="AE2" s="18" t="s">
        <v>42</v>
      </c>
      <c r="AG2" s="19" t="str" cm="1">
        <f t="array" aca="1" ref="AG2:AH313" ca="1">_xlfn.STOCKHISTORY(AH$1, DATE(2025,1,1), TODAY(),0,1,,0,1 )</f>
        <v>Date</v>
      </c>
      <c r="AH2" s="12" t="str">
        <f ca="1"/>
        <v>Close</v>
      </c>
      <c r="AI2" s="18"/>
      <c r="AJ2" s="12" t="str" cm="1">
        <f t="array" aca="1" ref="AJ2:AJ315" ca="1">_xlfn.STOCKHISTORY(AJ$1,DATE(2025,1,1),TODAY(),0,1,1)</f>
        <v>Close</v>
      </c>
      <c r="AK2" s="18"/>
      <c r="AL2" s="12" t="str" cm="1">
        <f t="array" aca="1" ref="AL2:AL313" ca="1">_xlfn.STOCKHISTORY(AL$1, DATE(2025,1,1), TODAY(),0,1,1 )</f>
        <v>Close</v>
      </c>
      <c r="AM2" s="20"/>
      <c r="AO2" s="19" t="s">
        <v>42</v>
      </c>
      <c r="AP2" s="7" t="s">
        <v>35</v>
      </c>
      <c r="AQ2" s="7" t="s">
        <v>41</v>
      </c>
      <c r="AR2" s="7" t="s">
        <v>36</v>
      </c>
      <c r="AT2" s="7" t="s">
        <v>45</v>
      </c>
      <c r="AU2" s="18" t="s">
        <v>44</v>
      </c>
      <c r="AV2" s="7" t="s">
        <v>43</v>
      </c>
    </row>
    <row r="3" spans="1:48" x14ac:dyDescent="0.25">
      <c r="A3" vm="1">
        <f ca="1"/>
        <v>45659</v>
      </c>
      <c r="B3" vm="2">
        <f ca="1"/>
        <v>135</v>
      </c>
      <c r="C3" vm="3">
        <f ca="1"/>
        <v>194.6</v>
      </c>
      <c r="D3" vm="4">
        <f ca="1"/>
        <v>306.45</v>
      </c>
      <c r="E3" vm="5">
        <f ca="1"/>
        <v>320.89999999999998</v>
      </c>
      <c r="F3" vm="6">
        <f ca="1"/>
        <v>214.55</v>
      </c>
      <c r="G3" vm="7">
        <f ca="1"/>
        <v>144.6</v>
      </c>
      <c r="H3" vm="8">
        <f ca="1"/>
        <v>407.6</v>
      </c>
      <c r="I3" vm="9">
        <f ca="1"/>
        <v>161.91999999999999</v>
      </c>
      <c r="J3" vm="10">
        <f ca="1"/>
        <v>486.85</v>
      </c>
      <c r="K3" t="e" vm="11">
        <f ca="1"/>
        <v>#N/A</v>
      </c>
      <c r="L3" vm="12">
        <f ca="1"/>
        <v>230.05</v>
      </c>
      <c r="M3" vm="13">
        <f ca="1"/>
        <v>235.25</v>
      </c>
      <c r="N3" vm="14">
        <f ca="1"/>
        <v>24.93</v>
      </c>
      <c r="O3" vm="15">
        <f ca="1"/>
        <v>446.9</v>
      </c>
      <c r="Q3" s="4">
        <f ca="1">N4/N3-1</f>
        <v>-2.2864019253911017E-2</v>
      </c>
      <c r="R3" s="4">
        <f t="shared" ref="R3:R66" ca="1" si="0">E4/E3-1</f>
        <v>6.2324711748207307E-3</v>
      </c>
      <c r="S3" s="4">
        <f t="shared" ref="S3:S66" ca="1" si="1">G4/G3-1</f>
        <v>8.6445366528353995E-2</v>
      </c>
      <c r="T3" s="4">
        <f ca="1">I4/I3-1</f>
        <v>-1.0622529644268797E-2</v>
      </c>
      <c r="U3" s="4">
        <f ca="1">J4/J3-1</f>
        <v>-6.6755674232309437E-3</v>
      </c>
      <c r="V3" s="4">
        <f t="shared" ref="V3:V66" ca="1" si="2">B4/B3-1</f>
        <v>3.7629629629629679E-2</v>
      </c>
      <c r="W3" s="4">
        <f t="shared" ref="W3:W66" ca="1" si="3">F4/F3-1</f>
        <v>1.0953157772081168E-2</v>
      </c>
      <c r="X3" s="4">
        <f t="shared" ref="X3:X66" ca="1" si="4">M4/M3-1</f>
        <v>-2.1253985122210439E-3</v>
      </c>
      <c r="Y3" s="4">
        <f t="shared" ref="Y3:Y66" ca="1" si="5">D4/D3-1</f>
        <v>-1.9579050416054233E-3</v>
      </c>
      <c r="Z3" s="4">
        <f t="shared" ref="Z3:Z66" ca="1" si="6">L4/L3-1</f>
        <v>-1.5431427950445609E-2</v>
      </c>
      <c r="AA3" s="4">
        <f t="shared" ref="AA3:AA66" ca="1" si="7">H4/H3-1</f>
        <v>4.7841020608438978E-3</v>
      </c>
      <c r="AB3" s="4">
        <f ca="1">O4/O3-1</f>
        <v>1.4768404564779569E-2</v>
      </c>
      <c r="AC3" s="4">
        <f ca="1">C4/C3-1</f>
        <v>3.8026721479959003E-2</v>
      </c>
      <c r="AD3" s="4"/>
      <c r="AE3" s="2" cm="1">
        <f t="array" aca="1" ref="AE3" ca="1">SUMPRODUCT(Q3:AB3,TRANSPOSE(Insights.!$H$4:$H$15))</f>
        <v>6.069817833394762E-3</v>
      </c>
      <c r="AG3" s="10" vm="1">
        <f ca="1"/>
        <v>45659</v>
      </c>
      <c r="AH3" s="1" vm="16">
        <f ca="1"/>
        <v>107.84</v>
      </c>
      <c r="AI3" s="2">
        <f t="shared" ref="AI3:AI66" ca="1" si="8">AH4/AH3-1</f>
        <v>1.3724035608308593E-2</v>
      </c>
      <c r="AJ3" s="1" vm="17">
        <f ca="1"/>
        <v>105.3</v>
      </c>
      <c r="AK3" s="2">
        <f ca="1">AJ4/AJ3-1</f>
        <v>-1.9943019943019502E-3</v>
      </c>
      <c r="AL3" s="1" vm="18">
        <f ca="1"/>
        <v>49.045000000000002</v>
      </c>
      <c r="AM3" s="2">
        <f ca="1">AL4/AL3-1</f>
        <v>-2.0389438270984606E-4</v>
      </c>
      <c r="AO3" s="9">
        <v>100</v>
      </c>
      <c r="AP3">
        <v>100</v>
      </c>
      <c r="AQ3">
        <v>100</v>
      </c>
      <c r="AR3">
        <v>100</v>
      </c>
      <c r="AT3" s="21">
        <f ca="1">MAX($AO$3:AO4)</f>
        <v>100.60698178333946</v>
      </c>
      <c r="AU3" s="2">
        <f ca="1">AO3/AT3-1</f>
        <v>-6.0331974240775965E-3</v>
      </c>
      <c r="AV3" s="22">
        <f ca="1">MIN(AU3:AU268)</f>
        <v>-0.24912654652122901</v>
      </c>
    </row>
    <row r="4" spans="1:48" x14ac:dyDescent="0.25">
      <c r="A4" vm="19">
        <f ca="1"/>
        <v>45660</v>
      </c>
      <c r="B4" vm="20">
        <f ca="1"/>
        <v>140.08000000000001</v>
      </c>
      <c r="C4" vm="21">
        <f ca="1"/>
        <v>202</v>
      </c>
      <c r="D4" vm="22">
        <f ca="1"/>
        <v>305.85000000000002</v>
      </c>
      <c r="E4" vm="23">
        <f ca="1"/>
        <v>322.89999999999998</v>
      </c>
      <c r="F4" vm="24">
        <f ca="1"/>
        <v>216.9</v>
      </c>
      <c r="G4" vm="25">
        <f ca="1"/>
        <v>157.1</v>
      </c>
      <c r="H4" vm="26">
        <f ca="1"/>
        <v>409.55</v>
      </c>
      <c r="I4" vm="27">
        <f ca="1"/>
        <v>160.19999999999999</v>
      </c>
      <c r="J4" vm="28">
        <f ca="1"/>
        <v>483.6</v>
      </c>
      <c r="K4" t="e" vm="11">
        <f ca="1"/>
        <v>#N/A</v>
      </c>
      <c r="L4" vm="29">
        <f ca="1"/>
        <v>226.5</v>
      </c>
      <c r="M4" vm="30">
        <f ca="1"/>
        <v>234.75</v>
      </c>
      <c r="N4" vm="31">
        <f ca="1"/>
        <v>24.36</v>
      </c>
      <c r="O4" vm="32">
        <f ca="1"/>
        <v>453.5</v>
      </c>
      <c r="Q4" s="4">
        <f t="shared" ref="Q4:Q66" ca="1" si="9">N5/N4-1</f>
        <v>5.5418719211822731E-2</v>
      </c>
      <c r="R4" s="4">
        <f t="shared" ca="1" si="0"/>
        <v>-2.4465778878909772E-2</v>
      </c>
      <c r="S4" s="4">
        <f t="shared" ca="1" si="1"/>
        <v>-1.9096117122850975E-3</v>
      </c>
      <c r="T4" s="4">
        <f t="shared" ref="T4:T67" ca="1" si="10">I5/I4-1</f>
        <v>-3.445692883895124E-2</v>
      </c>
      <c r="U4" s="4">
        <f t="shared" ref="U4:U67" ca="1" si="11">J5/J4-1</f>
        <v>7.030603804797364E-3</v>
      </c>
      <c r="V4" s="4">
        <f t="shared" ca="1" si="2"/>
        <v>2.4557395773843416E-2</v>
      </c>
      <c r="W4" s="4">
        <f t="shared" ca="1" si="3"/>
        <v>8.9903181189487924E-3</v>
      </c>
      <c r="X4" s="4">
        <f t="shared" ca="1" si="4"/>
        <v>-6.8157614483492779E-3</v>
      </c>
      <c r="Y4" s="4">
        <f t="shared" ca="1" si="5"/>
        <v>-1.7982671244073933E-2</v>
      </c>
      <c r="Z4" s="4">
        <f t="shared" ca="1" si="6"/>
        <v>1.1037527593817931E-3</v>
      </c>
      <c r="AA4" s="4">
        <f t="shared" ca="1" si="7"/>
        <v>5.0054938346966171E-3</v>
      </c>
      <c r="AB4" s="4">
        <f t="shared" ref="AB4:AB67" ca="1" si="12">O5/O4-1</f>
        <v>-9.1510474090407135E-3</v>
      </c>
      <c r="AC4" s="4">
        <f t="shared" ref="AC4:AC67" ca="1" si="13">C5/C4-1</f>
        <v>4.7029702970297071E-2</v>
      </c>
      <c r="AD4" s="4"/>
      <c r="AE4" s="2" cm="1">
        <f t="array" aca="1" ref="AE4" ca="1">SUMPRODUCT(Q4:AB4,TRANSPOSE(Insights.!$H$4:$H$15))</f>
        <v>-6.1084124915218368E-4</v>
      </c>
      <c r="AG4" s="10" vm="19">
        <f ca="1"/>
        <v>45660</v>
      </c>
      <c r="AH4" s="1" vm="33">
        <f ca="1"/>
        <v>109.32</v>
      </c>
      <c r="AI4" s="2">
        <f t="shared" ca="1" si="8"/>
        <v>-2.6070252469813093E-3</v>
      </c>
      <c r="AJ4" s="1" vm="34">
        <f ca="1"/>
        <v>105.09</v>
      </c>
      <c r="AK4" s="2">
        <f t="shared" ref="AK4:AK67" ca="1" si="14">AJ5/AJ4-1</f>
        <v>6.5182224759730012E-3</v>
      </c>
      <c r="AL4" s="1" vm="35">
        <f ca="1"/>
        <v>49.034999999999997</v>
      </c>
      <c r="AM4" s="2">
        <f t="shared" ref="AM4:AM67" ca="1" si="15">AL5/AL4-1</f>
        <v>2.008769246456632E-2</v>
      </c>
      <c r="AO4" s="9">
        <f t="shared" ref="AO4:AO67" ca="1" si="16">AO3*(1+AE3)</f>
        <v>100.60698178333946</v>
      </c>
      <c r="AP4">
        <f t="shared" ref="AP4:AP67" ca="1" si="17">AP3*(1+AI3)</f>
        <v>101.37240356083086</v>
      </c>
      <c r="AQ4">
        <f t="shared" ref="AQ4:AQ67" ca="1" si="18">AQ3*(1+AK3)</f>
        <v>99.800569800569804</v>
      </c>
      <c r="AR4">
        <f t="shared" ref="AR4:AR67" ca="1" si="19">AR3*(1+AM3)</f>
        <v>99.979610561729018</v>
      </c>
      <c r="AT4" s="21">
        <f ca="1">MAX($AO$3:AO5)</f>
        <v>100.60698178333946</v>
      </c>
      <c r="AU4" s="2">
        <f t="shared" ref="AU4:AU67" ca="1" si="20">AO4/AT4-1</f>
        <v>0</v>
      </c>
    </row>
    <row r="5" spans="1:48" x14ac:dyDescent="0.25">
      <c r="A5" vm="36">
        <f ca="1"/>
        <v>45663</v>
      </c>
      <c r="B5" vm="37">
        <f ca="1"/>
        <v>143.52000000000001</v>
      </c>
      <c r="C5" vm="38">
        <f ca="1"/>
        <v>211.5</v>
      </c>
      <c r="D5" vm="39">
        <f ca="1"/>
        <v>300.35000000000002</v>
      </c>
      <c r="E5" vm="40">
        <f ca="1"/>
        <v>315</v>
      </c>
      <c r="F5" vm="41">
        <f ca="1"/>
        <v>218.85</v>
      </c>
      <c r="G5" vm="42">
        <f ca="1"/>
        <v>156.80000000000001</v>
      </c>
      <c r="H5" vm="43">
        <f ca="1"/>
        <v>411.6</v>
      </c>
      <c r="I5" vm="44">
        <f ca="1"/>
        <v>154.68</v>
      </c>
      <c r="J5" vm="45">
        <f ca="1"/>
        <v>487</v>
      </c>
      <c r="K5" t="e" vm="11">
        <f ca="1"/>
        <v>#N/A</v>
      </c>
      <c r="L5" vm="46">
        <f ca="1"/>
        <v>226.75</v>
      </c>
      <c r="M5" vm="47">
        <f ca="1"/>
        <v>233.15</v>
      </c>
      <c r="N5" vm="48">
        <f ca="1"/>
        <v>25.71</v>
      </c>
      <c r="O5" vm="49">
        <f ca="1"/>
        <v>449.35</v>
      </c>
      <c r="Q5" s="4">
        <f t="shared" ca="1" si="9"/>
        <v>1.4391287436794853E-2</v>
      </c>
      <c r="R5" s="4">
        <f t="shared" ca="1" si="0"/>
        <v>-3.6507936507935712E-3</v>
      </c>
      <c r="S5" s="4">
        <f t="shared" ca="1" si="1"/>
        <v>1.7538265306122458E-2</v>
      </c>
      <c r="T5" s="4">
        <f t="shared" ca="1" si="10"/>
        <v>7.6286527023532447E-3</v>
      </c>
      <c r="U5" s="4">
        <f t="shared" ca="1" si="11"/>
        <v>-1.8891170431211468E-2</v>
      </c>
      <c r="V5" s="4">
        <f t="shared" ca="1" si="2"/>
        <v>-5.3929765886287728E-2</v>
      </c>
      <c r="W5" s="4">
        <f t="shared" ca="1" si="3"/>
        <v>-2.0105094813799407E-2</v>
      </c>
      <c r="X5" s="4">
        <f t="shared" ca="1" si="4"/>
        <v>1.2652798627492912E-2</v>
      </c>
      <c r="Y5" s="4">
        <f t="shared" ca="1" si="5"/>
        <v>7.4912601964374215E-3</v>
      </c>
      <c r="Z5" s="4">
        <f t="shared" ca="1" si="6"/>
        <v>-1.2127894156560126E-2</v>
      </c>
      <c r="AA5" s="4">
        <f t="shared" ca="1" si="7"/>
        <v>-6.0738581146744242E-3</v>
      </c>
      <c r="AB5" s="4">
        <f t="shared" ca="1" si="12"/>
        <v>-1.101591187270512E-2</v>
      </c>
      <c r="AC5" s="4">
        <f t="shared" ca="1" si="13"/>
        <v>-3.3096926713948038E-2</v>
      </c>
      <c r="AD5" s="4"/>
      <c r="AE5" s="2" cm="1">
        <f t="array" aca="1" ref="AE5" ca="1">SUMPRODUCT(Q5:AB5,TRANSPOSE(Insights.!$H$4:$H$15))</f>
        <v>-3.9797378780258071E-3</v>
      </c>
      <c r="AG5" s="10" vm="36">
        <f ca="1"/>
        <v>45663</v>
      </c>
      <c r="AH5" s="1" vm="50">
        <f ca="1"/>
        <v>109.035</v>
      </c>
      <c r="AI5" s="2">
        <f t="shared" ca="1" si="8"/>
        <v>-7.0160957490713605E-3</v>
      </c>
      <c r="AJ5" s="1" vm="51">
        <f ca="1"/>
        <v>105.77500000000001</v>
      </c>
      <c r="AK5" s="2">
        <f t="shared" ca="1" si="14"/>
        <v>-6.854171590640612E-3</v>
      </c>
      <c r="AL5" s="1" vm="52">
        <f ca="1"/>
        <v>50.02</v>
      </c>
      <c r="AM5" s="2">
        <f t="shared" ca="1" si="15"/>
        <v>4.1983206717310928E-3</v>
      </c>
      <c r="AO5" s="9">
        <f t="shared" ca="1" si="16"/>
        <v>100.5455268889135</v>
      </c>
      <c r="AP5">
        <f t="shared" ca="1" si="17"/>
        <v>101.1081231454006</v>
      </c>
      <c r="AQ5">
        <f t="shared" ca="1" si="18"/>
        <v>100.45109211775879</v>
      </c>
      <c r="AR5">
        <f t="shared" ca="1" si="19"/>
        <v>101.98797023142014</v>
      </c>
      <c r="AT5" s="21">
        <f ca="1">MAX($AO$3:AO6)</f>
        <v>100.60698178333946</v>
      </c>
      <c r="AU5" s="2">
        <f t="shared" ca="1" si="20"/>
        <v>-6.1084124915211646E-4</v>
      </c>
    </row>
    <row r="6" spans="1:48" x14ac:dyDescent="0.25">
      <c r="A6" vm="53">
        <f ca="1"/>
        <v>45664</v>
      </c>
      <c r="B6" vm="54">
        <f ca="1"/>
        <v>135.78</v>
      </c>
      <c r="C6" vm="55">
        <f ca="1"/>
        <v>204.5</v>
      </c>
      <c r="D6" vm="56">
        <f ca="1"/>
        <v>302.60000000000002</v>
      </c>
      <c r="E6" vm="57">
        <f ca="1"/>
        <v>313.85000000000002</v>
      </c>
      <c r="F6" vm="58">
        <f ca="1"/>
        <v>214.45</v>
      </c>
      <c r="G6" vm="59">
        <f ca="1"/>
        <v>159.55000000000001</v>
      </c>
      <c r="H6" vm="60">
        <f ca="1"/>
        <v>409.1</v>
      </c>
      <c r="I6" vm="61">
        <f ca="1"/>
        <v>155.86000000000001</v>
      </c>
      <c r="J6" vm="62">
        <f ca="1"/>
        <v>477.8</v>
      </c>
      <c r="K6" t="e" vm="11">
        <f ca="1"/>
        <v>#N/A</v>
      </c>
      <c r="L6" vm="63">
        <f ca="1"/>
        <v>224</v>
      </c>
      <c r="M6" vm="64">
        <f ca="1"/>
        <v>236.1</v>
      </c>
      <c r="N6" vm="65">
        <f ca="1"/>
        <v>26.08</v>
      </c>
      <c r="O6" vm="66">
        <f ca="1"/>
        <v>444.4</v>
      </c>
      <c r="Q6" s="4">
        <f t="shared" ca="1" si="9"/>
        <v>-1.6487730061349737E-2</v>
      </c>
      <c r="R6" s="4">
        <f t="shared" ca="1" si="0"/>
        <v>7.0097180181614149E-3</v>
      </c>
      <c r="S6" s="4">
        <f t="shared" ca="1" si="1"/>
        <v>-4.1993105609526848E-2</v>
      </c>
      <c r="T6" s="4">
        <f t="shared" ca="1" si="10"/>
        <v>5.9027332221224249E-3</v>
      </c>
      <c r="U6" s="4">
        <f t="shared" ca="1" si="11"/>
        <v>-2.5115110925072459E-3</v>
      </c>
      <c r="V6" s="4">
        <f t="shared" ca="1" si="2"/>
        <v>-1.4729709824723436E-4</v>
      </c>
      <c r="W6" s="4">
        <f t="shared" ca="1" si="3"/>
        <v>6.5283282816508414E-3</v>
      </c>
      <c r="X6" s="4">
        <f t="shared" ca="1" si="4"/>
        <v>-4.4472681067343478E-3</v>
      </c>
      <c r="Y6" s="4">
        <f t="shared" ca="1" si="5"/>
        <v>4.6265697290150953E-3</v>
      </c>
      <c r="Z6" s="4">
        <f t="shared" ca="1" si="6"/>
        <v>-2.4553571428571619E-3</v>
      </c>
      <c r="AA6" s="4">
        <f t="shared" ca="1" si="7"/>
        <v>4.6443412368613046E-3</v>
      </c>
      <c r="AB6" s="4">
        <f t="shared" ca="1" si="12"/>
        <v>3.3078307830783249E-2</v>
      </c>
      <c r="AC6" s="4">
        <f t="shared" ca="1" si="13"/>
        <v>-1.2224938875305624E-2</v>
      </c>
      <c r="AD6" s="4"/>
      <c r="AE6" s="2" cm="1">
        <f t="array" aca="1" ref="AE6" ca="1">SUMPRODUCT(Q6:AB6,TRANSPOSE(Insights.!$H$4:$H$15))</f>
        <v>-2.2162335094504625E-4</v>
      </c>
      <c r="AG6" s="10" vm="53">
        <f ca="1"/>
        <v>45664</v>
      </c>
      <c r="AH6" s="1" vm="67">
        <f ca="1"/>
        <v>108.27</v>
      </c>
      <c r="AI6" s="2">
        <f t="shared" ca="1" si="8"/>
        <v>3.4173824697516508E-3</v>
      </c>
      <c r="AJ6" s="1" vm="68">
        <f ca="1"/>
        <v>105.05</v>
      </c>
      <c r="AK6" s="2">
        <f t="shared" ca="1" si="14"/>
        <v>2.8557829604958229E-4</v>
      </c>
      <c r="AL6" s="1" vm="69">
        <f ca="1"/>
        <v>50.23</v>
      </c>
      <c r="AM6" s="2">
        <f t="shared" ca="1" si="15"/>
        <v>-1.1945052757315056E-3</v>
      </c>
      <c r="AO6" s="9">
        <f t="shared" ca="1" si="16"/>
        <v>100.14538204708762</v>
      </c>
      <c r="AP6">
        <f t="shared" ca="1" si="17"/>
        <v>100.39873887240357</v>
      </c>
      <c r="AQ6">
        <f t="shared" ca="1" si="18"/>
        <v>99.762583095916426</v>
      </c>
      <c r="AR6">
        <f t="shared" ca="1" si="19"/>
        <v>102.4161484351106</v>
      </c>
      <c r="AT6" s="21">
        <f ca="1">MAX($AO$3:AO7)</f>
        <v>100.60698178333946</v>
      </c>
      <c r="AU6" s="2">
        <f t="shared" ca="1" si="20"/>
        <v>-4.5881481391213397E-3</v>
      </c>
    </row>
    <row r="7" spans="1:48" x14ac:dyDescent="0.25">
      <c r="A7" vm="70">
        <f ca="1"/>
        <v>45665</v>
      </c>
      <c r="B7" vm="71">
        <f ca="1"/>
        <v>135.76</v>
      </c>
      <c r="C7" vm="21">
        <f ca="1"/>
        <v>202</v>
      </c>
      <c r="D7" vm="72">
        <f ca="1"/>
        <v>304</v>
      </c>
      <c r="E7" vm="73">
        <f ca="1"/>
        <v>316.05</v>
      </c>
      <c r="F7" vm="74">
        <f ca="1"/>
        <v>215.85</v>
      </c>
      <c r="G7" vm="75">
        <f ca="1"/>
        <v>152.85</v>
      </c>
      <c r="H7" vm="76">
        <f ca="1"/>
        <v>411</v>
      </c>
      <c r="I7" vm="77">
        <f ca="1"/>
        <v>156.78</v>
      </c>
      <c r="J7" vm="78">
        <f ca="1"/>
        <v>476.6</v>
      </c>
      <c r="K7" t="e" vm="11">
        <f ca="1"/>
        <v>#N/A</v>
      </c>
      <c r="L7" vm="79">
        <f ca="1"/>
        <v>223.45</v>
      </c>
      <c r="M7" vm="80">
        <f ca="1"/>
        <v>235.05</v>
      </c>
      <c r="N7" vm="81">
        <f ca="1"/>
        <v>25.65</v>
      </c>
      <c r="O7" vm="82">
        <f ca="1"/>
        <v>459.1</v>
      </c>
      <c r="Q7" s="4">
        <f t="shared" ca="1" si="9"/>
        <v>1.1695906432749315E-3</v>
      </c>
      <c r="R7" s="4">
        <f t="shared" ca="1" si="0"/>
        <v>4.1132732162632024E-3</v>
      </c>
      <c r="S7" s="4">
        <f t="shared" ca="1" si="1"/>
        <v>4.1543997383055142E-2</v>
      </c>
      <c r="T7" s="4">
        <f t="shared" ca="1" si="10"/>
        <v>7.7816047965302282E-3</v>
      </c>
      <c r="U7" s="4">
        <f t="shared" ca="1" si="11"/>
        <v>3.566932438103132E-3</v>
      </c>
      <c r="V7" s="4">
        <f t="shared" ca="1" si="2"/>
        <v>-4.5668827342368878E-3</v>
      </c>
      <c r="W7" s="4">
        <f t="shared" ca="1" si="3"/>
        <v>-2.3164234422046182E-4</v>
      </c>
      <c r="X7" s="4">
        <f t="shared" ca="1" si="4"/>
        <v>1.5528610933843723E-2</v>
      </c>
      <c r="Y7" s="4">
        <f t="shared" ca="1" si="5"/>
        <v>1.644736842105754E-4</v>
      </c>
      <c r="Z7" s="4">
        <f t="shared" ca="1" si="6"/>
        <v>-9.6218393376593658E-3</v>
      </c>
      <c r="AA7" s="4">
        <f t="shared" ca="1" si="7"/>
        <v>3.0413625304135383E-3</v>
      </c>
      <c r="AB7" s="4">
        <f t="shared" ca="1" si="12"/>
        <v>1.0564147244608968E-2</v>
      </c>
      <c r="AC7" s="4">
        <f t="shared" ca="1" si="13"/>
        <v>1.2376237623762387E-2</v>
      </c>
      <c r="AD7" s="4"/>
      <c r="AE7" s="2" cm="1">
        <f t="array" aca="1" ref="AE7" ca="1">SUMPRODUCT(Q7:AB7,TRANSPOSE(Insights.!$H$4:$H$15))</f>
        <v>5.6530903826664822E-3</v>
      </c>
      <c r="AG7" s="10" vm="70">
        <f ca="1"/>
        <v>45665</v>
      </c>
      <c r="AH7" s="1" vm="83">
        <f ca="1"/>
        <v>108.64</v>
      </c>
      <c r="AI7" s="2">
        <f t="shared" ca="1" si="8"/>
        <v>4.6023564064801015E-4</v>
      </c>
      <c r="AJ7" s="1" vm="84">
        <f ca="1"/>
        <v>105.08</v>
      </c>
      <c r="AK7" s="2">
        <f t="shared" ca="1" si="14"/>
        <v>6.6615911686351836E-4</v>
      </c>
      <c r="AL7" s="1" vm="85">
        <f ca="1"/>
        <v>50.17</v>
      </c>
      <c r="AM7" s="2">
        <f t="shared" ca="1" si="15"/>
        <v>5.3817022124775793E-3</v>
      </c>
      <c r="AO7" s="9">
        <f t="shared" ca="1" si="16"/>
        <v>100.12318749193668</v>
      </c>
      <c r="AP7">
        <f t="shared" ca="1" si="17"/>
        <v>100.74183976261129</v>
      </c>
      <c r="AQ7">
        <f t="shared" ca="1" si="18"/>
        <v>99.791073124406466</v>
      </c>
      <c r="AR7">
        <f t="shared" ca="1" si="19"/>
        <v>102.29381180548476</v>
      </c>
      <c r="AT7" s="21">
        <f ca="1">MAX($AO$3:AO8)</f>
        <v>100.68919292022927</v>
      </c>
      <c r="AU7" s="2">
        <f t="shared" ca="1" si="20"/>
        <v>-5.6213125945007159E-3</v>
      </c>
    </row>
    <row r="8" spans="1:48" x14ac:dyDescent="0.25">
      <c r="A8" vm="86">
        <f ca="1"/>
        <v>45666</v>
      </c>
      <c r="B8" vm="87">
        <f ca="1"/>
        <v>135.13999999999999</v>
      </c>
      <c r="C8" vm="55">
        <f ca="1"/>
        <v>204.5</v>
      </c>
      <c r="D8" vm="88">
        <f ca="1"/>
        <v>304.05</v>
      </c>
      <c r="E8" vm="89">
        <f ca="1"/>
        <v>317.35000000000002</v>
      </c>
      <c r="F8" vm="90">
        <f ca="1"/>
        <v>215.8</v>
      </c>
      <c r="G8" vm="91">
        <f ca="1"/>
        <v>159.19999999999999</v>
      </c>
      <c r="H8" vm="92">
        <f ca="1"/>
        <v>412.25</v>
      </c>
      <c r="I8" vm="93">
        <f ca="1"/>
        <v>158</v>
      </c>
      <c r="J8" vm="94">
        <f ca="1"/>
        <v>478.3</v>
      </c>
      <c r="K8" t="e" vm="11">
        <f ca="1"/>
        <v>#N/A</v>
      </c>
      <c r="L8" vm="95">
        <f ca="1"/>
        <v>221.3</v>
      </c>
      <c r="M8" vm="96">
        <f ca="1"/>
        <v>238.7</v>
      </c>
      <c r="N8" vm="97">
        <f ca="1"/>
        <v>25.68</v>
      </c>
      <c r="O8" vm="98">
        <f ca="1"/>
        <v>463.95</v>
      </c>
      <c r="Q8" s="4">
        <f t="shared" ca="1" si="9"/>
        <v>-1.8691588785046731E-2</v>
      </c>
      <c r="R8" s="4">
        <f t="shared" ca="1" si="0"/>
        <v>-2.4736095793288282E-2</v>
      </c>
      <c r="S8" s="4">
        <f t="shared" ca="1" si="1"/>
        <v>1.7587939698492594E-2</v>
      </c>
      <c r="T8" s="4">
        <f t="shared" ca="1" si="10"/>
        <v>-2.5316455696202556E-2</v>
      </c>
      <c r="U8" s="4">
        <f t="shared" ca="1" si="11"/>
        <v>-9.5128580388877948E-3</v>
      </c>
      <c r="V8" s="4">
        <f t="shared" ca="1" si="2"/>
        <v>-1.9535296729317642E-2</v>
      </c>
      <c r="W8" s="4">
        <f t="shared" ca="1" si="3"/>
        <v>-8.3410565338276621E-3</v>
      </c>
      <c r="X8" s="4">
        <f t="shared" ca="1" si="4"/>
        <v>-1.7176372015081709E-2</v>
      </c>
      <c r="Y8" s="4">
        <f t="shared" ca="1" si="5"/>
        <v>-1.5293537247163425E-2</v>
      </c>
      <c r="Z8" s="4">
        <f t="shared" ca="1" si="6"/>
        <v>-1.4685946678716699E-2</v>
      </c>
      <c r="AA8" s="4">
        <f t="shared" ca="1" si="7"/>
        <v>-4.9727107337780296E-3</v>
      </c>
      <c r="AB8" s="4">
        <f t="shared" ca="1" si="12"/>
        <v>-2.9313503610302716E-2</v>
      </c>
      <c r="AC8" s="4">
        <f t="shared" ca="1" si="13"/>
        <v>-9.7799511002445438E-3</v>
      </c>
      <c r="AD8" s="4"/>
      <c r="AE8" s="2" cm="1">
        <f t="array" aca="1" ref="AE8" ca="1">SUMPRODUCT(Q8:AB8,TRANSPOSE(Insights.!$H$4:$H$15))</f>
        <v>-1.3225094742031171E-2</v>
      </c>
      <c r="AG8" s="10" vm="86">
        <f ca="1"/>
        <v>45666</v>
      </c>
      <c r="AH8" s="1" vm="99">
        <f ca="1"/>
        <v>108.69</v>
      </c>
      <c r="AI8" s="2">
        <f t="shared" ca="1" si="8"/>
        <v>-1.5640813322292946E-3</v>
      </c>
      <c r="AJ8" s="1" vm="100">
        <f ca="1"/>
        <v>105.15</v>
      </c>
      <c r="AK8" s="2">
        <f t="shared" ca="1" si="14"/>
        <v>-9.6053257251546009E-3</v>
      </c>
      <c r="AL8" s="1" vm="101">
        <f ca="1"/>
        <v>50.44</v>
      </c>
      <c r="AM8" s="2">
        <f t="shared" ca="1" si="15"/>
        <v>-2.7755749405233843E-3</v>
      </c>
      <c r="AO8" s="9">
        <f t="shared" ca="1" si="16"/>
        <v>100.68919292022927</v>
      </c>
      <c r="AP8">
        <f t="shared" ca="1" si="17"/>
        <v>100.7882047477745</v>
      </c>
      <c r="AQ8">
        <f t="shared" ca="1" si="18"/>
        <v>99.857549857549884</v>
      </c>
      <c r="AR8">
        <f t="shared" ca="1" si="19"/>
        <v>102.84432663880111</v>
      </c>
      <c r="AT8" s="21">
        <f ca="1">MAX($AO$3:AO9)</f>
        <v>100.68919292022927</v>
      </c>
      <c r="AU8" s="2">
        <f t="shared" ca="1" si="20"/>
        <v>0</v>
      </c>
    </row>
    <row r="9" spans="1:48" x14ac:dyDescent="0.25">
      <c r="A9" vm="102">
        <f ca="1"/>
        <v>45667</v>
      </c>
      <c r="B9" vm="103">
        <f ca="1"/>
        <v>132.5</v>
      </c>
      <c r="C9" vm="104">
        <f ca="1"/>
        <v>202.5</v>
      </c>
      <c r="D9" vm="105">
        <f ca="1"/>
        <v>299.39999999999998</v>
      </c>
      <c r="E9" vm="106">
        <f ca="1"/>
        <v>309.5</v>
      </c>
      <c r="F9" vm="107">
        <f ca="1"/>
        <v>214</v>
      </c>
      <c r="G9" vm="108">
        <f ca="1"/>
        <v>162</v>
      </c>
      <c r="H9" vm="109">
        <f ca="1"/>
        <v>410.2</v>
      </c>
      <c r="I9" vm="110">
        <f ca="1"/>
        <v>154</v>
      </c>
      <c r="J9" vm="111">
        <f ca="1"/>
        <v>473.75</v>
      </c>
      <c r="K9" t="e" vm="11">
        <f ca="1"/>
        <v>#N/A</v>
      </c>
      <c r="L9" vm="112">
        <f ca="1"/>
        <v>218.05</v>
      </c>
      <c r="M9" vm="113">
        <f ca="1"/>
        <v>234.6</v>
      </c>
      <c r="N9" vm="114">
        <f ca="1"/>
        <v>25.2</v>
      </c>
      <c r="O9" vm="115">
        <f ca="1"/>
        <v>450.35</v>
      </c>
      <c r="Q9" s="4">
        <f t="shared" ca="1" si="9"/>
        <v>2.4999999999999911E-2</v>
      </c>
      <c r="R9" s="4">
        <f t="shared" ca="1" si="0"/>
        <v>5.6542810985460434E-3</v>
      </c>
      <c r="S9" s="4">
        <f t="shared" ca="1" si="1"/>
        <v>-3.302469135802466E-2</v>
      </c>
      <c r="T9" s="4">
        <f t="shared" ca="1" si="10"/>
        <v>1.1168831168831161E-2</v>
      </c>
      <c r="U9" s="4">
        <f t="shared" ca="1" si="11"/>
        <v>-7.1767810026385215E-3</v>
      </c>
      <c r="V9" s="4">
        <f t="shared" ca="1" si="2"/>
        <v>-1.6301886792452813E-2</v>
      </c>
      <c r="W9" s="4">
        <f t="shared" ca="1" si="3"/>
        <v>-9.3457943925223663E-4</v>
      </c>
      <c r="X9" s="4">
        <f t="shared" ca="1" si="4"/>
        <v>9.8039215686274161E-3</v>
      </c>
      <c r="Y9" s="4">
        <f t="shared" ca="1" si="5"/>
        <v>6.6800267201094776E-4</v>
      </c>
      <c r="Z9" s="4">
        <f t="shared" ca="1" si="6"/>
        <v>1.2153175877092304E-2</v>
      </c>
      <c r="AA9" s="4">
        <f t="shared" ca="1" si="7"/>
        <v>-5.2413456850316509E-3</v>
      </c>
      <c r="AB9" s="4">
        <f t="shared" ca="1" si="12"/>
        <v>1.5543466192959876E-3</v>
      </c>
      <c r="AC9" s="4">
        <f t="shared" ca="1" si="13"/>
        <v>-2.6172839506172885E-2</v>
      </c>
      <c r="AD9" s="4"/>
      <c r="AE9" s="2" cm="1">
        <f t="array" aca="1" ref="AE9" ca="1">SUMPRODUCT(Q9:AB9,TRANSPOSE(Insights.!$H$4:$H$15))</f>
        <v>9.6623358761815589E-4</v>
      </c>
      <c r="AG9" s="10" vm="102">
        <f ca="1"/>
        <v>45667</v>
      </c>
      <c r="AH9" s="1" vm="116">
        <f ca="1"/>
        <v>108.52</v>
      </c>
      <c r="AI9" s="2">
        <f t="shared" ca="1" si="8"/>
        <v>-5.6210836712127232E-3</v>
      </c>
      <c r="AJ9" s="1" vm="117">
        <f ca="1"/>
        <v>104.14</v>
      </c>
      <c r="AK9" s="2">
        <f t="shared" ca="1" si="14"/>
        <v>-1.6324178989821636E-3</v>
      </c>
      <c r="AL9" s="1" vm="118">
        <f ca="1"/>
        <v>50.3</v>
      </c>
      <c r="AM9" s="2">
        <f t="shared" ca="1" si="15"/>
        <v>-6.3618290258449228E-3</v>
      </c>
      <c r="AO9" s="9">
        <f t="shared" ca="1" si="16"/>
        <v>99.357568804360596</v>
      </c>
      <c r="AP9">
        <f t="shared" ca="1" si="17"/>
        <v>100.6305637982196</v>
      </c>
      <c r="AQ9">
        <f t="shared" ca="1" si="18"/>
        <v>98.898385565052251</v>
      </c>
      <c r="AR9">
        <f t="shared" ca="1" si="19"/>
        <v>102.55887450300744</v>
      </c>
      <c r="AT9" s="21">
        <f ca="1">MAX($AO$3:AO10)</f>
        <v>100.68919292022927</v>
      </c>
      <c r="AU9" s="2">
        <f t="shared" ca="1" si="20"/>
        <v>-1.3225094742031041E-2</v>
      </c>
    </row>
    <row r="10" spans="1:48" x14ac:dyDescent="0.25">
      <c r="A10" vm="119">
        <f ca="1"/>
        <v>45670</v>
      </c>
      <c r="B10" vm="120">
        <f ca="1"/>
        <v>130.34</v>
      </c>
      <c r="C10" vm="121">
        <f ca="1"/>
        <v>197.2</v>
      </c>
      <c r="D10" vm="122">
        <f ca="1"/>
        <v>299.60000000000002</v>
      </c>
      <c r="E10" vm="123">
        <f ca="1"/>
        <v>311.25</v>
      </c>
      <c r="F10" vm="124">
        <f ca="1"/>
        <v>213.8</v>
      </c>
      <c r="G10" vm="125">
        <f ca="1"/>
        <v>156.65</v>
      </c>
      <c r="H10" vm="126">
        <f ca="1"/>
        <v>408.05</v>
      </c>
      <c r="I10" vm="127">
        <f ca="1"/>
        <v>155.72</v>
      </c>
      <c r="J10" vm="128">
        <f ca="1"/>
        <v>470.35</v>
      </c>
      <c r="K10" t="e" vm="11">
        <f ca="1"/>
        <v>#N/A</v>
      </c>
      <c r="L10" vm="129">
        <f ca="1"/>
        <v>220.7</v>
      </c>
      <c r="M10" vm="130">
        <f ca="1"/>
        <v>236.9</v>
      </c>
      <c r="N10" vm="131">
        <f ca="1"/>
        <v>25.83</v>
      </c>
      <c r="O10" vm="132">
        <f ca="1"/>
        <v>451.05</v>
      </c>
      <c r="Q10" s="4">
        <f t="shared" ca="1" si="9"/>
        <v>7.3557878435928092E-3</v>
      </c>
      <c r="R10" s="4">
        <f t="shared" ca="1" si="0"/>
        <v>7.0682730923694592E-3</v>
      </c>
      <c r="S10" s="4">
        <f t="shared" ca="1" si="1"/>
        <v>5.6495371848068965E-2</v>
      </c>
      <c r="T10" s="4">
        <f t="shared" ca="1" si="10"/>
        <v>-3.0824556896994482E-3</v>
      </c>
      <c r="U10" s="4">
        <f t="shared" ca="1" si="11"/>
        <v>-1.9134686935261547E-3</v>
      </c>
      <c r="V10" s="4">
        <f t="shared" ca="1" si="2"/>
        <v>-2.3937394506674869E-2</v>
      </c>
      <c r="W10" s="4">
        <f t="shared" ca="1" si="3"/>
        <v>-1.3797942001871011E-2</v>
      </c>
      <c r="X10" s="4">
        <f t="shared" ca="1" si="4"/>
        <v>1.3085690164626351E-2</v>
      </c>
      <c r="Y10" s="4">
        <f t="shared" ca="1" si="5"/>
        <v>5.00667556742318E-3</v>
      </c>
      <c r="Z10" s="4">
        <f t="shared" ca="1" si="6"/>
        <v>-3.8513819664702797E-3</v>
      </c>
      <c r="AA10" s="4">
        <f t="shared" ca="1" si="7"/>
        <v>-1.788996446513913E-2</v>
      </c>
      <c r="AB10" s="4">
        <f t="shared" ca="1" si="12"/>
        <v>5.8751801352399102E-3</v>
      </c>
      <c r="AC10" s="4">
        <f t="shared" ca="1" si="13"/>
        <v>-1.8255578093306246E-2</v>
      </c>
      <c r="AD10" s="4"/>
      <c r="AE10" s="2" cm="1">
        <f t="array" aca="1" ref="AE10" ca="1">SUMPRODUCT(Q10:AB10,TRANSPOSE(Insights.!$H$4:$H$15))</f>
        <v>3.3228566505197426E-3</v>
      </c>
      <c r="AG10" s="10" vm="119">
        <f ca="1"/>
        <v>45670</v>
      </c>
      <c r="AH10" s="1" vm="133">
        <f ca="1"/>
        <v>107.91</v>
      </c>
      <c r="AI10" s="2">
        <f t="shared" ca="1" si="8"/>
        <v>-3.845797423778996E-3</v>
      </c>
      <c r="AJ10" s="1" vm="134">
        <f ca="1"/>
        <v>103.97</v>
      </c>
      <c r="AK10" s="2">
        <f t="shared" ca="1" si="14"/>
        <v>-1.3465422718091924E-3</v>
      </c>
      <c r="AL10" s="1" vm="135">
        <f ca="1"/>
        <v>49.98</v>
      </c>
      <c r="AM10" s="2">
        <f t="shared" ca="1" si="15"/>
        <v>2.000800320128171E-3</v>
      </c>
      <c r="AO10" s="9">
        <f t="shared" ca="1" si="16"/>
        <v>99.453571424523446</v>
      </c>
      <c r="AP10">
        <f t="shared" ca="1" si="17"/>
        <v>100.0649109792285</v>
      </c>
      <c r="AQ10">
        <f t="shared" ca="1" si="18"/>
        <v>98.736942070275418</v>
      </c>
      <c r="AR10">
        <f t="shared" ca="1" si="19"/>
        <v>101.90641247833622</v>
      </c>
      <c r="AT10" s="21">
        <f ca="1">MAX($AO$3:AO11)</f>
        <v>100.68919292022927</v>
      </c>
      <c r="AU10" s="2">
        <f t="shared" ca="1" si="20"/>
        <v>-1.2271639685152214E-2</v>
      </c>
    </row>
    <row r="11" spans="1:48" x14ac:dyDescent="0.25">
      <c r="A11" vm="136">
        <f ca="1"/>
        <v>45671</v>
      </c>
      <c r="B11" vm="137">
        <f ca="1"/>
        <v>127.22</v>
      </c>
      <c r="C11" vm="138">
        <f ca="1"/>
        <v>193.6</v>
      </c>
      <c r="D11" vm="139">
        <f ca="1"/>
        <v>301.10000000000002</v>
      </c>
      <c r="E11" vm="140">
        <f ca="1"/>
        <v>313.45</v>
      </c>
      <c r="F11" vm="141">
        <f ca="1"/>
        <v>210.85</v>
      </c>
      <c r="G11" vm="142">
        <f ca="1"/>
        <v>165.5</v>
      </c>
      <c r="H11" vm="143">
        <f ca="1"/>
        <v>400.75</v>
      </c>
      <c r="I11" vm="144">
        <f ca="1"/>
        <v>155.24</v>
      </c>
      <c r="J11" vm="145">
        <f ca="1"/>
        <v>469.45</v>
      </c>
      <c r="K11" t="e" vm="11">
        <f ca="1"/>
        <v>#N/A</v>
      </c>
      <c r="L11" vm="146">
        <f ca="1"/>
        <v>219.85</v>
      </c>
      <c r="M11" vm="147">
        <f ca="1"/>
        <v>240</v>
      </c>
      <c r="N11" vm="148">
        <f ca="1"/>
        <v>26.02</v>
      </c>
      <c r="O11" vm="149">
        <f ca="1"/>
        <v>453.7</v>
      </c>
      <c r="Q11" s="4">
        <f t="shared" ca="1" si="9"/>
        <v>1.4988470407379051E-2</v>
      </c>
      <c r="R11" s="4">
        <f t="shared" ca="1" si="0"/>
        <v>3.9878768543626375E-3</v>
      </c>
      <c r="S11" s="4">
        <f t="shared" ca="1" si="1"/>
        <v>-1.2084592145014117E-3</v>
      </c>
      <c r="T11" s="4">
        <f t="shared" ca="1" si="10"/>
        <v>-1.5459933006957138E-3</v>
      </c>
      <c r="U11" s="4">
        <f t="shared" ca="1" si="11"/>
        <v>5.8579188411971295E-3</v>
      </c>
      <c r="V11" s="4">
        <f t="shared" ca="1" si="2"/>
        <v>3.8201540638264531E-2</v>
      </c>
      <c r="W11" s="4">
        <f t="shared" ca="1" si="3"/>
        <v>2.7270571496324392E-2</v>
      </c>
      <c r="X11" s="4">
        <f t="shared" ca="1" si="4"/>
        <v>2.4375000000000036E-2</v>
      </c>
      <c r="Y11" s="4">
        <f t="shared" ca="1" si="5"/>
        <v>2.2583859182995436E-2</v>
      </c>
      <c r="Z11" s="4">
        <f t="shared" ca="1" si="6"/>
        <v>5.4582670002274458E-3</v>
      </c>
      <c r="AA11" s="4">
        <f t="shared" ca="1" si="7"/>
        <v>3.7055520898315653E-2</v>
      </c>
      <c r="AB11" s="4">
        <f t="shared" ca="1" si="12"/>
        <v>4.2649327749614274E-2</v>
      </c>
      <c r="AC11" s="4">
        <f t="shared" ca="1" si="13"/>
        <v>3.0991735537190035E-2</v>
      </c>
      <c r="AD11" s="4"/>
      <c r="AE11" s="2" cm="1">
        <f t="array" aca="1" ref="AE11" ca="1">SUMPRODUCT(Q11:AB11,TRANSPOSE(Insights.!$H$4:$H$15))</f>
        <v>1.6046403667887527E-2</v>
      </c>
      <c r="AG11" s="10" vm="136">
        <f ca="1"/>
        <v>45671</v>
      </c>
      <c r="AH11" s="1" vm="150">
        <f ca="1"/>
        <v>107.495</v>
      </c>
      <c r="AI11" s="2">
        <f t="shared" ca="1" si="8"/>
        <v>1.8791571701009202E-2</v>
      </c>
      <c r="AJ11" s="1" vm="151">
        <f ca="1"/>
        <v>103.83</v>
      </c>
      <c r="AK11" s="2">
        <f t="shared" ca="1" si="14"/>
        <v>1.5698738322257544E-2</v>
      </c>
      <c r="AL11" s="1" vm="152">
        <f ca="1"/>
        <v>50.08</v>
      </c>
      <c r="AM11" s="2">
        <f t="shared" ca="1" si="15"/>
        <v>1.1182108626198062E-2</v>
      </c>
      <c r="AO11" s="9">
        <f t="shared" ca="1" si="16"/>
        <v>99.784041385749362</v>
      </c>
      <c r="AP11">
        <f t="shared" ca="1" si="17"/>
        <v>99.680081602373903</v>
      </c>
      <c r="AQ11">
        <f t="shared" ca="1" si="18"/>
        <v>98.603988603988611</v>
      </c>
      <c r="AR11">
        <f t="shared" ca="1" si="19"/>
        <v>102.11030686104598</v>
      </c>
      <c r="AT11" s="21">
        <f ca="1">MAX($AO$3:AO12)</f>
        <v>101.3852163934383</v>
      </c>
      <c r="AU11" s="2">
        <f t="shared" ca="1" si="20"/>
        <v>-1.5792983086166834E-2</v>
      </c>
    </row>
    <row r="12" spans="1:48" x14ac:dyDescent="0.25">
      <c r="A12" vm="153">
        <f ca="1"/>
        <v>45672</v>
      </c>
      <c r="B12" vm="154">
        <f ca="1"/>
        <v>132.08000000000001</v>
      </c>
      <c r="C12" vm="155">
        <f ca="1"/>
        <v>199.6</v>
      </c>
      <c r="D12" vm="156">
        <f ca="1"/>
        <v>307.89999999999998</v>
      </c>
      <c r="E12" vm="157">
        <f ca="1"/>
        <v>314.7</v>
      </c>
      <c r="F12" vm="158">
        <f ca="1"/>
        <v>216.6</v>
      </c>
      <c r="G12" vm="159">
        <f ca="1"/>
        <v>165.3</v>
      </c>
      <c r="H12" vm="160">
        <f ca="1"/>
        <v>415.6</v>
      </c>
      <c r="I12" vm="161">
        <f ca="1"/>
        <v>155</v>
      </c>
      <c r="J12" vm="162">
        <f ca="1"/>
        <v>472.2</v>
      </c>
      <c r="K12" t="e" vm="11">
        <f ca="1"/>
        <v>#N/A</v>
      </c>
      <c r="L12" vm="163">
        <f ca="1"/>
        <v>221.05</v>
      </c>
      <c r="M12" vm="164">
        <f ca="1"/>
        <v>245.85</v>
      </c>
      <c r="N12" vm="165">
        <f ca="1"/>
        <v>26.41</v>
      </c>
      <c r="O12" vm="166">
        <f ca="1"/>
        <v>473.05</v>
      </c>
      <c r="Q12" s="4">
        <f t="shared" ca="1" si="9"/>
        <v>5.3010223400227208E-3</v>
      </c>
      <c r="R12" s="4">
        <f t="shared" ca="1" si="0"/>
        <v>-1.2710517953605782E-3</v>
      </c>
      <c r="S12" s="4">
        <f t="shared" ca="1" si="1"/>
        <v>4.1742286751361046E-2</v>
      </c>
      <c r="T12" s="4">
        <f t="shared" ca="1" si="10"/>
        <v>4.6451612903226636E-3</v>
      </c>
      <c r="U12" s="4">
        <f t="shared" ca="1" si="11"/>
        <v>2.6577721304531954E-2</v>
      </c>
      <c r="V12" s="4">
        <f t="shared" ca="1" si="2"/>
        <v>-1.5748031496063075E-2</v>
      </c>
      <c r="W12" s="4">
        <f t="shared" ca="1" si="3"/>
        <v>-6.9252077562327319E-3</v>
      </c>
      <c r="X12" s="4">
        <f t="shared" ca="1" si="4"/>
        <v>-1.6270083384177791E-3</v>
      </c>
      <c r="Y12" s="4">
        <f t="shared" ca="1" si="5"/>
        <v>2.9230269568043532E-3</v>
      </c>
      <c r="Z12" s="4">
        <f t="shared" ca="1" si="6"/>
        <v>2.0583578375932943E-2</v>
      </c>
      <c r="AA12" s="4">
        <f t="shared" ca="1" si="7"/>
        <v>-6.0153994225216056E-3</v>
      </c>
      <c r="AB12" s="4">
        <f t="shared" ca="1" si="12"/>
        <v>1.9553958355353451E-2</v>
      </c>
      <c r="AC12" s="4">
        <f t="shared" ca="1" si="13"/>
        <v>5.711422845691394E-2</v>
      </c>
      <c r="AD12" s="4"/>
      <c r="AE12" s="2" cm="1">
        <f t="array" aca="1" ref="AE12" ca="1">SUMPRODUCT(Q12:AB12,TRANSPOSE(Insights.!$H$4:$H$15))</f>
        <v>7.387553498262027E-3</v>
      </c>
      <c r="AG12" s="10" vm="153">
        <f ca="1"/>
        <v>45672</v>
      </c>
      <c r="AH12" s="1" vm="167">
        <f ca="1"/>
        <v>109.515</v>
      </c>
      <c r="AI12" s="2">
        <f t="shared" ca="1" si="8"/>
        <v>-1.5522987718578074E-3</v>
      </c>
      <c r="AJ12" s="1" vm="168">
        <f ca="1"/>
        <v>105.46</v>
      </c>
      <c r="AK12" s="2">
        <f t="shared" ca="1" si="14"/>
        <v>2.9395031291485907E-3</v>
      </c>
      <c r="AL12" s="1" vm="169">
        <f ca="1"/>
        <v>50.64</v>
      </c>
      <c r="AM12" s="2">
        <f t="shared" ca="1" si="15"/>
        <v>1.3823064770932092E-2</v>
      </c>
      <c r="AO12" s="9">
        <f t="shared" ca="1" si="16"/>
        <v>101.3852163934383</v>
      </c>
      <c r="AP12">
        <f t="shared" ca="1" si="17"/>
        <v>101.55322700296736</v>
      </c>
      <c r="AQ12">
        <f t="shared" ca="1" si="18"/>
        <v>100.1519468186135</v>
      </c>
      <c r="AR12">
        <f t="shared" ca="1" si="19"/>
        <v>103.25211540422062</v>
      </c>
      <c r="AT12" s="21">
        <f ca="1">MAX($AO$3:AO13)</f>
        <v>102.13420510347768</v>
      </c>
      <c r="AU12" s="2">
        <f t="shared" ca="1" si="20"/>
        <v>-7.3333777776068976E-3</v>
      </c>
    </row>
    <row r="13" spans="1:48" x14ac:dyDescent="0.25">
      <c r="A13" vm="170">
        <f ca="1"/>
        <v>45673</v>
      </c>
      <c r="B13" vm="171">
        <f ca="1"/>
        <v>130</v>
      </c>
      <c r="C13" vm="172">
        <f ca="1"/>
        <v>211</v>
      </c>
      <c r="D13" vm="173">
        <f ca="1"/>
        <v>308.8</v>
      </c>
      <c r="E13" vm="174">
        <f ca="1"/>
        <v>314.3</v>
      </c>
      <c r="F13" vm="175">
        <f ca="1"/>
        <v>215.1</v>
      </c>
      <c r="G13" vm="176">
        <f ca="1"/>
        <v>172.2</v>
      </c>
      <c r="H13" vm="177">
        <f ca="1"/>
        <v>413.1</v>
      </c>
      <c r="I13" vm="127">
        <f ca="1"/>
        <v>155.72</v>
      </c>
      <c r="J13" vm="178">
        <f ca="1"/>
        <v>484.75</v>
      </c>
      <c r="K13" t="e" vm="11">
        <f ca="1"/>
        <v>#N/A</v>
      </c>
      <c r="L13" vm="179">
        <f ca="1"/>
        <v>225.6</v>
      </c>
      <c r="M13" vm="180">
        <f ca="1"/>
        <v>245.45</v>
      </c>
      <c r="N13" vm="181">
        <f ca="1"/>
        <v>26.55</v>
      </c>
      <c r="O13" vm="182">
        <f ca="1"/>
        <v>482.3</v>
      </c>
      <c r="Q13" s="4">
        <f t="shared" ca="1" si="9"/>
        <v>-1.5442561205273098E-2</v>
      </c>
      <c r="R13" s="4">
        <f t="shared" ca="1" si="0"/>
        <v>1.8771874005726996E-2</v>
      </c>
      <c r="S13" s="4">
        <f t="shared" ca="1" si="1"/>
        <v>-3.6875725900116119E-2</v>
      </c>
      <c r="T13" s="4">
        <f t="shared" ca="1" si="10"/>
        <v>6.9355253018239527E-3</v>
      </c>
      <c r="U13" s="4">
        <f t="shared" ca="1" si="11"/>
        <v>1.4956162970603426E-2</v>
      </c>
      <c r="V13" s="4">
        <f t="shared" ca="1" si="2"/>
        <v>3.2000000000000028E-2</v>
      </c>
      <c r="W13" s="4">
        <f t="shared" ca="1" si="3"/>
        <v>2.2780102278010306E-2</v>
      </c>
      <c r="X13" s="4">
        <f t="shared" ca="1" si="4"/>
        <v>1.568547565695666E-2</v>
      </c>
      <c r="Y13" s="4">
        <f t="shared" ca="1" si="5"/>
        <v>7.9339378238341141E-3</v>
      </c>
      <c r="Z13" s="4">
        <f t="shared" ca="1" si="6"/>
        <v>1.6622340425531901E-2</v>
      </c>
      <c r="AA13" s="4">
        <f t="shared" ca="1" si="7"/>
        <v>1.3192931493585025E-2</v>
      </c>
      <c r="AB13" s="4">
        <f t="shared" ca="1" si="12"/>
        <v>-2.2807381297947349E-2</v>
      </c>
      <c r="AC13" s="4">
        <f t="shared" ca="1" si="13"/>
        <v>-2.6066350710900466E-2</v>
      </c>
      <c r="AD13" s="4"/>
      <c r="AE13" s="2" cm="1">
        <f t="array" aca="1" ref="AE13" ca="1">SUMPRODUCT(Q13:AB13,TRANSPOSE(Insights.!$H$4:$H$15))</f>
        <v>6.2273875604974046E-3</v>
      </c>
      <c r="AG13" s="10" vm="170">
        <f ca="1"/>
        <v>45673</v>
      </c>
      <c r="AH13" s="1" vm="183">
        <f ca="1"/>
        <v>109.345</v>
      </c>
      <c r="AI13" s="2">
        <f t="shared" ca="1" si="8"/>
        <v>1.2940692304174828E-2</v>
      </c>
      <c r="AJ13" s="1" vm="184">
        <f ca="1"/>
        <v>105.77</v>
      </c>
      <c r="AK13" s="2">
        <f t="shared" ca="1" si="14"/>
        <v>8.9344804765056907E-3</v>
      </c>
      <c r="AL13" s="1" vm="185">
        <f ca="1"/>
        <v>51.34</v>
      </c>
      <c r="AM13" s="2">
        <f t="shared" ca="1" si="15"/>
        <v>6.817296455005728E-3</v>
      </c>
      <c r="AO13" s="9">
        <f t="shared" ca="1" si="16"/>
        <v>102.13420510347768</v>
      </c>
      <c r="AP13">
        <f t="shared" ca="1" si="17"/>
        <v>101.39558605341246</v>
      </c>
      <c r="AQ13">
        <f t="shared" ca="1" si="18"/>
        <v>100.44634377967714</v>
      </c>
      <c r="AR13">
        <f t="shared" ca="1" si="19"/>
        <v>104.67937608318891</v>
      </c>
      <c r="AT13" s="21">
        <f ca="1">MAX($AO$3:AO14)</f>
        <v>102.77023438184038</v>
      </c>
      <c r="AU13" s="2">
        <f t="shared" ca="1" si="20"/>
        <v>-6.1888472103658332E-3</v>
      </c>
    </row>
    <row r="14" spans="1:48" x14ac:dyDescent="0.25">
      <c r="A14" vm="186">
        <f ca="1"/>
        <v>45674</v>
      </c>
      <c r="B14" vm="187">
        <f ca="1"/>
        <v>134.16</v>
      </c>
      <c r="C14" vm="188">
        <f ca="1"/>
        <v>205.5</v>
      </c>
      <c r="D14" vm="123">
        <f ca="1"/>
        <v>311.25</v>
      </c>
      <c r="E14" vm="189">
        <f ca="1"/>
        <v>320.2</v>
      </c>
      <c r="F14" vm="190">
        <f ca="1"/>
        <v>220</v>
      </c>
      <c r="G14" vm="191">
        <f ca="1"/>
        <v>165.85</v>
      </c>
      <c r="H14" vm="192">
        <f ca="1"/>
        <v>418.55</v>
      </c>
      <c r="I14" vm="42">
        <f ca="1"/>
        <v>156.80000000000001</v>
      </c>
      <c r="J14" vm="193">
        <f ca="1"/>
        <v>492</v>
      </c>
      <c r="K14" t="e" vm="11">
        <f ca="1"/>
        <v>#N/A</v>
      </c>
      <c r="L14" vm="194">
        <f ca="1"/>
        <v>229.35</v>
      </c>
      <c r="M14" vm="195">
        <f ca="1"/>
        <v>249.3</v>
      </c>
      <c r="N14" vm="196">
        <f ca="1"/>
        <v>26.14</v>
      </c>
      <c r="O14" vm="197">
        <f ca="1"/>
        <v>471.3</v>
      </c>
      <c r="Q14" s="4">
        <f t="shared" ca="1" si="9"/>
        <v>-2.677888293802666E-3</v>
      </c>
      <c r="R14" s="4">
        <f t="shared" ca="1" si="0"/>
        <v>-1.2492192379762623E-2</v>
      </c>
      <c r="S14" s="4">
        <f t="shared" ca="1" si="1"/>
        <v>2.4419656315948224E-2</v>
      </c>
      <c r="T14" s="4">
        <f t="shared" ca="1" si="10"/>
        <v>1.0204081632652962E-2</v>
      </c>
      <c r="U14" s="4">
        <f t="shared" ca="1" si="11"/>
        <v>-7.1138211382115735E-4</v>
      </c>
      <c r="V14" s="4">
        <f t="shared" ca="1" si="2"/>
        <v>0</v>
      </c>
      <c r="W14" s="4">
        <f t="shared" ca="1" si="3"/>
        <v>-3.6363636363636598E-3</v>
      </c>
      <c r="X14" s="4">
        <f t="shared" ca="1" si="4"/>
        <v>1.7849979943842742E-2</v>
      </c>
      <c r="Y14" s="4">
        <f t="shared" ca="1" si="5"/>
        <v>-6.4257028112446601E-4</v>
      </c>
      <c r="Z14" s="4">
        <f t="shared" ca="1" si="6"/>
        <v>5.8862001308044309E-3</v>
      </c>
      <c r="AA14" s="4">
        <f t="shared" ca="1" si="7"/>
        <v>-4.1811014215744624E-3</v>
      </c>
      <c r="AB14" s="4">
        <f t="shared" ca="1" si="12"/>
        <v>-2.5567579036707033E-2</v>
      </c>
      <c r="AC14" s="4">
        <f t="shared" ca="1" si="13"/>
        <v>3.1630170316301776E-2</v>
      </c>
      <c r="AD14" s="4"/>
      <c r="AE14" s="2" cm="1">
        <f t="array" aca="1" ref="AE14" ca="1">SUMPRODUCT(Q14:AB14,TRANSPOSE(Insights.!$H$4:$H$15))</f>
        <v>3.8428433333411458E-4</v>
      </c>
      <c r="AG14" s="10" vm="186">
        <f ca="1"/>
        <v>45674</v>
      </c>
      <c r="AH14" s="1" vm="198">
        <f ca="1"/>
        <v>110.76</v>
      </c>
      <c r="AI14" s="2">
        <f t="shared" ca="1" si="8"/>
        <v>-9.0285301552907038E-3</v>
      </c>
      <c r="AJ14" s="1" vm="199">
        <f ca="1"/>
        <v>106.715</v>
      </c>
      <c r="AK14" s="2">
        <f t="shared" ca="1" si="14"/>
        <v>-5.0133533242748829E-3</v>
      </c>
      <c r="AL14" s="1" vm="200">
        <f ca="1"/>
        <v>51.69</v>
      </c>
      <c r="AM14" s="2">
        <f t="shared" ca="1" si="15"/>
        <v>2.3215322112595249E-3</v>
      </c>
      <c r="AO14" s="9">
        <f t="shared" ca="1" si="16"/>
        <v>102.77023438184038</v>
      </c>
      <c r="AP14">
        <f t="shared" ca="1" si="17"/>
        <v>102.70771513353115</v>
      </c>
      <c r="AQ14">
        <f t="shared" ca="1" si="18"/>
        <v>101.34377967711303</v>
      </c>
      <c r="AR14">
        <f t="shared" ca="1" si="19"/>
        <v>105.39300642267305</v>
      </c>
      <c r="AT14" s="21">
        <f ca="1">MAX($AO$3:AO15)</f>
        <v>102.8097273728464</v>
      </c>
      <c r="AU14" s="2">
        <f t="shared" ca="1" si="20"/>
        <v>-3.8413671561243756E-4</v>
      </c>
    </row>
    <row r="15" spans="1:48" x14ac:dyDescent="0.25">
      <c r="A15" vm="201">
        <f ca="1"/>
        <v>45677</v>
      </c>
      <c r="B15" vm="187">
        <f ca="1"/>
        <v>134.16</v>
      </c>
      <c r="C15" vm="202">
        <f ca="1"/>
        <v>212</v>
      </c>
      <c r="D15" vm="203">
        <f ca="1"/>
        <v>311.05</v>
      </c>
      <c r="E15" vm="204">
        <f ca="1"/>
        <v>316.2</v>
      </c>
      <c r="F15" vm="205">
        <f ca="1"/>
        <v>219.2</v>
      </c>
      <c r="G15" vm="206">
        <f ca="1"/>
        <v>169.9</v>
      </c>
      <c r="H15" vm="207">
        <f ca="1"/>
        <v>416.8</v>
      </c>
      <c r="I15" vm="208">
        <f ca="1"/>
        <v>158.4</v>
      </c>
      <c r="J15" vm="209">
        <f ca="1"/>
        <v>491.65</v>
      </c>
      <c r="K15" t="e" vm="11">
        <f ca="1"/>
        <v>#N/A</v>
      </c>
      <c r="L15" vm="210">
        <f ca="1"/>
        <v>230.7</v>
      </c>
      <c r="M15" vm="211">
        <f ca="1"/>
        <v>253.75</v>
      </c>
      <c r="N15" vm="212">
        <f ca="1"/>
        <v>26.07</v>
      </c>
      <c r="O15" vm="213">
        <f ca="1"/>
        <v>459.25</v>
      </c>
      <c r="Q15" s="4">
        <f t="shared" ca="1" si="9"/>
        <v>-3.4522439585730202E-3</v>
      </c>
      <c r="R15" s="4">
        <f t="shared" ca="1" si="0"/>
        <v>-7.7482605945603522E-3</v>
      </c>
      <c r="S15" s="4">
        <f t="shared" ca="1" si="1"/>
        <v>5.7092407298410697E-2</v>
      </c>
      <c r="T15" s="4">
        <f t="shared" ca="1" si="10"/>
        <v>-2.0202020202020332E-2</v>
      </c>
      <c r="U15" s="4">
        <f t="shared" ca="1" si="11"/>
        <v>-9.0511542764161179E-3</v>
      </c>
      <c r="V15" s="4">
        <f t="shared" ca="1" si="2"/>
        <v>8.1991651759092399E-3</v>
      </c>
      <c r="W15" s="4">
        <f t="shared" ca="1" si="3"/>
        <v>1.0948905109489093E-2</v>
      </c>
      <c r="X15" s="4">
        <f t="shared" ca="1" si="4"/>
        <v>-2.7586206896551557E-3</v>
      </c>
      <c r="Y15" s="4">
        <f t="shared" ca="1" si="5"/>
        <v>-4.8223758238241654E-4</v>
      </c>
      <c r="Z15" s="4">
        <f t="shared" ca="1" si="6"/>
        <v>8.6692674469013298E-4</v>
      </c>
      <c r="AA15" s="4">
        <f t="shared" ca="1" si="7"/>
        <v>-1.2116122840690968E-2</v>
      </c>
      <c r="AB15" s="4">
        <f t="shared" ca="1" si="12"/>
        <v>8.7098530212301739E-3</v>
      </c>
      <c r="AC15" s="4">
        <f t="shared" ca="1" si="13"/>
        <v>-4.7169811320755262E-3</v>
      </c>
      <c r="AD15" s="4"/>
      <c r="AE15" s="2" cm="1">
        <f t="array" aca="1" ref="AE15" ca="1">SUMPRODUCT(Q15:AB15,TRANSPOSE(Insights.!$H$4:$H$15))</f>
        <v>1.4590369747145206E-3</v>
      </c>
      <c r="AG15" s="10" vm="201">
        <f ca="1"/>
        <v>45677</v>
      </c>
      <c r="AH15" s="1" vm="214">
        <f ca="1"/>
        <v>109.76</v>
      </c>
      <c r="AI15" s="2">
        <f t="shared" ca="1" si="8"/>
        <v>1.0021865889213721E-3</v>
      </c>
      <c r="AJ15" s="1" vm="215">
        <f ca="1"/>
        <v>106.18</v>
      </c>
      <c r="AK15" s="2">
        <f t="shared" ca="1" si="14"/>
        <v>7.5343755886225772E-4</v>
      </c>
      <c r="AL15" s="1" vm="216">
        <f ca="1"/>
        <v>51.81</v>
      </c>
      <c r="AM15" s="2">
        <f t="shared" ca="1" si="15"/>
        <v>4.6323103647942787E-3</v>
      </c>
      <c r="AO15" s="9">
        <f t="shared" ca="1" si="16"/>
        <v>102.8097273728464</v>
      </c>
      <c r="AP15">
        <f t="shared" ca="1" si="17"/>
        <v>101.78041543026706</v>
      </c>
      <c r="AQ15">
        <f t="shared" ca="1" si="18"/>
        <v>100.83570750237419</v>
      </c>
      <c r="AR15">
        <f t="shared" ca="1" si="19"/>
        <v>105.63767968192477</v>
      </c>
      <c r="AT15" s="21">
        <f ca="1">MAX($AO$3:AO16)</f>
        <v>102.9597305664437</v>
      </c>
      <c r="AU15" s="2">
        <f t="shared" ca="1" si="20"/>
        <v>-1.4569112872774292E-3</v>
      </c>
    </row>
    <row r="16" spans="1:48" x14ac:dyDescent="0.25">
      <c r="A16" vm="217">
        <f ca="1"/>
        <v>45678</v>
      </c>
      <c r="B16" vm="218">
        <f ca="1"/>
        <v>135.26</v>
      </c>
      <c r="C16" vm="172">
        <f ca="1"/>
        <v>211</v>
      </c>
      <c r="D16" vm="219">
        <f ca="1"/>
        <v>310.89999999999998</v>
      </c>
      <c r="E16" vm="220">
        <f ca="1"/>
        <v>313.75</v>
      </c>
      <c r="F16" vm="221">
        <f ca="1"/>
        <v>221.6</v>
      </c>
      <c r="G16" vm="222">
        <f ca="1"/>
        <v>179.6</v>
      </c>
      <c r="H16" vm="223">
        <f ca="1"/>
        <v>411.75</v>
      </c>
      <c r="I16" vm="224">
        <f ca="1"/>
        <v>155.19999999999999</v>
      </c>
      <c r="J16" vm="225">
        <f ca="1"/>
        <v>487.2</v>
      </c>
      <c r="K16" t="e" vm="11">
        <f ca="1"/>
        <v>#N/A</v>
      </c>
      <c r="L16" vm="226">
        <f ca="1"/>
        <v>230.9</v>
      </c>
      <c r="M16" vm="227">
        <f ca="1"/>
        <v>253.05</v>
      </c>
      <c r="N16" vm="228">
        <f ca="1"/>
        <v>25.98</v>
      </c>
      <c r="O16" vm="229">
        <f ca="1"/>
        <v>463.25</v>
      </c>
      <c r="Q16" s="4">
        <f t="shared" ca="1" si="9"/>
        <v>1.1162432640492659E-2</v>
      </c>
      <c r="R16" s="4">
        <f t="shared" ca="1" si="0"/>
        <v>1.7370517928286811E-2</v>
      </c>
      <c r="S16" s="4">
        <f t="shared" ca="1" si="1"/>
        <v>2.2271714922048602E-3</v>
      </c>
      <c r="T16" s="4">
        <f t="shared" ca="1" si="10"/>
        <v>2.2551546391752497E-2</v>
      </c>
      <c r="U16" s="4">
        <f t="shared" ca="1" si="11"/>
        <v>2.0525451559934016E-3</v>
      </c>
      <c r="V16" s="4">
        <f t="shared" ca="1" si="2"/>
        <v>4.4063285524175821E-2</v>
      </c>
      <c r="W16" s="4">
        <f t="shared" ca="1" si="3"/>
        <v>1.9404332129963953E-2</v>
      </c>
      <c r="X16" s="4">
        <f t="shared" ca="1" si="4"/>
        <v>-1.5807152736613261E-3</v>
      </c>
      <c r="Y16" s="4">
        <f t="shared" ca="1" si="5"/>
        <v>-4.8247024766800983E-4</v>
      </c>
      <c r="Z16" s="4">
        <f t="shared" ca="1" si="6"/>
        <v>1.6890428757037723E-2</v>
      </c>
      <c r="AA16" s="4">
        <f t="shared" ca="1" si="7"/>
        <v>4.1287188828172505E-2</v>
      </c>
      <c r="AB16" s="4">
        <f t="shared" ca="1" si="12"/>
        <v>3.5833783054506352E-2</v>
      </c>
      <c r="AC16" s="4">
        <f t="shared" ca="1" si="13"/>
        <v>1.6587677725118377E-2</v>
      </c>
      <c r="AD16" s="4"/>
      <c r="AE16" s="2" cm="1">
        <f t="array" aca="1" ref="AE16" ca="1">SUMPRODUCT(Q16:AB16,TRANSPOSE(Insights.!$H$4:$H$15))</f>
        <v>1.435457755462561E-2</v>
      </c>
      <c r="AG16" s="10" vm="217">
        <f ca="1"/>
        <v>45678</v>
      </c>
      <c r="AH16" s="1" vm="230">
        <f ca="1"/>
        <v>109.87</v>
      </c>
      <c r="AI16" s="2">
        <f t="shared" ca="1" si="8"/>
        <v>9.8753071812140991E-3</v>
      </c>
      <c r="AJ16" s="1" vm="231">
        <f ca="1"/>
        <v>106.26</v>
      </c>
      <c r="AK16" s="2">
        <f t="shared" ca="1" si="14"/>
        <v>8.7521174477696029E-3</v>
      </c>
      <c r="AL16" s="1" vm="232">
        <f ca="1"/>
        <v>52.05</v>
      </c>
      <c r="AM16" s="2">
        <f t="shared" ca="1" si="15"/>
        <v>4.4188280499519728E-3</v>
      </c>
      <c r="AO16" s="9">
        <f t="shared" ca="1" si="16"/>
        <v>102.9597305664437</v>
      </c>
      <c r="AP16">
        <f t="shared" ca="1" si="17"/>
        <v>101.88241839762611</v>
      </c>
      <c r="AQ16">
        <f t="shared" ca="1" si="18"/>
        <v>100.91168091168093</v>
      </c>
      <c r="AR16">
        <f t="shared" ca="1" si="19"/>
        <v>106.12702620042816</v>
      </c>
      <c r="AT16" s="21">
        <f ca="1">MAX($AO$3:AO17)</f>
        <v>104.43767400386308</v>
      </c>
      <c r="AU16" s="2">
        <f t="shared" ca="1" si="20"/>
        <v>-1.4151439617131945E-2</v>
      </c>
    </row>
    <row r="17" spans="1:47" x14ac:dyDescent="0.25">
      <c r="A17" vm="233">
        <f ca="1"/>
        <v>45679</v>
      </c>
      <c r="B17" vm="234">
        <f ca="1"/>
        <v>141.22</v>
      </c>
      <c r="C17" vm="235">
        <f ca="1"/>
        <v>214.5</v>
      </c>
      <c r="D17" vm="236">
        <f ca="1"/>
        <v>310.75</v>
      </c>
      <c r="E17" vm="237">
        <f ca="1"/>
        <v>319.2</v>
      </c>
      <c r="F17" vm="238">
        <f ca="1"/>
        <v>225.9</v>
      </c>
      <c r="G17" vm="239">
        <f ca="1"/>
        <v>180</v>
      </c>
      <c r="H17" vm="240">
        <f ca="1"/>
        <v>428.75</v>
      </c>
      <c r="I17" vm="241">
        <f ca="1"/>
        <v>158.69999999999999</v>
      </c>
      <c r="J17" vm="242">
        <f ca="1"/>
        <v>488.2</v>
      </c>
      <c r="K17" t="e" vm="11">
        <f ca="1"/>
        <v>#N/A</v>
      </c>
      <c r="L17" vm="243">
        <f ca="1"/>
        <v>234.8</v>
      </c>
      <c r="M17" vm="244">
        <f ca="1"/>
        <v>252.65</v>
      </c>
      <c r="N17" vm="245">
        <f ca="1"/>
        <v>26.27</v>
      </c>
      <c r="O17" vm="246">
        <f ca="1"/>
        <v>479.85</v>
      </c>
      <c r="Q17" s="4">
        <f t="shared" ca="1" si="9"/>
        <v>-6.8519223448800792E-3</v>
      </c>
      <c r="R17" s="4">
        <f t="shared" ca="1" si="0"/>
        <v>4.8558897243107246E-3</v>
      </c>
      <c r="S17" s="4">
        <f t="shared" ca="1" si="1"/>
        <v>3.2222222222222374E-2</v>
      </c>
      <c r="T17" s="4">
        <f t="shared" ca="1" si="10"/>
        <v>2.1424070573408116E-3</v>
      </c>
      <c r="U17" s="4">
        <f t="shared" ca="1" si="11"/>
        <v>6.0426054895534875E-3</v>
      </c>
      <c r="V17" s="4">
        <f t="shared" ca="1" si="2"/>
        <v>0</v>
      </c>
      <c r="W17" s="4">
        <f t="shared" ca="1" si="3"/>
        <v>-3.5413899955732964E-3</v>
      </c>
      <c r="X17" s="4">
        <f t="shared" ca="1" si="4"/>
        <v>6.1349693251533388E-3</v>
      </c>
      <c r="Y17" s="4">
        <f t="shared" ca="1" si="5"/>
        <v>8.045052292839916E-3</v>
      </c>
      <c r="Z17" s="4">
        <f t="shared" ca="1" si="6"/>
        <v>-2.5979557069846781E-2</v>
      </c>
      <c r="AA17" s="4">
        <f t="shared" ca="1" si="7"/>
        <v>-4.6647230320699951E-3</v>
      </c>
      <c r="AB17" s="4">
        <f t="shared" ca="1" si="12"/>
        <v>-6.8771491090966475E-3</v>
      </c>
      <c r="AC17" s="4">
        <f t="shared" ca="1" si="13"/>
        <v>4.6620046620047262E-3</v>
      </c>
      <c r="AD17" s="4"/>
      <c r="AE17" s="2" cm="1">
        <f t="array" aca="1" ref="AE17" ca="1">SUMPRODUCT(Q17:AB17,TRANSPOSE(Insights.!$H$4:$H$15))</f>
        <v>8.8435131887517151E-4</v>
      </c>
      <c r="AG17" s="10" vm="233">
        <f ca="1"/>
        <v>45679</v>
      </c>
      <c r="AH17" s="1" vm="247">
        <f ca="1"/>
        <v>110.955</v>
      </c>
      <c r="AI17" s="2">
        <f t="shared" ca="1" si="8"/>
        <v>4.5063313956150708E-5</v>
      </c>
      <c r="AJ17" s="1" vm="248">
        <f ca="1"/>
        <v>107.19</v>
      </c>
      <c r="AK17" s="2">
        <f t="shared" ca="1" si="14"/>
        <v>1.3060919861926923E-3</v>
      </c>
      <c r="AL17" s="1" vm="249">
        <f ca="1"/>
        <v>52.28</v>
      </c>
      <c r="AM17" s="2">
        <f t="shared" ca="1" si="15"/>
        <v>5.5470543228768321E-3</v>
      </c>
      <c r="AO17" s="9">
        <f t="shared" ca="1" si="16"/>
        <v>104.43767400386308</v>
      </c>
      <c r="AP17">
        <f t="shared" ca="1" si="17"/>
        <v>102.88853857566765</v>
      </c>
      <c r="AQ17">
        <f t="shared" ca="1" si="18"/>
        <v>101.79487179487181</v>
      </c>
      <c r="AR17">
        <f t="shared" ca="1" si="19"/>
        <v>106.5959832806606</v>
      </c>
      <c r="AT17" s="21">
        <f ca="1">MAX($AO$3:AO18)</f>
        <v>104.53003359860865</v>
      </c>
      <c r="AU17" s="2">
        <f t="shared" ca="1" si="20"/>
        <v>-8.8356993263993822E-4</v>
      </c>
    </row>
    <row r="18" spans="1:47" x14ac:dyDescent="0.25">
      <c r="A18" vm="250">
        <f ca="1"/>
        <v>45680</v>
      </c>
      <c r="B18" vm="234">
        <f ca="1"/>
        <v>141.22</v>
      </c>
      <c r="C18" vm="251">
        <f ca="1"/>
        <v>215.5</v>
      </c>
      <c r="D18" vm="252">
        <f ca="1"/>
        <v>313.25</v>
      </c>
      <c r="E18" vm="253">
        <f ca="1"/>
        <v>320.75</v>
      </c>
      <c r="F18" vm="254">
        <f ca="1"/>
        <v>225.1</v>
      </c>
      <c r="G18" vm="255">
        <f ca="1"/>
        <v>185.8</v>
      </c>
      <c r="H18" vm="256">
        <f ca="1"/>
        <v>426.75</v>
      </c>
      <c r="I18" vm="257">
        <f ca="1"/>
        <v>159.04</v>
      </c>
      <c r="J18" vm="258">
        <f ca="1"/>
        <v>491.15</v>
      </c>
      <c r="K18" t="e" vm="11">
        <f ca="1"/>
        <v>#N/A</v>
      </c>
      <c r="L18" vm="259">
        <f ca="1"/>
        <v>228.7</v>
      </c>
      <c r="M18" vm="260">
        <f ca="1"/>
        <v>254.2</v>
      </c>
      <c r="N18" vm="261">
        <f ca="1"/>
        <v>26.09</v>
      </c>
      <c r="O18" vm="262">
        <f ca="1"/>
        <v>476.55</v>
      </c>
      <c r="Q18" s="4">
        <f t="shared" ca="1" si="9"/>
        <v>-1.6864699118436244E-2</v>
      </c>
      <c r="R18" s="4">
        <f t="shared" ca="1" si="0"/>
        <v>7.7942322681212595E-4</v>
      </c>
      <c r="S18" s="4">
        <f t="shared" ca="1" si="1"/>
        <v>-2.3143164693218532E-2</v>
      </c>
      <c r="T18" s="4">
        <f t="shared" ca="1" si="10"/>
        <v>-1.7857142857142905E-2</v>
      </c>
      <c r="U18" s="4">
        <f t="shared" ca="1" si="11"/>
        <v>1.2216227221826248E-3</v>
      </c>
      <c r="V18" s="4">
        <f t="shared" ca="1" si="2"/>
        <v>-3.6255487891233562E-2</v>
      </c>
      <c r="W18" s="4">
        <f t="shared" ca="1" si="3"/>
        <v>-5.9973345179920035E-3</v>
      </c>
      <c r="X18" s="4">
        <f t="shared" ca="1" si="4"/>
        <v>-8.8512981904013133E-3</v>
      </c>
      <c r="Y18" s="4">
        <f t="shared" ca="1" si="5"/>
        <v>5.1077414205906724E-3</v>
      </c>
      <c r="Z18" s="4">
        <f t="shared" ca="1" si="6"/>
        <v>2.0332313073895936E-2</v>
      </c>
      <c r="AA18" s="4">
        <f t="shared" ca="1" si="7"/>
        <v>-1.1130638547158789E-2</v>
      </c>
      <c r="AB18" s="4">
        <f t="shared" ca="1" si="12"/>
        <v>1.227573182247399E-2</v>
      </c>
      <c r="AC18" s="4">
        <f t="shared" ca="1" si="13"/>
        <v>-1.3921113689095099E-2</v>
      </c>
      <c r="AD18" s="4"/>
      <c r="AE18" s="2" cm="1">
        <f t="array" aca="1" ref="AE18" ca="1">SUMPRODUCT(Q18:AB18,TRANSPOSE(Insights.!$H$4:$H$15))</f>
        <v>-4.187009228510355E-3</v>
      </c>
      <c r="AG18" s="10" vm="250">
        <f ca="1"/>
        <v>45680</v>
      </c>
      <c r="AH18" s="1" vm="263">
        <f ca="1"/>
        <v>110.96</v>
      </c>
      <c r="AI18" s="2">
        <f t="shared" ca="1" si="8"/>
        <v>-6.804253785147707E-3</v>
      </c>
      <c r="AJ18" s="1" vm="264">
        <f ca="1"/>
        <v>107.33</v>
      </c>
      <c r="AK18" s="2">
        <f t="shared" ca="1" si="14"/>
        <v>-4.3790179819248598E-3</v>
      </c>
      <c r="AL18" s="1" vm="265">
        <f ca="1"/>
        <v>52.57</v>
      </c>
      <c r="AM18" s="2">
        <f t="shared" ca="1" si="15"/>
        <v>-2.8533384059349354E-3</v>
      </c>
      <c r="AO18" s="9">
        <f t="shared" ca="1" si="16"/>
        <v>104.53003359860865</v>
      </c>
      <c r="AP18">
        <f t="shared" ca="1" si="17"/>
        <v>102.89317507418397</v>
      </c>
      <c r="AQ18">
        <f t="shared" ca="1" si="18"/>
        <v>101.9278252611586</v>
      </c>
      <c r="AR18">
        <f t="shared" ca="1" si="19"/>
        <v>107.1872769905189</v>
      </c>
      <c r="AT18" s="21">
        <f ca="1">MAX($AO$3:AO19)</f>
        <v>104.53003359860865</v>
      </c>
      <c r="AU18" s="2">
        <f t="shared" ca="1" si="20"/>
        <v>0</v>
      </c>
    </row>
    <row r="19" spans="1:47" x14ac:dyDescent="0.25">
      <c r="A19" vm="266">
        <f ca="1"/>
        <v>45681</v>
      </c>
      <c r="B19" vm="267">
        <f ca="1"/>
        <v>136.1</v>
      </c>
      <c r="C19" vm="268">
        <f ca="1"/>
        <v>212.5</v>
      </c>
      <c r="D19" vm="269">
        <f ca="1"/>
        <v>314.85000000000002</v>
      </c>
      <c r="E19" vm="270">
        <f ca="1"/>
        <v>321</v>
      </c>
      <c r="F19" vm="271">
        <f ca="1"/>
        <v>223.75</v>
      </c>
      <c r="G19" vm="272">
        <f ca="1"/>
        <v>181.5</v>
      </c>
      <c r="H19" vm="273">
        <f ca="1"/>
        <v>422</v>
      </c>
      <c r="I19" vm="274">
        <f ca="1"/>
        <v>156.19999999999999</v>
      </c>
      <c r="J19" vm="275">
        <f ca="1"/>
        <v>491.75</v>
      </c>
      <c r="K19" t="e" vm="11">
        <f ca="1"/>
        <v>#N/A</v>
      </c>
      <c r="L19" vm="276">
        <f ca="1"/>
        <v>233.35</v>
      </c>
      <c r="M19" vm="277">
        <f ca="1"/>
        <v>251.95</v>
      </c>
      <c r="N19" vm="81">
        <f ca="1"/>
        <v>25.65</v>
      </c>
      <c r="O19" vm="278">
        <f ca="1"/>
        <v>482.4</v>
      </c>
      <c r="Q19" s="4">
        <f t="shared" ca="1" si="9"/>
        <v>7.4074074074075291E-3</v>
      </c>
      <c r="R19" s="4">
        <f t="shared" ca="1" si="0"/>
        <v>4.20560747663552E-2</v>
      </c>
      <c r="S19" s="4">
        <f t="shared" ca="1" si="1"/>
        <v>-0.2793388429752065</v>
      </c>
      <c r="T19" s="4">
        <f t="shared" ca="1" si="10"/>
        <v>3.1754161331626118E-2</v>
      </c>
      <c r="U19" s="4">
        <f t="shared" ca="1" si="11"/>
        <v>-8.94763599389925E-3</v>
      </c>
      <c r="V19" s="4">
        <f t="shared" ca="1" si="2"/>
        <v>-0.17105069801616457</v>
      </c>
      <c r="W19" s="4">
        <f t="shared" ca="1" si="3"/>
        <v>-7.1508379888267637E-3</v>
      </c>
      <c r="X19" s="4">
        <f t="shared" ca="1" si="4"/>
        <v>2.1829728120659198E-3</v>
      </c>
      <c r="Y19" s="4">
        <f t="shared" ca="1" si="5"/>
        <v>1.270446244243284E-2</v>
      </c>
      <c r="Z19" s="4">
        <f t="shared" ca="1" si="6"/>
        <v>-0.16271694878937215</v>
      </c>
      <c r="AA19" s="4">
        <f t="shared" ca="1" si="7"/>
        <v>-1.7417061611374463E-2</v>
      </c>
      <c r="AB19" s="4">
        <f t="shared" ca="1" si="12"/>
        <v>6.7371475953565962E-3</v>
      </c>
      <c r="AC19" s="4">
        <f t="shared" ca="1" si="13"/>
        <v>-0.14164705882352935</v>
      </c>
      <c r="AD19" s="4"/>
      <c r="AE19" s="2" cm="1">
        <f t="array" aca="1" ref="AE19" ca="1">SUMPRODUCT(Q19:AB19,TRANSPOSE(Insights.!$H$4:$H$15))</f>
        <v>-3.5146637708598542E-2</v>
      </c>
      <c r="AG19" s="10" vm="266">
        <f ca="1"/>
        <v>45681</v>
      </c>
      <c r="AH19" s="1" vm="279">
        <f ca="1"/>
        <v>110.205</v>
      </c>
      <c r="AI19" s="2">
        <f t="shared" ca="1" si="8"/>
        <v>-1.6423937207930672E-2</v>
      </c>
      <c r="AJ19" s="1" vm="280">
        <f ca="1"/>
        <v>106.86</v>
      </c>
      <c r="AK19" s="2">
        <f t="shared" ca="1" si="14"/>
        <v>-1.6423357664233529E-2</v>
      </c>
      <c r="AL19" s="1" vm="281">
        <f ca="1"/>
        <v>52.42</v>
      </c>
      <c r="AM19" s="2">
        <f t="shared" ca="1" si="15"/>
        <v>-3.8153376573827336E-3</v>
      </c>
      <c r="AO19" s="9">
        <f t="shared" ca="1" si="16"/>
        <v>104.09236538327478</v>
      </c>
      <c r="AP19">
        <f t="shared" ca="1" si="17"/>
        <v>102.19306379821958</v>
      </c>
      <c r="AQ19">
        <f t="shared" ca="1" si="18"/>
        <v>101.4814814814815</v>
      </c>
      <c r="AR19">
        <f t="shared" ca="1" si="19"/>
        <v>106.88143541645427</v>
      </c>
      <c r="AT19" s="21">
        <f ca="1">MAX($AO$3:AO20)</f>
        <v>104.53003359860865</v>
      </c>
      <c r="AU19" s="2">
        <f t="shared" ca="1" si="20"/>
        <v>-4.1870092285103411E-3</v>
      </c>
    </row>
    <row r="20" spans="1:47" x14ac:dyDescent="0.25">
      <c r="A20" vm="282">
        <f ca="1"/>
        <v>45684</v>
      </c>
      <c r="B20" vm="283">
        <f ca="1"/>
        <v>112.82</v>
      </c>
      <c r="C20" vm="284">
        <f ca="1"/>
        <v>182.4</v>
      </c>
      <c r="D20" vm="285">
        <f ca="1"/>
        <v>318.85000000000002</v>
      </c>
      <c r="E20" vm="286">
        <f ca="1"/>
        <v>334.5</v>
      </c>
      <c r="F20" vm="287">
        <f ca="1"/>
        <v>222.15</v>
      </c>
      <c r="G20" vm="288">
        <f ca="1"/>
        <v>130.80000000000001</v>
      </c>
      <c r="H20" vm="289">
        <f ca="1"/>
        <v>414.65</v>
      </c>
      <c r="I20" vm="290">
        <f ca="1"/>
        <v>161.16</v>
      </c>
      <c r="J20" vm="291">
        <f ca="1"/>
        <v>487.35</v>
      </c>
      <c r="K20" t="e" vm="11">
        <f ca="1"/>
        <v>#N/A</v>
      </c>
      <c r="L20" vm="292">
        <f ca="1"/>
        <v>195.38</v>
      </c>
      <c r="M20" vm="293">
        <f ca="1"/>
        <v>252.5</v>
      </c>
      <c r="N20" vm="294">
        <f ca="1"/>
        <v>25.84</v>
      </c>
      <c r="O20" vm="295">
        <f ca="1"/>
        <v>485.65</v>
      </c>
      <c r="Q20" s="4">
        <f t="shared" ca="1" si="9"/>
        <v>3.8699690402488329E-4</v>
      </c>
      <c r="R20" s="4">
        <f t="shared" ca="1" si="0"/>
        <v>3.1390134529148073E-2</v>
      </c>
      <c r="S20" s="4">
        <f t="shared" ca="1" si="1"/>
        <v>8.6773700305810442E-2</v>
      </c>
      <c r="T20" s="4">
        <f t="shared" ca="1" si="10"/>
        <v>-8.1906180193596079E-3</v>
      </c>
      <c r="U20" s="4">
        <f t="shared" ca="1" si="11"/>
        <v>1.6312711603570396E-2</v>
      </c>
      <c r="V20" s="4">
        <f t="shared" ca="1" si="2"/>
        <v>9.2182237191987371E-2</v>
      </c>
      <c r="W20" s="4">
        <f t="shared" ca="1" si="3"/>
        <v>3.1735313977042434E-2</v>
      </c>
      <c r="X20" s="4">
        <f t="shared" ca="1" si="4"/>
        <v>6.5346534653465405E-3</v>
      </c>
      <c r="Y20" s="4">
        <f t="shared" ca="1" si="5"/>
        <v>1.3172338090010838E-2</v>
      </c>
      <c r="Z20" s="4">
        <f t="shared" ca="1" si="6"/>
        <v>-1.3205036339441034E-2</v>
      </c>
      <c r="AA20" s="4">
        <f t="shared" ca="1" si="7"/>
        <v>3.3160496804534034E-2</v>
      </c>
      <c r="AB20" s="4">
        <f t="shared" ca="1" si="12"/>
        <v>3.572531658601874E-2</v>
      </c>
      <c r="AC20" s="4">
        <f t="shared" ca="1" si="13"/>
        <v>6.25E-2</v>
      </c>
      <c r="AD20" s="4"/>
      <c r="AE20" s="2" cm="1">
        <f t="array" aca="1" ref="AE20" ca="1">SUMPRODUCT(Q20:AB20,TRANSPOSE(Insights.!$H$4:$H$15))</f>
        <v>2.2617176649133805E-2</v>
      </c>
      <c r="AG20" s="10" vm="282">
        <f ca="1"/>
        <v>45684</v>
      </c>
      <c r="AH20" s="1" vm="296">
        <f ca="1"/>
        <v>108.395</v>
      </c>
      <c r="AI20" s="2">
        <f t="shared" ca="1" si="8"/>
        <v>1.5960145763181055E-2</v>
      </c>
      <c r="AJ20" s="1" vm="297">
        <f ca="1"/>
        <v>105.105</v>
      </c>
      <c r="AK20" s="2">
        <f t="shared" ca="1" si="14"/>
        <v>1.3129727415441605E-2</v>
      </c>
      <c r="AL20" s="1" vm="298">
        <f ca="1"/>
        <v>52.22</v>
      </c>
      <c r="AM20" s="2">
        <f t="shared" ca="1" si="15"/>
        <v>1.5319800842588105E-3</v>
      </c>
      <c r="AO20" s="9">
        <f t="shared" ca="1" si="16"/>
        <v>100.43386872891776</v>
      </c>
      <c r="AP20">
        <f t="shared" ca="1" si="17"/>
        <v>100.51465133531157</v>
      </c>
      <c r="AQ20">
        <f t="shared" ca="1" si="18"/>
        <v>99.814814814814838</v>
      </c>
      <c r="AR20">
        <f t="shared" ca="1" si="19"/>
        <v>106.47364665103474</v>
      </c>
      <c r="AT20" s="21">
        <f ca="1">MAX($AO$3:AO21)</f>
        <v>104.53003359860865</v>
      </c>
      <c r="AU20" s="2">
        <f t="shared" ca="1" si="20"/>
        <v>-3.9186487640671896E-2</v>
      </c>
    </row>
    <row r="21" spans="1:47" x14ac:dyDescent="0.25">
      <c r="A21" vm="299">
        <f ca="1"/>
        <v>45685</v>
      </c>
      <c r="B21" vm="300">
        <f ca="1"/>
        <v>123.22</v>
      </c>
      <c r="C21" vm="301">
        <f ca="1"/>
        <v>193.8</v>
      </c>
      <c r="D21" vm="302">
        <f ca="1"/>
        <v>323.05</v>
      </c>
      <c r="E21" vm="303">
        <f ca="1"/>
        <v>345</v>
      </c>
      <c r="F21" vm="304">
        <f ca="1"/>
        <v>229.2</v>
      </c>
      <c r="G21" vm="305">
        <f ca="1"/>
        <v>142.15</v>
      </c>
      <c r="H21" vm="306">
        <f ca="1"/>
        <v>428.4</v>
      </c>
      <c r="I21" vm="307">
        <f ca="1"/>
        <v>159.84</v>
      </c>
      <c r="J21" vm="308">
        <f ca="1"/>
        <v>495.3</v>
      </c>
      <c r="K21" t="e" vm="11">
        <f ca="1"/>
        <v>#N/A</v>
      </c>
      <c r="L21" vm="309">
        <f ca="1"/>
        <v>192.8</v>
      </c>
      <c r="M21" vm="310">
        <f ca="1"/>
        <v>254.15</v>
      </c>
      <c r="N21" vm="311">
        <f ca="1"/>
        <v>25.85</v>
      </c>
      <c r="O21" vm="312">
        <f ca="1"/>
        <v>503</v>
      </c>
      <c r="Q21" s="4">
        <f t="shared" ca="1" si="9"/>
        <v>3.8684719535786449E-4</v>
      </c>
      <c r="R21" s="4">
        <f t="shared" ca="1" si="0"/>
        <v>-1.3913043478260945E-2</v>
      </c>
      <c r="S21" s="4">
        <f t="shared" ca="1" si="1"/>
        <v>4.6429827646851773E-2</v>
      </c>
      <c r="T21" s="4">
        <f t="shared" ca="1" si="10"/>
        <v>2.6276276276275823E-3</v>
      </c>
      <c r="U21" s="4">
        <f t="shared" ca="1" si="11"/>
        <v>1.5748031496062964E-2</v>
      </c>
      <c r="V21" s="4">
        <f t="shared" ca="1" si="2"/>
        <v>-3.7331602012660281E-2</v>
      </c>
      <c r="W21" s="4">
        <f t="shared" ca="1" si="3"/>
        <v>-3.054101221640404E-3</v>
      </c>
      <c r="X21" s="4">
        <f t="shared" ca="1" si="4"/>
        <v>1.2787723785166127E-2</v>
      </c>
      <c r="Y21" s="4">
        <f t="shared" ca="1" si="5"/>
        <v>2.012072434607548E-3</v>
      </c>
      <c r="Z21" s="4">
        <f t="shared" ca="1" si="6"/>
        <v>1.856846473029039E-2</v>
      </c>
      <c r="AA21" s="4">
        <f t="shared" ca="1" si="7"/>
        <v>-7.2362278244630929E-3</v>
      </c>
      <c r="AB21" s="4">
        <f t="shared" ca="1" si="12"/>
        <v>2.8827037773359931E-2</v>
      </c>
      <c r="AC21" s="4">
        <f t="shared" ca="1" si="13"/>
        <v>1.0319917440659854E-3</v>
      </c>
      <c r="AD21" s="4"/>
      <c r="AE21" s="2" cm="1">
        <f t="array" aca="1" ref="AE21" ca="1">SUMPRODUCT(Q21:AB21,TRANSPOSE(Insights.!$H$4:$H$15))</f>
        <v>5.8996546735960928E-3</v>
      </c>
      <c r="AG21" s="10" vm="299">
        <f ca="1"/>
        <v>45685</v>
      </c>
      <c r="AH21" s="1" vm="313">
        <f ca="1"/>
        <v>110.125</v>
      </c>
      <c r="AI21" s="2">
        <f t="shared" ca="1" si="8"/>
        <v>-2.406356413166888E-3</v>
      </c>
      <c r="AJ21" s="1" vm="314">
        <f ca="1"/>
        <v>106.485</v>
      </c>
      <c r="AK21" s="2">
        <f t="shared" ca="1" si="14"/>
        <v>3.145983002300845E-3</v>
      </c>
      <c r="AL21" s="1" vm="315">
        <f ca="1"/>
        <v>52.3</v>
      </c>
      <c r="AM21" s="2">
        <f t="shared" ca="1" si="15"/>
        <v>6.6921606118546251E-3</v>
      </c>
      <c r="AO21" s="9">
        <f t="shared" ca="1" si="16"/>
        <v>102.70539927951562</v>
      </c>
      <c r="AP21">
        <f t="shared" ca="1" si="17"/>
        <v>102.11887982195846</v>
      </c>
      <c r="AQ21">
        <f t="shared" ca="1" si="18"/>
        <v>101.12535612535613</v>
      </c>
      <c r="AR21">
        <f t="shared" ca="1" si="19"/>
        <v>106.63676215720254</v>
      </c>
      <c r="AT21" s="21">
        <f ca="1">MAX($AO$3:AO22)</f>
        <v>104.53003359860865</v>
      </c>
      <c r="AU21" s="2">
        <f t="shared" ca="1" si="20"/>
        <v>-1.7455598704766206E-2</v>
      </c>
    </row>
    <row r="22" spans="1:47" x14ac:dyDescent="0.25">
      <c r="A22" vm="316">
        <f ca="1"/>
        <v>45686</v>
      </c>
      <c r="B22" vm="317">
        <f ca="1"/>
        <v>118.62</v>
      </c>
      <c r="C22" vm="318">
        <f ca="1"/>
        <v>194</v>
      </c>
      <c r="D22" vm="319">
        <f ca="1"/>
        <v>323.7</v>
      </c>
      <c r="E22" vm="320">
        <f ca="1"/>
        <v>340.2</v>
      </c>
      <c r="F22" vm="321">
        <f ca="1"/>
        <v>228.5</v>
      </c>
      <c r="G22" vm="322">
        <f ca="1"/>
        <v>148.75</v>
      </c>
      <c r="H22" vm="323">
        <f ca="1"/>
        <v>425.3</v>
      </c>
      <c r="I22" vm="324">
        <f ca="1"/>
        <v>160.26</v>
      </c>
      <c r="J22" vm="325">
        <f ca="1"/>
        <v>503.1</v>
      </c>
      <c r="K22" t="e" vm="11">
        <f ca="1"/>
        <v>#N/A</v>
      </c>
      <c r="L22" vm="326">
        <f ca="1"/>
        <v>196.38</v>
      </c>
      <c r="M22" vm="327">
        <f ca="1"/>
        <v>257.39999999999998</v>
      </c>
      <c r="N22" vm="328">
        <f ca="1"/>
        <v>25.86</v>
      </c>
      <c r="O22" vm="329">
        <f ca="1"/>
        <v>517.5</v>
      </c>
      <c r="Q22" s="4">
        <f t="shared" ca="1" si="9"/>
        <v>2.7068832173240409E-3</v>
      </c>
      <c r="R22" s="4">
        <f t="shared" ca="1" si="0"/>
        <v>-2.9100529100529071E-2</v>
      </c>
      <c r="S22" s="4">
        <f t="shared" ca="1" si="1"/>
        <v>0.13176470588235301</v>
      </c>
      <c r="T22" s="4">
        <f t="shared" ca="1" si="10"/>
        <v>1.8719580681394454E-3</v>
      </c>
      <c r="U22" s="4">
        <f t="shared" ca="1" si="11"/>
        <v>-1.610017889087656E-2</v>
      </c>
      <c r="V22" s="4">
        <f t="shared" ca="1" si="2"/>
        <v>6.0698027314112224E-3</v>
      </c>
      <c r="W22" s="4">
        <f t="shared" ca="1" si="3"/>
        <v>-8.5339168490152773E-3</v>
      </c>
      <c r="X22" s="4">
        <f t="shared" ca="1" si="4"/>
        <v>5.244755244755428E-3</v>
      </c>
      <c r="Y22" s="4">
        <f t="shared" ca="1" si="5"/>
        <v>1.8226753166512344E-2</v>
      </c>
      <c r="Z22" s="4">
        <f t="shared" ca="1" si="6"/>
        <v>7.4956716569915427E-2</v>
      </c>
      <c r="AA22" s="4">
        <f t="shared" ca="1" si="7"/>
        <v>-5.8311779920056428E-2</v>
      </c>
      <c r="AB22" s="4">
        <f t="shared" ca="1" si="12"/>
        <v>2.9371980676328624E-2</v>
      </c>
      <c r="AC22" s="4">
        <f t="shared" ca="1" si="13"/>
        <v>2.8865979381443196E-2</v>
      </c>
      <c r="AD22" s="4"/>
      <c r="AE22" s="2" cm="1">
        <f t="array" aca="1" ref="AE22" ca="1">SUMPRODUCT(Q22:AB22,TRANSPOSE(Insights.!$H$4:$H$15))</f>
        <v>1.0316830584353549E-2</v>
      </c>
      <c r="AG22" s="10" vm="316">
        <f ca="1"/>
        <v>45686</v>
      </c>
      <c r="AH22" s="1" vm="330">
        <f ca="1"/>
        <v>109.86</v>
      </c>
      <c r="AI22" s="2">
        <f t="shared" ca="1" si="8"/>
        <v>3.1403604587656453E-3</v>
      </c>
      <c r="AJ22" s="1" vm="331">
        <f ca="1"/>
        <v>106.82</v>
      </c>
      <c r="AK22" s="2">
        <f t="shared" ca="1" si="14"/>
        <v>2.4340011233852099E-3</v>
      </c>
      <c r="AL22" s="1" vm="332">
        <f ca="1"/>
        <v>52.65</v>
      </c>
      <c r="AM22" s="2">
        <f t="shared" ca="1" si="15"/>
        <v>1.2535612535612639E-2</v>
      </c>
      <c r="AO22" s="9">
        <f t="shared" ca="1" si="16"/>
        <v>103.31132566837857</v>
      </c>
      <c r="AP22">
        <f t="shared" ca="1" si="17"/>
        <v>101.87314540059347</v>
      </c>
      <c r="AQ22">
        <f t="shared" ca="1" si="18"/>
        <v>101.44349477682812</v>
      </c>
      <c r="AR22">
        <f t="shared" ca="1" si="19"/>
        <v>107.35039249668668</v>
      </c>
      <c r="AT22" s="21">
        <f ca="1">MAX($AO$3:AO23)</f>
        <v>104.53003359860865</v>
      </c>
      <c r="AU22" s="2">
        <f t="shared" ca="1" si="20"/>
        <v>-1.1658926035648998E-2</v>
      </c>
    </row>
    <row r="23" spans="1:47" x14ac:dyDescent="0.25">
      <c r="A23" vm="333">
        <f ca="1"/>
        <v>45687</v>
      </c>
      <c r="B23" vm="334">
        <f ca="1"/>
        <v>119.34</v>
      </c>
      <c r="C23" vm="155">
        <f ca="1"/>
        <v>199.6</v>
      </c>
      <c r="D23" vm="335">
        <f ca="1"/>
        <v>329.6</v>
      </c>
      <c r="E23" vm="336">
        <f ca="1"/>
        <v>330.3</v>
      </c>
      <c r="F23" vm="337">
        <f ca="1"/>
        <v>226.55</v>
      </c>
      <c r="G23" vm="338">
        <f ca="1"/>
        <v>168.35</v>
      </c>
      <c r="H23" vm="339">
        <f ca="1"/>
        <v>400.5</v>
      </c>
      <c r="I23" vm="340">
        <f ca="1"/>
        <v>160.56</v>
      </c>
      <c r="J23" vm="341">
        <f ca="1"/>
        <v>495</v>
      </c>
      <c r="K23" t="e" vm="11">
        <f ca="1"/>
        <v>#N/A</v>
      </c>
      <c r="L23" vm="342">
        <f ca="1"/>
        <v>211.1</v>
      </c>
      <c r="M23" vm="343">
        <f ca="1"/>
        <v>258.75</v>
      </c>
      <c r="N23" vm="344">
        <f ca="1"/>
        <v>25.93</v>
      </c>
      <c r="O23" vm="345">
        <f ca="1"/>
        <v>532.70000000000005</v>
      </c>
      <c r="Q23" s="4">
        <f t="shared" ca="1" si="9"/>
        <v>-1.542614731970704E-3</v>
      </c>
      <c r="R23" s="4">
        <f t="shared" ca="1" si="0"/>
        <v>-1.0596427490161542E-3</v>
      </c>
      <c r="S23" s="4">
        <f t="shared" ca="1" si="1"/>
        <v>-3.296703296703285E-2</v>
      </c>
      <c r="T23" s="4">
        <f t="shared" ca="1" si="10"/>
        <v>-3.3632286995515237E-3</v>
      </c>
      <c r="U23" s="4">
        <f t="shared" ca="1" si="11"/>
        <v>3.2727272727272716E-2</v>
      </c>
      <c r="V23" s="4">
        <f t="shared" ca="1" si="2"/>
        <v>-2.9327970504441137E-2</v>
      </c>
      <c r="W23" s="4">
        <f t="shared" ca="1" si="3"/>
        <v>1.0152284263959421E-2</v>
      </c>
      <c r="X23" s="4">
        <f t="shared" ca="1" si="4"/>
        <v>3.8647342995168366E-3</v>
      </c>
      <c r="Y23" s="4">
        <f t="shared" ca="1" si="5"/>
        <v>3.489077669902807E-3</v>
      </c>
      <c r="Z23" s="4">
        <f t="shared" ca="1" si="6"/>
        <v>2.8659403126480409E-2</v>
      </c>
      <c r="AA23" s="4">
        <f t="shared" ca="1" si="7"/>
        <v>2.6217228464420206E-3</v>
      </c>
      <c r="AB23" s="4">
        <f t="shared" ca="1" si="12"/>
        <v>8.6352543645578095E-3</v>
      </c>
      <c r="AC23" s="4">
        <f t="shared" ca="1" si="13"/>
        <v>1.4529058116232507E-2</v>
      </c>
      <c r="AD23" s="4"/>
      <c r="AE23" s="2" cm="1">
        <f t="array" aca="1" ref="AE23" ca="1">SUMPRODUCT(Q23:AB23,TRANSPOSE(Insights.!$H$4:$H$15))</f>
        <v>3.642519671981247E-3</v>
      </c>
      <c r="AG23" s="10" vm="333">
        <f ca="1"/>
        <v>45687</v>
      </c>
      <c r="AH23" s="1" vm="279">
        <f ca="1"/>
        <v>110.205</v>
      </c>
      <c r="AI23" s="2">
        <f t="shared" ca="1" si="8"/>
        <v>9.7091783494398509E-3</v>
      </c>
      <c r="AJ23" s="1" vm="346">
        <f ca="1"/>
        <v>107.08</v>
      </c>
      <c r="AK23" s="2">
        <f t="shared" ca="1" si="14"/>
        <v>1.0272693313410519E-2</v>
      </c>
      <c r="AL23" s="1" vm="347">
        <f ca="1"/>
        <v>53.31</v>
      </c>
      <c r="AM23" s="2">
        <f t="shared" ca="1" si="15"/>
        <v>-5.4398799474769666E-3</v>
      </c>
      <c r="AO23" s="9">
        <f t="shared" ca="1" si="16"/>
        <v>104.37717111274421</v>
      </c>
      <c r="AP23">
        <f t="shared" ca="1" si="17"/>
        <v>102.19306379821958</v>
      </c>
      <c r="AQ23">
        <f t="shared" ca="1" si="18"/>
        <v>101.69040835707504</v>
      </c>
      <c r="AR23">
        <f t="shared" ca="1" si="19"/>
        <v>108.69609542257108</v>
      </c>
      <c r="AT23" s="21">
        <f ca="1">MAX($AO$3:AO24)</f>
        <v>104.75736701182812</v>
      </c>
      <c r="AU23" s="2">
        <f t="shared" ca="1" si="20"/>
        <v>-3.6292998757880834E-3</v>
      </c>
    </row>
    <row r="24" spans="1:47" x14ac:dyDescent="0.25">
      <c r="A24" vm="348">
        <f ca="1"/>
        <v>45688</v>
      </c>
      <c r="B24" vm="349">
        <f ca="1"/>
        <v>115.84</v>
      </c>
      <c r="C24" vm="104">
        <f ca="1"/>
        <v>202.5</v>
      </c>
      <c r="D24" vm="350">
        <f ca="1"/>
        <v>330.75</v>
      </c>
      <c r="E24" vm="351">
        <f ca="1"/>
        <v>329.95</v>
      </c>
      <c r="F24" vm="352">
        <f ca="1"/>
        <v>228.85</v>
      </c>
      <c r="G24" vm="353">
        <f ca="1"/>
        <v>162.80000000000001</v>
      </c>
      <c r="H24" vm="354">
        <f ca="1"/>
        <v>401.55</v>
      </c>
      <c r="I24" vm="355">
        <f ca="1"/>
        <v>160.02000000000001</v>
      </c>
      <c r="J24" vm="356">
        <f ca="1"/>
        <v>511.2</v>
      </c>
      <c r="K24" t="e" vm="11">
        <f ca="1"/>
        <v>#N/A</v>
      </c>
      <c r="L24" vm="357">
        <f ca="1"/>
        <v>217.15</v>
      </c>
      <c r="M24" vm="358">
        <f ca="1"/>
        <v>259.75</v>
      </c>
      <c r="N24" vm="359">
        <f ca="1"/>
        <v>25.89</v>
      </c>
      <c r="O24" vm="360">
        <f ca="1"/>
        <v>537.29999999999995</v>
      </c>
      <c r="Q24" s="4">
        <f t="shared" ca="1" si="9"/>
        <v>-1.2359984550019298E-2</v>
      </c>
      <c r="R24" s="4">
        <f t="shared" ca="1" si="0"/>
        <v>-1.8184573420214623E-3</v>
      </c>
      <c r="S24" s="4">
        <f t="shared" ca="1" si="1"/>
        <v>-9.2137592137597757E-4</v>
      </c>
      <c r="T24" s="4">
        <f t="shared" ca="1" si="10"/>
        <v>2.1247344081989583E-2</v>
      </c>
      <c r="U24" s="4">
        <f t="shared" ca="1" si="11"/>
        <v>-1.8192488262910866E-2</v>
      </c>
      <c r="V24" s="4">
        <f t="shared" ca="1" si="2"/>
        <v>-2.3135359116022158E-2</v>
      </c>
      <c r="W24" s="4">
        <f t="shared" ca="1" si="3"/>
        <v>8.5208651955430703E-3</v>
      </c>
      <c r="X24" s="4">
        <f t="shared" ca="1" si="4"/>
        <v>-3.2723772858518352E-3</v>
      </c>
      <c r="Y24" s="4">
        <f t="shared" ca="1" si="5"/>
        <v>1.7233560090702982E-2</v>
      </c>
      <c r="Z24" s="4">
        <f t="shared" ca="1" si="6"/>
        <v>-1.7729679944738619E-2</v>
      </c>
      <c r="AA24" s="4">
        <f t="shared" ca="1" si="7"/>
        <v>-9.9613995766412167E-4</v>
      </c>
      <c r="AB24" s="4">
        <f t="shared" ca="1" si="12"/>
        <v>-3.9084310441093173E-3</v>
      </c>
      <c r="AC24" s="4">
        <f t="shared" ca="1" si="13"/>
        <v>-3.8024691358024665E-2</v>
      </c>
      <c r="AD24" s="4"/>
      <c r="AE24" s="2" cm="1">
        <f t="array" aca="1" ref="AE24" ca="1">SUMPRODUCT(Q24:AB24,TRANSPOSE(Insights.!$H$4:$H$15))</f>
        <v>-3.4764612682749328E-3</v>
      </c>
      <c r="AG24" s="10" vm="348">
        <f ca="1"/>
        <v>45688</v>
      </c>
      <c r="AH24" s="1" vm="361">
        <f ca="1"/>
        <v>111.27500000000001</v>
      </c>
      <c r="AI24" s="2">
        <f t="shared" ca="1" si="8"/>
        <v>-6.6052572455628233E-3</v>
      </c>
      <c r="AJ24" s="1" vm="362">
        <f ca="1"/>
        <v>108.18</v>
      </c>
      <c r="AK24" s="2">
        <f t="shared" ca="1" si="14"/>
        <v>-8.6430024034017672E-3</v>
      </c>
      <c r="AL24" s="1" vm="363">
        <f ca="1"/>
        <v>53.02</v>
      </c>
      <c r="AM24" s="2">
        <f t="shared" ca="1" si="15"/>
        <v>-1.2070916635231965E-2</v>
      </c>
      <c r="AO24" s="9">
        <f t="shared" ca="1" si="16"/>
        <v>104.75736701182812</v>
      </c>
      <c r="AP24">
        <f t="shared" ca="1" si="17"/>
        <v>103.18527448071218</v>
      </c>
      <c r="AQ24">
        <f t="shared" ca="1" si="18"/>
        <v>102.73504273504275</v>
      </c>
      <c r="AR24">
        <f t="shared" ca="1" si="19"/>
        <v>108.10480171271278</v>
      </c>
      <c r="AT24" s="21">
        <f ca="1">MAX($AO$3:AO25)</f>
        <v>104.75736701182812</v>
      </c>
      <c r="AU24" s="2">
        <f t="shared" ca="1" si="20"/>
        <v>0</v>
      </c>
    </row>
    <row r="25" spans="1:47" x14ac:dyDescent="0.25">
      <c r="A25" vm="364">
        <f ca="1"/>
        <v>45691</v>
      </c>
      <c r="B25" vm="365">
        <f ca="1"/>
        <v>113.16</v>
      </c>
      <c r="C25" vm="366">
        <f ca="1"/>
        <v>194.8</v>
      </c>
      <c r="D25" vm="367">
        <f ca="1"/>
        <v>336.45</v>
      </c>
      <c r="E25" vm="368">
        <f ca="1"/>
        <v>329.35</v>
      </c>
      <c r="F25" vm="369">
        <f ca="1"/>
        <v>230.8</v>
      </c>
      <c r="G25" vm="370">
        <f ca="1"/>
        <v>162.65</v>
      </c>
      <c r="H25" vm="371">
        <f ca="1"/>
        <v>401.15</v>
      </c>
      <c r="I25" vm="372">
        <f ca="1"/>
        <v>163.41999999999999</v>
      </c>
      <c r="J25" vm="373">
        <f ca="1"/>
        <v>501.9</v>
      </c>
      <c r="K25" vm="374">
        <f ca="1"/>
        <v>32.6</v>
      </c>
      <c r="L25" vm="375">
        <f ca="1"/>
        <v>213.3</v>
      </c>
      <c r="M25" vm="376">
        <f ca="1"/>
        <v>258.89999999999998</v>
      </c>
      <c r="N25" vm="377">
        <f ca="1"/>
        <v>25.57</v>
      </c>
      <c r="O25" vm="378">
        <f ca="1"/>
        <v>535.20000000000005</v>
      </c>
      <c r="Q25" s="4">
        <f t="shared" ca="1" si="9"/>
        <v>1.2514665623777788E-2</v>
      </c>
      <c r="R25" s="4">
        <f t="shared" ca="1" si="0"/>
        <v>-4.8580537422195924E-3</v>
      </c>
      <c r="S25" s="4">
        <f t="shared" ca="1" si="1"/>
        <v>-1.5370427297879408E-3</v>
      </c>
      <c r="T25" s="4">
        <f t="shared" ca="1" si="10"/>
        <v>-1.0769795618651323E-2</v>
      </c>
      <c r="U25" s="4">
        <f t="shared" ca="1" si="11"/>
        <v>-7.7704722056185505E-3</v>
      </c>
      <c r="V25" s="4">
        <f t="shared" ca="1" si="2"/>
        <v>6.0091905266879131E-3</v>
      </c>
      <c r="W25" s="4">
        <f t="shared" ca="1" si="3"/>
        <v>8.8821490467936304E-3</v>
      </c>
      <c r="X25" s="4">
        <f t="shared" ca="1" si="4"/>
        <v>-5.0212437234451457E-3</v>
      </c>
      <c r="Y25" s="4">
        <f t="shared" ca="1" si="5"/>
        <v>-1.3374944271065559E-2</v>
      </c>
      <c r="Z25" s="4">
        <f t="shared" ca="1" si="6"/>
        <v>-3.5161744022503827E-3</v>
      </c>
      <c r="AA25" s="4">
        <f t="shared" ca="1" si="7"/>
        <v>-9.5974074535708498E-3</v>
      </c>
      <c r="AB25" s="4">
        <f t="shared" ca="1" si="12"/>
        <v>9.8654708520179213E-2</v>
      </c>
      <c r="AC25" s="4">
        <f t="shared" ca="1" si="13"/>
        <v>1.1293634496919891E-2</v>
      </c>
      <c r="AD25" s="4"/>
      <c r="AE25" s="2" cm="1">
        <f t="array" aca="1" ref="AE25" ca="1">SUMPRODUCT(Q25:AB25,TRANSPOSE(Insights.!$H$4:$H$15))</f>
        <v>4.6994787080782262E-3</v>
      </c>
      <c r="AG25" s="10" vm="364">
        <f ca="1"/>
        <v>45691</v>
      </c>
      <c r="AH25" s="1" vm="379">
        <f ca="1"/>
        <v>110.54</v>
      </c>
      <c r="AI25" s="2">
        <f t="shared" ca="1" si="8"/>
        <v>-4.1613895422472069E-3</v>
      </c>
      <c r="AJ25" s="1" vm="380">
        <f ca="1"/>
        <v>107.245</v>
      </c>
      <c r="AK25" s="2">
        <f t="shared" ca="1" si="14"/>
        <v>-3.729777612010432E-4</v>
      </c>
      <c r="AL25" s="1" vm="381">
        <f ca="1"/>
        <v>52.38</v>
      </c>
      <c r="AM25" s="2">
        <f t="shared" ca="1" si="15"/>
        <v>1.0309278350515427E-2</v>
      </c>
      <c r="AO25" s="9">
        <f t="shared" ca="1" si="16"/>
        <v>104.39318208284504</v>
      </c>
      <c r="AP25">
        <f t="shared" ca="1" si="17"/>
        <v>102.50370919881307</v>
      </c>
      <c r="AQ25">
        <f t="shared" ca="1" si="18"/>
        <v>101.84710351377019</v>
      </c>
      <c r="AR25">
        <f t="shared" ca="1" si="19"/>
        <v>106.79987766337035</v>
      </c>
      <c r="AT25" s="21">
        <f ca="1">MAX($AO$3:AO26)</f>
        <v>104.88377561931192</v>
      </c>
      <c r="AU25" s="2">
        <f t="shared" ca="1" si="20"/>
        <v>-4.677496910938328E-3</v>
      </c>
    </row>
    <row r="26" spans="1:47" x14ac:dyDescent="0.25">
      <c r="A26" vm="382">
        <f ca="1"/>
        <v>45692</v>
      </c>
      <c r="B26" vm="383">
        <f ca="1"/>
        <v>113.84</v>
      </c>
      <c r="C26" vm="384">
        <f ca="1"/>
        <v>197</v>
      </c>
      <c r="D26" vm="385">
        <f ca="1"/>
        <v>331.95</v>
      </c>
      <c r="E26" vm="386">
        <f ca="1"/>
        <v>327.75</v>
      </c>
      <c r="F26" vm="387">
        <f ca="1"/>
        <v>232.85</v>
      </c>
      <c r="G26" vm="388">
        <f ca="1"/>
        <v>162.4</v>
      </c>
      <c r="H26" vm="389">
        <f ca="1"/>
        <v>397.3</v>
      </c>
      <c r="I26" vm="390">
        <f ca="1"/>
        <v>161.66</v>
      </c>
      <c r="J26" vm="391">
        <f ca="1"/>
        <v>498</v>
      </c>
      <c r="K26" vm="392">
        <f ca="1"/>
        <v>32.4</v>
      </c>
      <c r="L26" vm="393">
        <f ca="1"/>
        <v>212.55</v>
      </c>
      <c r="M26" vm="394">
        <f ca="1"/>
        <v>257.60000000000002</v>
      </c>
      <c r="N26" vm="359">
        <f ca="1"/>
        <v>25.89</v>
      </c>
      <c r="O26" vm="395">
        <f ca="1"/>
        <v>588</v>
      </c>
      <c r="Q26" s="4">
        <f t="shared" ca="1" si="9"/>
        <v>-3.8624951718813083E-4</v>
      </c>
      <c r="R26" s="4">
        <f t="shared" ca="1" si="0"/>
        <v>1.3119755911517927E-2</v>
      </c>
      <c r="S26" s="4">
        <f t="shared" ca="1" si="1"/>
        <v>-3.0788177339913236E-4</v>
      </c>
      <c r="T26" s="4">
        <f t="shared" ca="1" si="10"/>
        <v>1.9794630706420069E-3</v>
      </c>
      <c r="U26" s="4">
        <f t="shared" ca="1" si="11"/>
        <v>-1.6967871485943697E-2</v>
      </c>
      <c r="V26" s="4">
        <f t="shared" ca="1" si="2"/>
        <v>5.4111033028812372E-2</v>
      </c>
      <c r="W26" s="4">
        <f t="shared" ca="1" si="3"/>
        <v>-2.6626583637534895E-2</v>
      </c>
      <c r="X26" s="4">
        <f t="shared" ca="1" si="4"/>
        <v>3.4937888198756095E-3</v>
      </c>
      <c r="Y26" s="4">
        <f t="shared" ca="1" si="5"/>
        <v>8.4350052718782376E-3</v>
      </c>
      <c r="Z26" s="4">
        <f t="shared" ca="1" si="6"/>
        <v>5.8574453069865751E-2</v>
      </c>
      <c r="AA26" s="4">
        <f t="shared" ca="1" si="7"/>
        <v>-6.2924742008563239E-4</v>
      </c>
      <c r="AB26" s="4">
        <f t="shared" ca="1" si="12"/>
        <v>2.0408163265306145E-2</v>
      </c>
      <c r="AC26" s="4">
        <f t="shared" ca="1" si="13"/>
        <v>1.5228426395939021E-2</v>
      </c>
      <c r="AD26" s="4"/>
      <c r="AE26" s="2" cm="1">
        <f t="array" aca="1" ref="AE26" ca="1">SUMPRODUCT(Q26:AB26,TRANSPOSE(Insights.!$H$4:$H$15))</f>
        <v>8.5419492996857867E-3</v>
      </c>
      <c r="AG26" s="10" vm="382">
        <f ca="1"/>
        <v>45692</v>
      </c>
      <c r="AH26" s="1" vm="396">
        <f ca="1"/>
        <v>110.08</v>
      </c>
      <c r="AI26" s="2">
        <f t="shared" ca="1" si="8"/>
        <v>-6.3590116279066411E-4</v>
      </c>
      <c r="AJ26" s="1" vm="397">
        <f ca="1"/>
        <v>107.205</v>
      </c>
      <c r="AK26" s="2">
        <f t="shared" ca="1" si="14"/>
        <v>-2.7050977099948303E-3</v>
      </c>
      <c r="AL26" s="1" vm="398">
        <f ca="1"/>
        <v>52.92</v>
      </c>
      <c r="AM26" s="2">
        <f t="shared" ca="1" si="15"/>
        <v>3.7792894935750887E-3</v>
      </c>
      <c r="AO26" s="9">
        <f t="shared" ca="1" si="16"/>
        <v>104.88377561931192</v>
      </c>
      <c r="AP26">
        <f t="shared" ca="1" si="17"/>
        <v>102.07715133531158</v>
      </c>
      <c r="AQ26">
        <f t="shared" ca="1" si="18"/>
        <v>101.80911680911682</v>
      </c>
      <c r="AR26">
        <f t="shared" ca="1" si="19"/>
        <v>107.90090733000304</v>
      </c>
      <c r="AT26" s="21">
        <f ca="1">MAX($AO$3:AO27)</f>
        <v>105.77968751301171</v>
      </c>
      <c r="AU26" s="2">
        <f t="shared" ca="1" si="20"/>
        <v>-8.4696023855201918E-3</v>
      </c>
    </row>
    <row r="27" spans="1:47" x14ac:dyDescent="0.25">
      <c r="A27" vm="399">
        <f ca="1"/>
        <v>45693</v>
      </c>
      <c r="B27" vm="400">
        <f ca="1"/>
        <v>120</v>
      </c>
      <c r="C27" vm="401">
        <f ca="1"/>
        <v>200</v>
      </c>
      <c r="D27" vm="402">
        <f ca="1"/>
        <v>334.75</v>
      </c>
      <c r="E27" vm="403">
        <f ca="1"/>
        <v>332.05</v>
      </c>
      <c r="F27" vm="404">
        <f ca="1"/>
        <v>226.65</v>
      </c>
      <c r="G27" vm="405">
        <f ca="1"/>
        <v>162.35</v>
      </c>
      <c r="H27" vm="406">
        <f ca="1"/>
        <v>397.05</v>
      </c>
      <c r="I27" vm="407">
        <f ca="1"/>
        <v>161.97999999999999</v>
      </c>
      <c r="J27" vm="408">
        <f ca="1"/>
        <v>489.55</v>
      </c>
      <c r="K27" vm="409">
        <f ca="1"/>
        <v>33.799999999999997</v>
      </c>
      <c r="L27" vm="410">
        <f ca="1"/>
        <v>225</v>
      </c>
      <c r="M27" vm="411">
        <f ca="1"/>
        <v>258.5</v>
      </c>
      <c r="N27" vm="412">
        <f ca="1"/>
        <v>25.88</v>
      </c>
      <c r="O27" vm="413">
        <f ca="1"/>
        <v>600</v>
      </c>
      <c r="Q27" s="4">
        <f t="shared" ca="1" si="9"/>
        <v>1.1978361669242821E-2</v>
      </c>
      <c r="R27" s="4">
        <f t="shared" ca="1" si="0"/>
        <v>-4.2915223610901942E-2</v>
      </c>
      <c r="S27" s="4">
        <f t="shared" ca="1" si="1"/>
        <v>9.2392978133659653E-4</v>
      </c>
      <c r="T27" s="4">
        <f t="shared" ca="1" si="10"/>
        <v>2.2224966045192307E-3</v>
      </c>
      <c r="U27" s="4">
        <f t="shared" ca="1" si="11"/>
        <v>2.1243999591461504E-2</v>
      </c>
      <c r="V27" s="4">
        <f t="shared" ca="1" si="2"/>
        <v>3.2333333333333325E-2</v>
      </c>
      <c r="W27" s="4">
        <f t="shared" ca="1" si="3"/>
        <v>1.1471431722920755E-2</v>
      </c>
      <c r="X27" s="4">
        <f t="shared" ca="1" si="4"/>
        <v>2.0696324951644085E-2</v>
      </c>
      <c r="Y27" s="4">
        <f t="shared" ca="1" si="5"/>
        <v>-1.4936519790889058E-3</v>
      </c>
      <c r="Z27" s="4">
        <f t="shared" ca="1" si="6"/>
        <v>-1.2666666666666604E-2</v>
      </c>
      <c r="AA27" s="4">
        <f t="shared" ca="1" si="7"/>
        <v>7.4297947361792183E-3</v>
      </c>
      <c r="AB27" s="4">
        <f t="shared" ca="1" si="12"/>
        <v>8.3333333333324155E-4</v>
      </c>
      <c r="AC27" s="4">
        <f t="shared" ca="1" si="13"/>
        <v>7.5000000000000622E-3</v>
      </c>
      <c r="AD27" s="4"/>
      <c r="AE27" s="2" cm="1">
        <f t="array" aca="1" ref="AE27" ca="1">SUMPRODUCT(Q27:AB27,TRANSPOSE(Insights.!$H$4:$H$15))</f>
        <v>2.1253672974393518E-3</v>
      </c>
      <c r="AG27" s="10" vm="399">
        <f ca="1"/>
        <v>45693</v>
      </c>
      <c r="AH27" s="1" vm="414">
        <f ca="1"/>
        <v>110.01</v>
      </c>
      <c r="AI27" s="2">
        <f t="shared" ca="1" si="8"/>
        <v>8.1810744477774922E-3</v>
      </c>
      <c r="AJ27" s="1" vm="415">
        <f ca="1"/>
        <v>106.91500000000001</v>
      </c>
      <c r="AK27" s="2">
        <f t="shared" ca="1" si="14"/>
        <v>1.1317401674227234E-2</v>
      </c>
      <c r="AL27" s="1" vm="416">
        <f ca="1"/>
        <v>53.12</v>
      </c>
      <c r="AM27" s="2">
        <f t="shared" ca="1" si="15"/>
        <v>1.3177710843373491E-2</v>
      </c>
      <c r="AO27" s="9">
        <f t="shared" ca="1" si="16"/>
        <v>105.77968751301171</v>
      </c>
      <c r="AP27">
        <f t="shared" ca="1" si="17"/>
        <v>102.0122403560831</v>
      </c>
      <c r="AQ27">
        <f t="shared" ca="1" si="18"/>
        <v>101.53371320037988</v>
      </c>
      <c r="AR27">
        <f t="shared" ca="1" si="19"/>
        <v>108.30869609542253</v>
      </c>
      <c r="AT27" s="21">
        <f ca="1">MAX($AO$3:AO28)</f>
        <v>106.00450820158521</v>
      </c>
      <c r="AU27" s="2">
        <f t="shared" ca="1" si="20"/>
        <v>-2.1208596916082456E-3</v>
      </c>
    </row>
    <row r="28" spans="1:47" x14ac:dyDescent="0.25">
      <c r="A28" vm="417">
        <f ca="1"/>
        <v>45694</v>
      </c>
      <c r="B28" vm="418">
        <f ca="1"/>
        <v>123.88</v>
      </c>
      <c r="C28" vm="419">
        <f ca="1"/>
        <v>201.5</v>
      </c>
      <c r="D28" vm="420">
        <f ca="1"/>
        <v>334.25</v>
      </c>
      <c r="E28" vm="421">
        <f ca="1"/>
        <v>317.8</v>
      </c>
      <c r="F28" vm="422">
        <f ca="1"/>
        <v>229.25</v>
      </c>
      <c r="G28" vm="423">
        <f ca="1"/>
        <v>162.5</v>
      </c>
      <c r="H28" vm="424">
        <f ca="1"/>
        <v>400</v>
      </c>
      <c r="I28" vm="425">
        <f ca="1"/>
        <v>162.34</v>
      </c>
      <c r="J28" vm="426">
        <f ca="1"/>
        <v>499.95</v>
      </c>
      <c r="K28" vm="427">
        <f ca="1"/>
        <v>31.8</v>
      </c>
      <c r="L28" vm="287">
        <f ca="1"/>
        <v>222.15</v>
      </c>
      <c r="M28" vm="428">
        <f ca="1"/>
        <v>263.85000000000002</v>
      </c>
      <c r="N28" vm="429">
        <f ca="1"/>
        <v>26.19</v>
      </c>
      <c r="O28" vm="430">
        <f ca="1"/>
        <v>600.5</v>
      </c>
      <c r="Q28" s="4">
        <f t="shared" ca="1" si="9"/>
        <v>-3.4364261168384758E-3</v>
      </c>
      <c r="R28" s="4">
        <f t="shared" ca="1" si="0"/>
        <v>-8.8105726872247381E-3</v>
      </c>
      <c r="S28" s="4">
        <f t="shared" ca="1" si="1"/>
        <v>3.3230769230769175E-2</v>
      </c>
      <c r="T28" s="4">
        <f t="shared" ca="1" si="10"/>
        <v>1.8479733891831884E-3</v>
      </c>
      <c r="U28" s="4">
        <f t="shared" ca="1" si="11"/>
        <v>1.0501050105010457E-2</v>
      </c>
      <c r="V28" s="4">
        <f t="shared" ca="1" si="2"/>
        <v>1.4368743945754048E-2</v>
      </c>
      <c r="W28" s="4">
        <f t="shared" ca="1" si="3"/>
        <v>-3.2497273718647746E-2</v>
      </c>
      <c r="X28" s="4">
        <f t="shared" ca="1" si="4"/>
        <v>1.6676141747204776E-2</v>
      </c>
      <c r="Y28" s="4">
        <f t="shared" ca="1" si="5"/>
        <v>8.9753178758413821E-3</v>
      </c>
      <c r="Z28" s="4">
        <f t="shared" ca="1" si="6"/>
        <v>-1.0353364843574187E-2</v>
      </c>
      <c r="AA28" s="4">
        <f t="shared" ca="1" si="7"/>
        <v>-6.624999999999992E-3</v>
      </c>
      <c r="AB28" s="4">
        <f t="shared" ca="1" si="12"/>
        <v>1.4654454621148894E-2</v>
      </c>
      <c r="AC28" s="4">
        <f t="shared" ca="1" si="13"/>
        <v>-4.9627791563275903E-3</v>
      </c>
      <c r="AD28" s="4"/>
      <c r="AE28" s="2" cm="1">
        <f t="array" aca="1" ref="AE28" ca="1">SUMPRODUCT(Q28:AB28,TRANSPOSE(Insights.!$H$4:$H$15))</f>
        <v>3.1220255432707353E-3</v>
      </c>
      <c r="AG28" s="10" vm="417">
        <f ca="1"/>
        <v>45694</v>
      </c>
      <c r="AH28" s="1" vm="431">
        <f ca="1"/>
        <v>110.91</v>
      </c>
      <c r="AI28" s="2">
        <f t="shared" ca="1" si="8"/>
        <v>-6.7622396537736496E-4</v>
      </c>
      <c r="AJ28" s="1" vm="432">
        <f ca="1"/>
        <v>108.125</v>
      </c>
      <c r="AK28" s="2">
        <f t="shared" ca="1" si="14"/>
        <v>-1.8959537572253993E-3</v>
      </c>
      <c r="AL28" s="1" vm="433">
        <f ca="1"/>
        <v>53.82</v>
      </c>
      <c r="AM28" s="2">
        <f t="shared" ca="1" si="15"/>
        <v>-3.9018952062430667E-3</v>
      </c>
      <c r="AO28" s="9">
        <f t="shared" ca="1" si="16"/>
        <v>106.00450820158521</v>
      </c>
      <c r="AP28">
        <f t="shared" ca="1" si="17"/>
        <v>102.84681008902078</v>
      </c>
      <c r="AQ28">
        <f t="shared" ca="1" si="18"/>
        <v>102.68281101614437</v>
      </c>
      <c r="AR28">
        <f t="shared" ca="1" si="19"/>
        <v>109.73595677439083</v>
      </c>
      <c r="AT28" s="21">
        <f ca="1">MAX($AO$3:AO29)</f>
        <v>106.3354569838924</v>
      </c>
      <c r="AU28" s="2">
        <f t="shared" ca="1" si="20"/>
        <v>-3.1123088355873296E-3</v>
      </c>
    </row>
    <row r="29" spans="1:47" x14ac:dyDescent="0.25">
      <c r="A29" vm="434">
        <f ca="1"/>
        <v>45695</v>
      </c>
      <c r="B29" vm="435">
        <f ca="1"/>
        <v>125.66</v>
      </c>
      <c r="C29" vm="436">
        <f ca="1"/>
        <v>200.5</v>
      </c>
      <c r="D29" vm="437">
        <f ca="1"/>
        <v>337.25</v>
      </c>
      <c r="E29" vm="40">
        <f ca="1"/>
        <v>315</v>
      </c>
      <c r="F29" vm="438">
        <f ca="1"/>
        <v>221.8</v>
      </c>
      <c r="G29" vm="439">
        <f ca="1"/>
        <v>167.9</v>
      </c>
      <c r="H29" vm="440">
        <f ca="1"/>
        <v>397.35</v>
      </c>
      <c r="I29" vm="441">
        <f ca="1"/>
        <v>162.63999999999999</v>
      </c>
      <c r="J29" vm="442">
        <f ca="1"/>
        <v>505.2</v>
      </c>
      <c r="K29" vm="443">
        <f ca="1"/>
        <v>37.200000000000003</v>
      </c>
      <c r="L29" vm="146">
        <f ca="1"/>
        <v>219.85</v>
      </c>
      <c r="M29" vm="444">
        <f ca="1"/>
        <v>268.25</v>
      </c>
      <c r="N29" vm="445">
        <f ca="1"/>
        <v>26.1</v>
      </c>
      <c r="O29" vm="446">
        <f ca="1"/>
        <v>609.29999999999995</v>
      </c>
      <c r="Q29" s="4">
        <f t="shared" ca="1" si="9"/>
        <v>1.4559386973179933E-2</v>
      </c>
      <c r="R29" s="4">
        <f t="shared" ca="1" si="0"/>
        <v>1.4285714285714235E-2</v>
      </c>
      <c r="S29" s="4">
        <f t="shared" ca="1" si="1"/>
        <v>-2.233472304943418E-2</v>
      </c>
      <c r="T29" s="4">
        <f t="shared" ca="1" si="10"/>
        <v>-8.6079685194284661E-4</v>
      </c>
      <c r="U29" s="4">
        <f t="shared" ca="1" si="11"/>
        <v>-3.7608867775138499E-3</v>
      </c>
      <c r="V29" s="4">
        <f t="shared" ca="1" si="2"/>
        <v>3.1831927423205508E-2</v>
      </c>
      <c r="W29" s="4">
        <f t="shared" ca="1" si="3"/>
        <v>2.2768259693417336E-2</v>
      </c>
      <c r="X29" s="4">
        <f t="shared" ca="1" si="4"/>
        <v>-1.7520969245107154E-2</v>
      </c>
      <c r="Y29" s="4">
        <f t="shared" ca="1" si="5"/>
        <v>6.5233506300963473E-3</v>
      </c>
      <c r="Z29" s="4">
        <f t="shared" ca="1" si="6"/>
        <v>3.3431885376393078E-2</v>
      </c>
      <c r="AA29" s="4">
        <f t="shared" ca="1" si="7"/>
        <v>5.7883478042026759E-3</v>
      </c>
      <c r="AB29" s="4">
        <f t="shared" ca="1" si="12"/>
        <v>6.4007877892664489E-3</v>
      </c>
      <c r="AC29" s="4">
        <f t="shared" ca="1" si="13"/>
        <v>2.4937655860348684E-3</v>
      </c>
      <c r="AD29" s="4"/>
      <c r="AE29" s="2" cm="1">
        <f t="array" aca="1" ref="AE29" ca="1">SUMPRODUCT(Q29:AB29,TRANSPOSE(Insights.!$H$4:$H$15))</f>
        <v>5.9522319779306771E-3</v>
      </c>
      <c r="AG29" s="10" vm="434">
        <f ca="1"/>
        <v>45695</v>
      </c>
      <c r="AH29" s="1" vm="447">
        <f ca="1"/>
        <v>110.83499999999999</v>
      </c>
      <c r="AI29" s="2">
        <f t="shared" ca="1" si="8"/>
        <v>6.0901339829477763E-3</v>
      </c>
      <c r="AJ29" s="1" vm="448">
        <f ca="1"/>
        <v>107.92</v>
      </c>
      <c r="AK29" s="2">
        <f t="shared" ca="1" si="14"/>
        <v>5.5133432171978747E-3</v>
      </c>
      <c r="AL29" s="1" vm="449">
        <f ca="1"/>
        <v>53.61</v>
      </c>
      <c r="AM29" s="2">
        <f t="shared" ca="1" si="15"/>
        <v>6.9016974445066381E-3</v>
      </c>
      <c r="AO29" s="9">
        <f t="shared" ca="1" si="16"/>
        <v>106.3354569838924</v>
      </c>
      <c r="AP29">
        <f t="shared" ca="1" si="17"/>
        <v>102.77726261127597</v>
      </c>
      <c r="AQ29">
        <f t="shared" ca="1" si="18"/>
        <v>102.48812915479584</v>
      </c>
      <c r="AR29">
        <f t="shared" ca="1" si="19"/>
        <v>109.30777857070034</v>
      </c>
      <c r="AT29" s="21">
        <f ca="1">MAX($AO$3:AO30)</f>
        <v>106.96839029133979</v>
      </c>
      <c r="AU29" s="2">
        <f t="shared" ca="1" si="20"/>
        <v>-5.9170125466366796E-3</v>
      </c>
    </row>
    <row r="30" spans="1:47" x14ac:dyDescent="0.25">
      <c r="A30" vm="450">
        <f ca="1"/>
        <v>45698</v>
      </c>
      <c r="B30" vm="451">
        <f ca="1"/>
        <v>129.66</v>
      </c>
      <c r="C30" vm="452">
        <f ca="1"/>
        <v>201</v>
      </c>
      <c r="D30" vm="453">
        <f ca="1"/>
        <v>339.45</v>
      </c>
      <c r="E30" vm="454">
        <f ca="1"/>
        <v>319.5</v>
      </c>
      <c r="F30" vm="455">
        <f ca="1"/>
        <v>226.85</v>
      </c>
      <c r="G30" vm="456">
        <f ca="1"/>
        <v>164.15</v>
      </c>
      <c r="H30" vm="457">
        <f ca="1"/>
        <v>399.65</v>
      </c>
      <c r="I30" vm="423">
        <f ca="1"/>
        <v>162.5</v>
      </c>
      <c r="J30" vm="458">
        <f ca="1"/>
        <v>503.3</v>
      </c>
      <c r="K30" vm="459">
        <f ca="1"/>
        <v>40.6</v>
      </c>
      <c r="L30" vm="460">
        <f ca="1"/>
        <v>227.2</v>
      </c>
      <c r="M30" vm="461">
        <f ca="1"/>
        <v>263.55</v>
      </c>
      <c r="N30" vm="462">
        <f ca="1"/>
        <v>26.48</v>
      </c>
      <c r="O30" vm="463">
        <f ca="1"/>
        <v>613.20000000000005</v>
      </c>
      <c r="Q30" s="4">
        <f t="shared" ca="1" si="9"/>
        <v>5.6646525679757698E-3</v>
      </c>
      <c r="R30" s="4">
        <f t="shared" ca="1" si="0"/>
        <v>-2.3161189358372414E-2</v>
      </c>
      <c r="S30" s="4">
        <f t="shared" ca="1" si="1"/>
        <v>-1.8580566554980305E-2</v>
      </c>
      <c r="T30" s="4">
        <f t="shared" ca="1" si="10"/>
        <v>-1.2307692307691465E-3</v>
      </c>
      <c r="U30" s="4">
        <f t="shared" ca="1" si="11"/>
        <v>3.8346910391416689E-2</v>
      </c>
      <c r="V30" s="4">
        <f t="shared" ca="1" si="2"/>
        <v>-1.1568718186025007E-2</v>
      </c>
      <c r="W30" s="4">
        <f t="shared" ca="1" si="3"/>
        <v>-1.2342957901697038E-2</v>
      </c>
      <c r="X30" s="4">
        <f t="shared" ca="1" si="4"/>
        <v>5.1223676721683375E-3</v>
      </c>
      <c r="Y30" s="4">
        <f t="shared" ca="1" si="5"/>
        <v>-4.4189129474149214E-3</v>
      </c>
      <c r="Z30" s="4">
        <f t="shared" ca="1" si="6"/>
        <v>-7.2623239436618858E-3</v>
      </c>
      <c r="AA30" s="4">
        <f t="shared" ca="1" si="7"/>
        <v>-5.6299261854122484E-3</v>
      </c>
      <c r="AB30" s="4">
        <f t="shared" ca="1" si="12"/>
        <v>-1.5655577299412915E-2</v>
      </c>
      <c r="AC30" s="4">
        <f t="shared" ca="1" si="13"/>
        <v>7.4626865671640896E-3</v>
      </c>
      <c r="AD30" s="4"/>
      <c r="AE30" s="2" cm="1">
        <f t="array" aca="1" ref="AE30" ca="1">SUMPRODUCT(Q30:AB30,TRANSPOSE(Insights.!$H$4:$H$15))</f>
        <v>-3.1209344639474678E-3</v>
      </c>
      <c r="AG30" s="10" vm="450">
        <f ca="1"/>
        <v>45698</v>
      </c>
      <c r="AH30" s="1" vm="464">
        <f ca="1"/>
        <v>111.51</v>
      </c>
      <c r="AI30" s="2">
        <f t="shared" ca="1" si="8"/>
        <v>-3.0042148686216796E-3</v>
      </c>
      <c r="AJ30" s="1" vm="465">
        <f ca="1"/>
        <v>108.515</v>
      </c>
      <c r="AK30" s="2">
        <f t="shared" ca="1" si="14"/>
        <v>-2.2116758051882179E-3</v>
      </c>
      <c r="AL30" s="1" vm="466">
        <f ca="1"/>
        <v>53.98</v>
      </c>
      <c r="AM30" s="2">
        <f t="shared" ca="1" si="15"/>
        <v>7.9659133012226491E-3</v>
      </c>
      <c r="AO30" s="9">
        <f t="shared" ca="1" si="16"/>
        <v>106.96839029133979</v>
      </c>
      <c r="AP30">
        <f t="shared" ca="1" si="17"/>
        <v>103.40318991097925</v>
      </c>
      <c r="AQ30">
        <f t="shared" ca="1" si="18"/>
        <v>103.05318138651474</v>
      </c>
      <c r="AR30">
        <f t="shared" ca="1" si="19"/>
        <v>110.06218778672644</v>
      </c>
      <c r="AT30" s="21">
        <f ca="1">MAX($AO$3:AO31)</f>
        <v>106.96839029133979</v>
      </c>
      <c r="AU30" s="2">
        <f t="shared" ca="1" si="20"/>
        <v>0</v>
      </c>
    </row>
    <row r="31" spans="1:47" x14ac:dyDescent="0.25">
      <c r="A31" vm="467">
        <f ca="1"/>
        <v>45699</v>
      </c>
      <c r="B31" vm="468">
        <f ca="1"/>
        <v>128.16</v>
      </c>
      <c r="C31" vm="104">
        <f ca="1"/>
        <v>202.5</v>
      </c>
      <c r="D31" vm="469">
        <f ca="1"/>
        <v>337.95</v>
      </c>
      <c r="E31" vm="470">
        <f ca="1"/>
        <v>312.10000000000002</v>
      </c>
      <c r="F31" vm="471">
        <f ca="1"/>
        <v>224.05</v>
      </c>
      <c r="G31" vm="472">
        <f ca="1"/>
        <v>161.1</v>
      </c>
      <c r="H31" vm="473">
        <f ca="1"/>
        <v>397.4</v>
      </c>
      <c r="I31" vm="474">
        <f ca="1"/>
        <v>162.30000000000001</v>
      </c>
      <c r="J31" vm="475">
        <f ca="1"/>
        <v>522.6</v>
      </c>
      <c r="K31" vm="476">
        <f ca="1"/>
        <v>40.799999999999997</v>
      </c>
      <c r="L31" vm="477">
        <f ca="1"/>
        <v>225.55</v>
      </c>
      <c r="M31" vm="478">
        <f ca="1"/>
        <v>264.89999999999998</v>
      </c>
      <c r="N31" vm="479">
        <f ca="1"/>
        <v>26.63</v>
      </c>
      <c r="O31" vm="480">
        <f ca="1"/>
        <v>603.6</v>
      </c>
      <c r="Q31" s="4">
        <f t="shared" ca="1" si="9"/>
        <v>-4.5061960195267314E-3</v>
      </c>
      <c r="R31" s="4">
        <f t="shared" ca="1" si="0"/>
        <v>2.7234860621594414E-3</v>
      </c>
      <c r="S31" s="4">
        <f t="shared" ca="1" si="1"/>
        <v>6.2073246430789375E-3</v>
      </c>
      <c r="T31" s="4">
        <f t="shared" ca="1" si="10"/>
        <v>4.4362292051756125E-3</v>
      </c>
      <c r="U31" s="4">
        <f t="shared" ca="1" si="11"/>
        <v>-1.64561806352852E-2</v>
      </c>
      <c r="V31" s="4">
        <f t="shared" ca="1" si="2"/>
        <v>-1.4513108614232162E-2</v>
      </c>
      <c r="W31" s="4">
        <f t="shared" ca="1" si="3"/>
        <v>-1.4728855166257548E-2</v>
      </c>
      <c r="X31" s="4">
        <f t="shared" ca="1" si="4"/>
        <v>3.7750094375255117E-4</v>
      </c>
      <c r="Y31" s="4">
        <f t="shared" ca="1" si="5"/>
        <v>-4.4385264092321464E-3</v>
      </c>
      <c r="Z31" s="4">
        <f t="shared" ca="1" si="6"/>
        <v>-8.8672134781653256E-4</v>
      </c>
      <c r="AA31" s="4">
        <f t="shared" ca="1" si="7"/>
        <v>-1.0820332159033552E-2</v>
      </c>
      <c r="AB31" s="4">
        <f t="shared" ca="1" si="12"/>
        <v>2.7667329357190074E-2</v>
      </c>
      <c r="AC31" s="4">
        <f t="shared" ca="1" si="13"/>
        <v>-2.2222222222222254E-2</v>
      </c>
      <c r="AD31" s="4"/>
      <c r="AE31" s="2" cm="1">
        <f t="array" aca="1" ref="AE31" ca="1">SUMPRODUCT(Q31:AB31,TRANSPOSE(Insights.!$H$4:$H$15))</f>
        <v>-1.5932043512391666E-3</v>
      </c>
      <c r="AG31" s="10" vm="467">
        <f ca="1"/>
        <v>45699</v>
      </c>
      <c r="AH31" s="1" vm="481">
        <f ca="1"/>
        <v>111.175</v>
      </c>
      <c r="AI31" s="2">
        <f t="shared" ca="1" si="8"/>
        <v>-6.9709916797840998E-3</v>
      </c>
      <c r="AJ31" s="1" vm="482">
        <f ca="1"/>
        <v>108.27500000000001</v>
      </c>
      <c r="AK31" s="2">
        <f t="shared" ca="1" si="14"/>
        <v>-6.6035557607942996E-3</v>
      </c>
      <c r="AL31" s="1" vm="483">
        <f ca="1"/>
        <v>54.41</v>
      </c>
      <c r="AM31" s="2">
        <f t="shared" ca="1" si="15"/>
        <v>5.5136923359677681E-3</v>
      </c>
      <c r="AO31" s="9">
        <f t="shared" ca="1" si="16"/>
        <v>106.63454895552657</v>
      </c>
      <c r="AP31">
        <f t="shared" ca="1" si="17"/>
        <v>103.09254451038578</v>
      </c>
      <c r="AQ31">
        <f t="shared" ca="1" si="18"/>
        <v>102.82526115859451</v>
      </c>
      <c r="AR31">
        <f t="shared" ca="1" si="19"/>
        <v>110.93893363237839</v>
      </c>
      <c r="AT31" s="21">
        <f ca="1">MAX($AO$3:AO32)</f>
        <v>106.96839029133979</v>
      </c>
      <c r="AU31" s="2">
        <f t="shared" ca="1" si="20"/>
        <v>-3.1209344639473446E-3</v>
      </c>
    </row>
    <row r="32" spans="1:47" x14ac:dyDescent="0.25">
      <c r="A32" vm="484">
        <f ca="1"/>
        <v>45700</v>
      </c>
      <c r="B32" vm="485">
        <f ca="1"/>
        <v>126.3</v>
      </c>
      <c r="C32" vm="486">
        <f ca="1"/>
        <v>198</v>
      </c>
      <c r="D32" vm="367">
        <f ca="1"/>
        <v>336.45</v>
      </c>
      <c r="E32" vm="487">
        <f ca="1"/>
        <v>312.95</v>
      </c>
      <c r="F32" vm="488">
        <f ca="1"/>
        <v>220.75</v>
      </c>
      <c r="G32" vm="489">
        <f ca="1"/>
        <v>162.1</v>
      </c>
      <c r="H32" vm="490">
        <f ca="1"/>
        <v>393.1</v>
      </c>
      <c r="I32" vm="491">
        <f ca="1"/>
        <v>163.02000000000001</v>
      </c>
      <c r="J32" vm="492">
        <f ca="1"/>
        <v>514</v>
      </c>
      <c r="K32" vm="493">
        <f ca="1"/>
        <v>38</v>
      </c>
      <c r="L32" vm="494">
        <f ca="1"/>
        <v>225.35</v>
      </c>
      <c r="M32" vm="495">
        <f ca="1"/>
        <v>265</v>
      </c>
      <c r="N32" vm="496">
        <f ca="1"/>
        <v>26.51</v>
      </c>
      <c r="O32" vm="497">
        <f ca="1"/>
        <v>620.29999999999995</v>
      </c>
      <c r="Q32" s="4">
        <f t="shared" ca="1" si="9"/>
        <v>1.6597510373443924E-2</v>
      </c>
      <c r="R32" s="4">
        <f t="shared" ca="1" si="0"/>
        <v>-5.5919475954625542E-3</v>
      </c>
      <c r="S32" s="4">
        <f t="shared" ca="1" si="1"/>
        <v>-2.7452190006168942E-2</v>
      </c>
      <c r="T32" s="4">
        <f t="shared" ca="1" si="10"/>
        <v>3.8032143295299026E-3</v>
      </c>
      <c r="U32" s="4">
        <f t="shared" ca="1" si="11"/>
        <v>1.5564202334630295E-3</v>
      </c>
      <c r="V32" s="4">
        <f t="shared" ca="1" si="2"/>
        <v>2.0269200316706426E-2</v>
      </c>
      <c r="W32" s="4">
        <f t="shared" ca="1" si="3"/>
        <v>-5.8890147225368894E-3</v>
      </c>
      <c r="X32" s="4">
        <f t="shared" ca="1" si="4"/>
        <v>-6.9811320754717965E-3</v>
      </c>
      <c r="Y32" s="4">
        <f t="shared" ca="1" si="5"/>
        <v>8.4707980383416093E-3</v>
      </c>
      <c r="Z32" s="4">
        <f t="shared" ca="1" si="6"/>
        <v>-1.3978256046150439E-2</v>
      </c>
      <c r="AA32" s="4">
        <f t="shared" ca="1" si="7"/>
        <v>6.3597049096930647E-4</v>
      </c>
      <c r="AB32" s="4">
        <f t="shared" ca="1" si="12"/>
        <v>3.2242463324205772E-4</v>
      </c>
      <c r="AC32" s="4">
        <f t="shared" ca="1" si="13"/>
        <v>-2.5252525252525304E-2</v>
      </c>
      <c r="AD32" s="4"/>
      <c r="AE32" s="2" cm="1">
        <f t="array" aca="1" ref="AE32" ca="1">SUMPRODUCT(Q32:AB32,TRANSPOSE(Insights.!$H$4:$H$15))</f>
        <v>-1.5876321382781518E-3</v>
      </c>
      <c r="AG32" s="10" vm="484">
        <f ca="1"/>
        <v>45700</v>
      </c>
      <c r="AH32" s="1" vm="498">
        <f ca="1"/>
        <v>110.4</v>
      </c>
      <c r="AI32" s="2">
        <f t="shared" ca="1" si="8"/>
        <v>4.3478260869564966E-3</v>
      </c>
      <c r="AJ32" s="1" vm="499">
        <f ca="1"/>
        <v>107.56</v>
      </c>
      <c r="AK32" s="2">
        <f t="shared" ca="1" si="14"/>
        <v>5.2528821123094538E-3</v>
      </c>
      <c r="AL32" s="1" vm="500">
        <f ca="1"/>
        <v>54.71</v>
      </c>
      <c r="AM32" s="2">
        <f t="shared" ca="1" si="15"/>
        <v>7.1284957046244823E-3</v>
      </c>
      <c r="AO32" s="9">
        <f t="shared" ca="1" si="16"/>
        <v>106.4646583281382</v>
      </c>
      <c r="AP32">
        <f t="shared" ca="1" si="17"/>
        <v>102.37388724035611</v>
      </c>
      <c r="AQ32">
        <f t="shared" ca="1" si="18"/>
        <v>102.1462488129155</v>
      </c>
      <c r="AR32">
        <f t="shared" ca="1" si="19"/>
        <v>111.55061678050768</v>
      </c>
      <c r="AT32" s="21">
        <f ca="1">MAX($AO$3:AO33)</f>
        <v>106.96839029133979</v>
      </c>
      <c r="AU32" s="2">
        <f t="shared" ca="1" si="20"/>
        <v>-4.7091665288186979E-3</v>
      </c>
    </row>
    <row r="33" spans="1:47" x14ac:dyDescent="0.25">
      <c r="A33" vm="501">
        <f ca="1"/>
        <v>45701</v>
      </c>
      <c r="B33" vm="502">
        <f ca="1"/>
        <v>128.86000000000001</v>
      </c>
      <c r="C33" vm="503">
        <f ca="1"/>
        <v>193</v>
      </c>
      <c r="D33" vm="504">
        <f ca="1"/>
        <v>339.3</v>
      </c>
      <c r="E33" vm="505">
        <f ca="1"/>
        <v>311.2</v>
      </c>
      <c r="F33" vm="506">
        <f ca="1"/>
        <v>219.45</v>
      </c>
      <c r="G33" vm="507">
        <f ca="1"/>
        <v>157.65</v>
      </c>
      <c r="H33" vm="508">
        <f ca="1"/>
        <v>393.35</v>
      </c>
      <c r="I33" vm="509">
        <f ca="1"/>
        <v>163.63999999999999</v>
      </c>
      <c r="J33" vm="510">
        <f ca="1"/>
        <v>514.79999999999995</v>
      </c>
      <c r="K33" vm="511">
        <f ca="1"/>
        <v>40</v>
      </c>
      <c r="L33" vm="512">
        <f ca="1"/>
        <v>222.2</v>
      </c>
      <c r="M33" vm="513">
        <f ca="1"/>
        <v>263.14999999999998</v>
      </c>
      <c r="N33" vm="514">
        <f ca="1"/>
        <v>26.95</v>
      </c>
      <c r="O33" vm="515">
        <f ca="1"/>
        <v>620.5</v>
      </c>
      <c r="Q33" s="4">
        <f t="shared" ca="1" si="9"/>
        <v>-2.2263450834878462E-3</v>
      </c>
      <c r="R33" s="4">
        <f t="shared" ca="1" si="0"/>
        <v>-2.2493573264781297E-3</v>
      </c>
      <c r="S33" s="4">
        <f t="shared" ca="1" si="1"/>
        <v>1.3003488740881641E-2</v>
      </c>
      <c r="T33" s="4">
        <f t="shared" ca="1" si="10"/>
        <v>-5.3532143730139259E-2</v>
      </c>
      <c r="U33" s="4">
        <f t="shared" ca="1" si="11"/>
        <v>5.050505050505194E-3</v>
      </c>
      <c r="V33" s="4">
        <f t="shared" ca="1" si="2"/>
        <v>2.6695638677634692E-2</v>
      </c>
      <c r="W33" s="4">
        <f t="shared" ca="1" si="3"/>
        <v>-7.2909546593756813E-3</v>
      </c>
      <c r="X33" s="4">
        <f t="shared" ca="1" si="4"/>
        <v>4.3701311039332502E-3</v>
      </c>
      <c r="Y33" s="4">
        <f t="shared" ca="1" si="5"/>
        <v>-7.9575596816975347E-3</v>
      </c>
      <c r="Z33" s="4">
        <f t="shared" ca="1" si="6"/>
        <v>3.1503150315033146E-3</v>
      </c>
      <c r="AA33" s="4">
        <f t="shared" ca="1" si="7"/>
        <v>-9.4063810855473662E-3</v>
      </c>
      <c r="AB33" s="4">
        <f t="shared" ca="1" si="12"/>
        <v>-3.2070910556003196E-2</v>
      </c>
      <c r="AC33" s="4">
        <f t="shared" ca="1" si="13"/>
        <v>1.0362694300518172E-2</v>
      </c>
      <c r="AD33" s="4"/>
      <c r="AE33" s="2" cm="1">
        <f t="array" aca="1" ref="AE33" ca="1">SUMPRODUCT(Q33:AB33,TRANSPOSE(Insights.!$H$4:$H$15))</f>
        <v>-3.568575729319204E-3</v>
      </c>
      <c r="AG33" s="10" vm="501">
        <f ca="1"/>
        <v>45701</v>
      </c>
      <c r="AH33" s="1" vm="516">
        <f ca="1"/>
        <v>110.88</v>
      </c>
      <c r="AI33" s="2">
        <f t="shared" ca="1" si="8"/>
        <v>-3.9231601731601895E-3</v>
      </c>
      <c r="AJ33" s="1" vm="432">
        <f ca="1"/>
        <v>108.125</v>
      </c>
      <c r="AK33" s="2">
        <f t="shared" ca="1" si="14"/>
        <v>-2.3121387283236983E-3</v>
      </c>
      <c r="AL33" s="1" vm="517">
        <f ca="1"/>
        <v>55.1</v>
      </c>
      <c r="AM33" s="2">
        <f t="shared" ca="1" si="15"/>
        <v>3.9927404718693715E-3</v>
      </c>
      <c r="AO33" s="9">
        <f t="shared" ca="1" si="16"/>
        <v>106.29563161498564</v>
      </c>
      <c r="AP33">
        <f t="shared" ca="1" si="17"/>
        <v>102.81899109792288</v>
      </c>
      <c r="AQ33">
        <f t="shared" ca="1" si="18"/>
        <v>102.68281101614437</v>
      </c>
      <c r="AR33">
        <f t="shared" ca="1" si="19"/>
        <v>112.34580487307574</v>
      </c>
      <c r="AT33" s="21">
        <f ca="1">MAX($AO$3:AO34)</f>
        <v>106.96839029133979</v>
      </c>
      <c r="AU33" s="2">
        <f t="shared" ca="1" si="20"/>
        <v>-6.2893222429711848E-3</v>
      </c>
    </row>
    <row r="34" spans="1:47" x14ac:dyDescent="0.25">
      <c r="A34" vm="518">
        <f ca="1"/>
        <v>45702</v>
      </c>
      <c r="B34" vm="519">
        <f ca="1"/>
        <v>132.30000000000001</v>
      </c>
      <c r="C34" vm="520">
        <f ca="1"/>
        <v>195</v>
      </c>
      <c r="D34" vm="521">
        <f ca="1"/>
        <v>336.6</v>
      </c>
      <c r="E34" vm="522">
        <f ca="1"/>
        <v>310.5</v>
      </c>
      <c r="F34" vm="523">
        <f ca="1"/>
        <v>217.85</v>
      </c>
      <c r="G34" vm="524">
        <f ca="1"/>
        <v>159.69999999999999</v>
      </c>
      <c r="H34" vm="525">
        <f ca="1"/>
        <v>389.65</v>
      </c>
      <c r="I34" vm="526">
        <f ca="1"/>
        <v>154.88</v>
      </c>
      <c r="J34" vm="527">
        <f ca="1"/>
        <v>517.4</v>
      </c>
      <c r="K34" vm="528">
        <f ca="1"/>
        <v>42.6</v>
      </c>
      <c r="L34" vm="529">
        <f ca="1"/>
        <v>222.9</v>
      </c>
      <c r="M34" vm="530">
        <f ca="1"/>
        <v>264.3</v>
      </c>
      <c r="N34" vm="531">
        <f ca="1"/>
        <v>26.89</v>
      </c>
      <c r="O34" vm="532">
        <f ca="1"/>
        <v>600.6</v>
      </c>
      <c r="Q34" s="4">
        <f t="shared" ca="1" si="9"/>
        <v>-2.2313127556712553E-2</v>
      </c>
      <c r="R34" s="4">
        <f t="shared" ca="1" si="0"/>
        <v>1.3687600644122444E-2</v>
      </c>
      <c r="S34" s="4">
        <f t="shared" ca="1" si="1"/>
        <v>-1.6906700062617297E-2</v>
      </c>
      <c r="T34" s="4">
        <f t="shared" ca="1" si="10"/>
        <v>1.4850206611570327E-2</v>
      </c>
      <c r="U34" s="4">
        <f t="shared" ca="1" si="11"/>
        <v>7.1511403169695065E-3</v>
      </c>
      <c r="V34" s="4">
        <f t="shared" ca="1" si="2"/>
        <v>7.4074074074073071E-3</v>
      </c>
      <c r="W34" s="4">
        <f t="shared" ca="1" si="3"/>
        <v>6.1969244893274045E-3</v>
      </c>
      <c r="X34" s="4">
        <f t="shared" ca="1" si="4"/>
        <v>8.702232311766922E-3</v>
      </c>
      <c r="Y34" s="4">
        <f t="shared" ca="1" si="5"/>
        <v>1.5597147950089152E-2</v>
      </c>
      <c r="Z34" s="4">
        <f t="shared" ca="1" si="6"/>
        <v>-4.4863167339613819E-3</v>
      </c>
      <c r="AA34" s="4">
        <f t="shared" ca="1" si="7"/>
        <v>2.3097651738741565E-3</v>
      </c>
      <c r="AB34" s="4">
        <f t="shared" ca="1" si="12"/>
        <v>1.9647019647019537E-2</v>
      </c>
      <c r="AC34" s="4">
        <f t="shared" ca="1" si="13"/>
        <v>6.1538461538461764E-3</v>
      </c>
      <c r="AD34" s="4"/>
      <c r="AE34" s="2" cm="1">
        <f t="array" aca="1" ref="AE34" ca="1">SUMPRODUCT(Q34:AB34,TRANSPOSE(Insights.!$H$4:$H$15))</f>
        <v>4.3766383890623747E-3</v>
      </c>
      <c r="AG34" s="10" vm="518">
        <f ca="1"/>
        <v>45702</v>
      </c>
      <c r="AH34" s="1" vm="533">
        <f ca="1"/>
        <v>110.44499999999999</v>
      </c>
      <c r="AI34" s="2">
        <f t="shared" ca="1" si="8"/>
        <v>4.2555117932003839E-3</v>
      </c>
      <c r="AJ34" s="1" vm="534">
        <f ca="1"/>
        <v>107.875</v>
      </c>
      <c r="AK34" s="2">
        <f t="shared" ca="1" si="14"/>
        <v>4.9594438006952402E-3</v>
      </c>
      <c r="AL34" s="1" vm="535">
        <f ca="1"/>
        <v>55.32</v>
      </c>
      <c r="AM34" s="2">
        <f t="shared" ca="1" si="15"/>
        <v>5.4229934924077128E-3</v>
      </c>
      <c r="AO34" s="9">
        <f t="shared" ca="1" si="16"/>
        <v>105.91630760387174</v>
      </c>
      <c r="AP34">
        <f t="shared" ca="1" si="17"/>
        <v>102.41561572700299</v>
      </c>
      <c r="AQ34">
        <f t="shared" ca="1" si="18"/>
        <v>102.4453941120608</v>
      </c>
      <c r="AR34">
        <f t="shared" ca="1" si="19"/>
        <v>112.79437251503721</v>
      </c>
      <c r="AT34" s="21">
        <f ca="1">MAX($AO$3:AO35)</f>
        <v>106.96839029133979</v>
      </c>
      <c r="AU34" s="2">
        <f t="shared" ca="1" si="20"/>
        <v>-9.8354540495803056E-3</v>
      </c>
    </row>
    <row r="35" spans="1:47" x14ac:dyDescent="0.25">
      <c r="A35" vm="536">
        <f ca="1"/>
        <v>45705</v>
      </c>
      <c r="B35" vm="537">
        <f ca="1"/>
        <v>133.28</v>
      </c>
      <c r="C35" vm="538">
        <f ca="1"/>
        <v>196.2</v>
      </c>
      <c r="D35" vm="539">
        <f ca="1"/>
        <v>341.85</v>
      </c>
      <c r="E35" vm="540">
        <f ca="1"/>
        <v>314.75</v>
      </c>
      <c r="F35" vm="205">
        <f ca="1"/>
        <v>219.2</v>
      </c>
      <c r="G35" vm="541">
        <f ca="1"/>
        <v>157</v>
      </c>
      <c r="H35" vm="542">
        <f ca="1"/>
        <v>390.55</v>
      </c>
      <c r="I35" vm="543">
        <f ca="1"/>
        <v>157.18</v>
      </c>
      <c r="J35" vm="544">
        <f ca="1"/>
        <v>521.1</v>
      </c>
      <c r="K35" vm="545">
        <f ca="1"/>
        <v>49.8</v>
      </c>
      <c r="L35" vm="546">
        <f ca="1"/>
        <v>221.9</v>
      </c>
      <c r="M35" vm="547">
        <f ca="1"/>
        <v>266.60000000000002</v>
      </c>
      <c r="N35" vm="548">
        <f ca="1"/>
        <v>26.29</v>
      </c>
      <c r="O35" vm="549">
        <f ca="1"/>
        <v>612.4</v>
      </c>
      <c r="Q35" s="4">
        <f t="shared" ca="1" si="9"/>
        <v>-2.3963484214530206E-2</v>
      </c>
      <c r="R35" s="4">
        <f t="shared" ca="1" si="0"/>
        <v>-4.1302621127879968E-3</v>
      </c>
      <c r="S35" s="4">
        <f t="shared" ca="1" si="1"/>
        <v>3.3757961783439594E-2</v>
      </c>
      <c r="T35" s="4">
        <f t="shared" ca="1" si="10"/>
        <v>6.362132586843039E-3</v>
      </c>
      <c r="U35" s="4">
        <f t="shared" ca="1" si="11"/>
        <v>-5.5651506428707753E-3</v>
      </c>
      <c r="V35" s="4">
        <f t="shared" ca="1" si="2"/>
        <v>-2.7010804321729864E-3</v>
      </c>
      <c r="W35" s="4">
        <f t="shared" ca="1" si="3"/>
        <v>-1.7563868613138633E-2</v>
      </c>
      <c r="X35" s="4">
        <f t="shared" ca="1" si="4"/>
        <v>2.2505626406601476E-3</v>
      </c>
      <c r="Y35" s="4">
        <f t="shared" ca="1" si="5"/>
        <v>-4.0953634635074732E-3</v>
      </c>
      <c r="Z35" s="4">
        <f t="shared" ca="1" si="6"/>
        <v>-2.0279405137449302E-2</v>
      </c>
      <c r="AA35" s="4">
        <f t="shared" ca="1" si="7"/>
        <v>2.1764178722314398E-3</v>
      </c>
      <c r="AB35" s="4">
        <f t="shared" ca="1" si="12"/>
        <v>-1.2736773350751074E-2</v>
      </c>
      <c r="AC35" s="4">
        <f t="shared" ca="1" si="13"/>
        <v>-1.1213047910295537E-2</v>
      </c>
      <c r="AD35" s="4"/>
      <c r="AE35" s="2" cm="1">
        <f t="array" aca="1" ref="AE35" ca="1">SUMPRODUCT(Q35:AB35,TRANSPOSE(Insights.!$H$4:$H$15))</f>
        <v>-3.8189147772979843E-3</v>
      </c>
      <c r="AG35" s="10" vm="536">
        <f ca="1"/>
        <v>45705</v>
      </c>
      <c r="AH35" s="1" vm="550">
        <f ca="1"/>
        <v>110.91500000000001</v>
      </c>
      <c r="AI35" s="2">
        <f t="shared" ca="1" si="8"/>
        <v>1.8482621827524692E-3</v>
      </c>
      <c r="AJ35" s="1" vm="551">
        <f ca="1"/>
        <v>108.41</v>
      </c>
      <c r="AK35" s="2">
        <f t="shared" ca="1" si="14"/>
        <v>3.6896965224619827E-4</v>
      </c>
      <c r="AL35" s="1" vm="552">
        <f ca="1"/>
        <v>55.62</v>
      </c>
      <c r="AM35" s="2">
        <f t="shared" ca="1" si="15"/>
        <v>3.2362459546926292E-3</v>
      </c>
      <c r="AO35" s="9">
        <f t="shared" ca="1" si="16"/>
        <v>106.3798649817586</v>
      </c>
      <c r="AP35">
        <f t="shared" ca="1" si="17"/>
        <v>102.85144658753713</v>
      </c>
      <c r="AQ35">
        <f t="shared" ca="1" si="18"/>
        <v>102.95346628679964</v>
      </c>
      <c r="AR35">
        <f t="shared" ca="1" si="19"/>
        <v>113.40605566316647</v>
      </c>
      <c r="AT35" s="21">
        <f ca="1">MAX($AO$3:AO36)</f>
        <v>106.96839029133979</v>
      </c>
      <c r="AU35" s="2">
        <f t="shared" ca="1" si="20"/>
        <v>-5.5018618862850976E-3</v>
      </c>
    </row>
    <row r="36" spans="1:47" x14ac:dyDescent="0.25">
      <c r="A36" vm="553">
        <f ca="1"/>
        <v>45706</v>
      </c>
      <c r="B36" vm="554">
        <f ca="1"/>
        <v>132.91999999999999</v>
      </c>
      <c r="C36" vm="318">
        <f ca="1"/>
        <v>194</v>
      </c>
      <c r="D36" vm="555">
        <f ca="1"/>
        <v>340.45</v>
      </c>
      <c r="E36" vm="140">
        <f ca="1"/>
        <v>313.45</v>
      </c>
      <c r="F36" vm="556">
        <f ca="1"/>
        <v>215.35</v>
      </c>
      <c r="G36" vm="474">
        <f ca="1"/>
        <v>162.30000000000001</v>
      </c>
      <c r="H36" vm="557">
        <f ca="1"/>
        <v>391.4</v>
      </c>
      <c r="I36" vm="558">
        <f ca="1"/>
        <v>158.18</v>
      </c>
      <c r="J36" vm="559">
        <f ca="1"/>
        <v>518.20000000000005</v>
      </c>
      <c r="K36" vm="560">
        <f ca="1"/>
        <v>45.2</v>
      </c>
      <c r="L36" vm="561">
        <f ca="1"/>
        <v>217.4</v>
      </c>
      <c r="M36" vm="562">
        <f ca="1"/>
        <v>267.2</v>
      </c>
      <c r="N36" vm="563">
        <f ca="1"/>
        <v>25.66</v>
      </c>
      <c r="O36" vm="564">
        <f ca="1"/>
        <v>604.6</v>
      </c>
      <c r="Q36" s="4">
        <f t="shared" ca="1" si="9"/>
        <v>-2.0265003897116163E-2</v>
      </c>
      <c r="R36" s="4">
        <f t="shared" ca="1" si="0"/>
        <v>-1.0368479821343146E-2</v>
      </c>
      <c r="S36" s="4">
        <f t="shared" ca="1" si="1"/>
        <v>-3.0807147258163914E-3</v>
      </c>
      <c r="T36" s="4">
        <f t="shared" ca="1" si="10"/>
        <v>8.218485269945619E-3</v>
      </c>
      <c r="U36" s="4">
        <f t="shared" ca="1" si="11"/>
        <v>5.0173678116556264E-3</v>
      </c>
      <c r="V36" s="4">
        <f t="shared" ca="1" si="2"/>
        <v>8.2756545290401107E-3</v>
      </c>
      <c r="W36" s="4">
        <f t="shared" ca="1" si="3"/>
        <v>8.822846528906414E-3</v>
      </c>
      <c r="X36" s="4">
        <f t="shared" ca="1" si="4"/>
        <v>4.8652694610777925E-3</v>
      </c>
      <c r="Y36" s="4">
        <f t="shared" ca="1" si="5"/>
        <v>3.231017770597866E-3</v>
      </c>
      <c r="Z36" s="4">
        <f t="shared" ca="1" si="6"/>
        <v>7.1297148114075615E-3</v>
      </c>
      <c r="AA36" s="4">
        <f t="shared" ca="1" si="7"/>
        <v>1.673479816044976E-2</v>
      </c>
      <c r="AB36" s="4">
        <f t="shared" ca="1" si="12"/>
        <v>1.3893483294740383E-2</v>
      </c>
      <c r="AC36" s="4">
        <f t="shared" ca="1" si="13"/>
        <v>-5.1546391752577136E-3</v>
      </c>
      <c r="AD36" s="4"/>
      <c r="AE36" s="2" cm="1">
        <f t="array" aca="1" ref="AE36" ca="1">SUMPRODUCT(Q36:AB36,TRANSPOSE(Insights.!$H$4:$H$15))</f>
        <v>2.690193330516981E-3</v>
      </c>
      <c r="AG36" s="10" vm="553">
        <f ca="1"/>
        <v>45706</v>
      </c>
      <c r="AH36" s="1" vm="565">
        <f ca="1"/>
        <v>111.12</v>
      </c>
      <c r="AI36" s="2">
        <f t="shared" ca="1" si="8"/>
        <v>6.7494600431965424E-3</v>
      </c>
      <c r="AJ36" s="1" vm="566">
        <f ca="1"/>
        <v>108.45</v>
      </c>
      <c r="AK36" s="2">
        <f t="shared" ca="1" si="14"/>
        <v>3.4117104656523622E-3</v>
      </c>
      <c r="AL36" s="1" vm="567">
        <f ca="1"/>
        <v>55.8</v>
      </c>
      <c r="AM36" s="2">
        <f t="shared" ca="1" si="15"/>
        <v>-1.4336917562723928E-2</v>
      </c>
      <c r="AO36" s="9">
        <f t="shared" ca="1" si="16"/>
        <v>105.9736093433728</v>
      </c>
      <c r="AP36">
        <f t="shared" ca="1" si="17"/>
        <v>103.04154302670625</v>
      </c>
      <c r="AQ36">
        <f t="shared" ca="1" si="18"/>
        <v>102.99145299145302</v>
      </c>
      <c r="AR36">
        <f t="shared" ca="1" si="19"/>
        <v>113.77306555204405</v>
      </c>
      <c r="AT36" s="21">
        <f ca="1">MAX($AO$3:AO37)</f>
        <v>106.96839029133979</v>
      </c>
      <c r="AU36" s="2">
        <f t="shared" ca="1" si="20"/>
        <v>-9.2997655219227982E-3</v>
      </c>
    </row>
    <row r="37" spans="1:47" x14ac:dyDescent="0.25">
      <c r="A37" vm="568">
        <f ca="1"/>
        <v>45707</v>
      </c>
      <c r="B37" vm="569">
        <f ca="1"/>
        <v>134.02000000000001</v>
      </c>
      <c r="C37" vm="503">
        <f ca="1"/>
        <v>193</v>
      </c>
      <c r="D37" vm="570">
        <f ca="1"/>
        <v>341.55</v>
      </c>
      <c r="E37" vm="571">
        <f ca="1"/>
        <v>310.2</v>
      </c>
      <c r="F37" vm="572">
        <f ca="1"/>
        <v>217.25</v>
      </c>
      <c r="G37" vm="573">
        <f ca="1"/>
        <v>161.80000000000001</v>
      </c>
      <c r="H37" vm="574">
        <f ca="1"/>
        <v>397.95</v>
      </c>
      <c r="I37" vm="575">
        <f ca="1"/>
        <v>159.47999999999999</v>
      </c>
      <c r="J37" vm="576">
        <f ca="1"/>
        <v>520.79999999999995</v>
      </c>
      <c r="K37" vm="577">
        <f ca="1"/>
        <v>42.8</v>
      </c>
      <c r="L37" vm="578">
        <f ca="1"/>
        <v>218.95</v>
      </c>
      <c r="M37" vm="579">
        <f ca="1"/>
        <v>268.5</v>
      </c>
      <c r="N37" vm="580">
        <f ca="1"/>
        <v>25.14</v>
      </c>
      <c r="O37" vm="581">
        <f ca="1"/>
        <v>613</v>
      </c>
      <c r="Q37" s="4">
        <f t="shared" ca="1" si="9"/>
        <v>-1.1933174224344478E-3</v>
      </c>
      <c r="R37" s="4">
        <f t="shared" ca="1" si="0"/>
        <v>-1.4506769825918808E-2</v>
      </c>
      <c r="S37" s="4">
        <f t="shared" ca="1" si="1"/>
        <v>-4.2645241038318904E-2</v>
      </c>
      <c r="T37" s="4">
        <f t="shared" ca="1" si="10"/>
        <v>-3.887634813142582E-3</v>
      </c>
      <c r="U37" s="4">
        <f t="shared" ca="1" si="11"/>
        <v>-1.3632872503840043E-2</v>
      </c>
      <c r="V37" s="4">
        <f t="shared" ca="1" si="2"/>
        <v>-5.6707954036712138E-3</v>
      </c>
      <c r="W37" s="4">
        <f t="shared" ca="1" si="3"/>
        <v>-2.3705408515535153E-2</v>
      </c>
      <c r="X37" s="4">
        <f t="shared" ca="1" si="4"/>
        <v>-5.1024208566108009E-2</v>
      </c>
      <c r="Y37" s="4">
        <f t="shared" ca="1" si="5"/>
        <v>-2.2690674864587868E-2</v>
      </c>
      <c r="Z37" s="4">
        <f t="shared" ca="1" si="6"/>
        <v>-2.0324274948618326E-2</v>
      </c>
      <c r="AA37" s="4">
        <f t="shared" ca="1" si="7"/>
        <v>-5.4026887799973888E-3</v>
      </c>
      <c r="AB37" s="4">
        <f t="shared" ca="1" si="12"/>
        <v>-1.3866231647634564E-2</v>
      </c>
      <c r="AC37" s="4">
        <f t="shared" ca="1" si="13"/>
        <v>-1.2435233160621784E-2</v>
      </c>
      <c r="AD37" s="4"/>
      <c r="AE37" s="2" cm="1">
        <f t="array" aca="1" ref="AE37" ca="1">SUMPRODUCT(Q37:AB37,TRANSPOSE(Insights.!$H$4:$H$15))</f>
        <v>-1.8061123762062651E-2</v>
      </c>
      <c r="AG37" s="10" vm="568">
        <f ca="1"/>
        <v>45707</v>
      </c>
      <c r="AH37" s="1" vm="582">
        <f ca="1"/>
        <v>111.87</v>
      </c>
      <c r="AI37" s="2">
        <f t="shared" ca="1" si="8"/>
        <v>-1.4838652006793684E-2</v>
      </c>
      <c r="AJ37" s="1" vm="583">
        <f ca="1"/>
        <v>108.82</v>
      </c>
      <c r="AK37" s="2">
        <f t="shared" ca="1" si="14"/>
        <v>-9.5570667156772426E-3</v>
      </c>
      <c r="AL37" s="1" vm="584">
        <f ca="1"/>
        <v>55</v>
      </c>
      <c r="AM37" s="2">
        <f t="shared" ca="1" si="15"/>
        <v>1.8181818181806086E-4</v>
      </c>
      <c r="AO37" s="9">
        <f t="shared" ca="1" si="16"/>
        <v>106.25869884043915</v>
      </c>
      <c r="AP37">
        <f t="shared" ca="1" si="17"/>
        <v>103.73701780415432</v>
      </c>
      <c r="AQ37">
        <f t="shared" ca="1" si="18"/>
        <v>103.34283000949669</v>
      </c>
      <c r="AR37">
        <f t="shared" ca="1" si="19"/>
        <v>112.141910490366</v>
      </c>
      <c r="AT37" s="21">
        <f ca="1">MAX($AO$3:AO38)</f>
        <v>106.96839029133979</v>
      </c>
      <c r="AU37" s="2">
        <f t="shared" ca="1" si="20"/>
        <v>-6.634590358588266E-3</v>
      </c>
    </row>
    <row r="38" spans="1:47" x14ac:dyDescent="0.25">
      <c r="A38" vm="585">
        <f ca="1"/>
        <v>45708</v>
      </c>
      <c r="B38" vm="586">
        <f ca="1"/>
        <v>133.26</v>
      </c>
      <c r="C38" vm="587">
        <f ca="1"/>
        <v>190.6</v>
      </c>
      <c r="D38" vm="588">
        <f ca="1"/>
        <v>333.8</v>
      </c>
      <c r="E38" vm="589">
        <f ca="1"/>
        <v>305.7</v>
      </c>
      <c r="F38" vm="590">
        <f ca="1"/>
        <v>212.1</v>
      </c>
      <c r="G38" vm="591">
        <f ca="1"/>
        <v>154.9</v>
      </c>
      <c r="H38" vm="592">
        <f ca="1"/>
        <v>395.8</v>
      </c>
      <c r="I38" vm="593">
        <f ca="1"/>
        <v>158.86000000000001</v>
      </c>
      <c r="J38" vm="594">
        <f ca="1"/>
        <v>513.70000000000005</v>
      </c>
      <c r="K38" vm="595">
        <f ca="1"/>
        <v>44.6</v>
      </c>
      <c r="L38" vm="235">
        <f ca="1"/>
        <v>214.5</v>
      </c>
      <c r="M38" vm="596">
        <f ca="1"/>
        <v>254.8</v>
      </c>
      <c r="N38" vm="597">
        <f ca="1"/>
        <v>25.11</v>
      </c>
      <c r="O38" vm="598">
        <f ca="1"/>
        <v>604.5</v>
      </c>
      <c r="Q38" s="4">
        <f t="shared" ca="1" si="9"/>
        <v>4.3807248108322927E-3</v>
      </c>
      <c r="R38" s="4">
        <f t="shared" ca="1" si="0"/>
        <v>-3.4674517500817736E-2</v>
      </c>
      <c r="S38" s="4">
        <f t="shared" ca="1" si="1"/>
        <v>-7.1659134925758483E-2</v>
      </c>
      <c r="T38" s="4">
        <f t="shared" ca="1" si="10"/>
        <v>1.9765831549792168E-2</v>
      </c>
      <c r="U38" s="4">
        <f t="shared" ca="1" si="11"/>
        <v>-5.8399844267098544E-4</v>
      </c>
      <c r="V38" s="4">
        <f t="shared" ca="1" si="2"/>
        <v>-3.5419480714392937E-2</v>
      </c>
      <c r="W38" s="4">
        <f t="shared" ca="1" si="3"/>
        <v>-2.2395096652522373E-2</v>
      </c>
      <c r="X38" s="4">
        <f t="shared" ca="1" si="4"/>
        <v>-6.4756671899529605E-3</v>
      </c>
      <c r="Y38" s="4">
        <f t="shared" ca="1" si="5"/>
        <v>2.8460155781904195E-3</v>
      </c>
      <c r="Z38" s="4">
        <f t="shared" ca="1" si="6"/>
        <v>-4.6620046620046152E-3</v>
      </c>
      <c r="AA38" s="4">
        <f t="shared" ca="1" si="7"/>
        <v>-1.3643254168772212E-2</v>
      </c>
      <c r="AB38" s="4">
        <f t="shared" ca="1" si="12"/>
        <v>6.2861869313481922E-3</v>
      </c>
      <c r="AC38" s="4">
        <f t="shared" ca="1" si="13"/>
        <v>-1.3641133263378791E-2</v>
      </c>
      <c r="AD38" s="4"/>
      <c r="AE38" s="2" cm="1">
        <f t="array" aca="1" ref="AE38" ca="1">SUMPRODUCT(Q38:AB38,TRANSPOSE(Insights.!$H$4:$H$15))</f>
        <v>-1.1978501097340081E-2</v>
      </c>
      <c r="AG38" s="10" vm="585">
        <f ca="1"/>
        <v>45708</v>
      </c>
      <c r="AH38" s="1" vm="599">
        <f ca="1"/>
        <v>110.21</v>
      </c>
      <c r="AI38" s="2">
        <f t="shared" ca="1" si="8"/>
        <v>-6.2607748843117594E-3</v>
      </c>
      <c r="AJ38" s="1" vm="600">
        <f ca="1"/>
        <v>107.78</v>
      </c>
      <c r="AK38" s="2">
        <f t="shared" ca="1" si="14"/>
        <v>4.1751716459459409E-4</v>
      </c>
      <c r="AL38" s="1" vm="601">
        <f ca="1"/>
        <v>55.01</v>
      </c>
      <c r="AM38" s="2">
        <f t="shared" ca="1" si="15"/>
        <v>-2.5449918196691623E-3</v>
      </c>
      <c r="AO38" s="9">
        <f t="shared" ca="1" si="16"/>
        <v>104.33954732988623</v>
      </c>
      <c r="AP38">
        <f t="shared" ca="1" si="17"/>
        <v>102.19770029673592</v>
      </c>
      <c r="AQ38">
        <f t="shared" ca="1" si="18"/>
        <v>102.35517568850904</v>
      </c>
      <c r="AR38">
        <f t="shared" ca="1" si="19"/>
        <v>112.16229992863697</v>
      </c>
      <c r="AT38" s="21">
        <f ca="1">MAX($AO$3:AO39)</f>
        <v>106.96839029133979</v>
      </c>
      <c r="AU38" s="2">
        <f t="shared" ca="1" si="20"/>
        <v>-2.4575885963074029E-2</v>
      </c>
    </row>
    <row r="39" spans="1:47" x14ac:dyDescent="0.25">
      <c r="A39" vm="602">
        <f ca="1"/>
        <v>45709</v>
      </c>
      <c r="B39" vm="603">
        <f ca="1"/>
        <v>128.54</v>
      </c>
      <c r="C39" vm="604">
        <f ca="1"/>
        <v>188</v>
      </c>
      <c r="D39" vm="402">
        <f ca="1"/>
        <v>334.75</v>
      </c>
      <c r="E39" vm="605">
        <f ca="1"/>
        <v>295.10000000000002</v>
      </c>
      <c r="F39" vm="606">
        <f ca="1"/>
        <v>207.35</v>
      </c>
      <c r="G39" vm="607">
        <f ca="1"/>
        <v>143.80000000000001</v>
      </c>
      <c r="H39" vm="608">
        <f ca="1"/>
        <v>390.4</v>
      </c>
      <c r="I39" vm="108">
        <f ca="1"/>
        <v>162</v>
      </c>
      <c r="J39" vm="609">
        <f ca="1"/>
        <v>513.4</v>
      </c>
      <c r="K39" vm="476">
        <f ca="1"/>
        <v>40.799999999999997</v>
      </c>
      <c r="L39" vm="610">
        <f ca="1"/>
        <v>213.5</v>
      </c>
      <c r="M39" vm="611">
        <f ca="1"/>
        <v>253.15</v>
      </c>
      <c r="N39" vm="612">
        <f ca="1"/>
        <v>25.22</v>
      </c>
      <c r="O39" vm="613">
        <f ca="1"/>
        <v>608.29999999999995</v>
      </c>
      <c r="Q39" s="4">
        <f t="shared" ca="1" si="9"/>
        <v>7.9302141157810979E-4</v>
      </c>
      <c r="R39" s="4">
        <f t="shared" ca="1" si="0"/>
        <v>-2.2026431718062955E-3</v>
      </c>
      <c r="S39" s="4">
        <f t="shared" ca="1" si="1"/>
        <v>-4.6244784422809548E-2</v>
      </c>
      <c r="T39" s="4">
        <f t="shared" ca="1" si="10"/>
        <v>5.5555555555555358E-3</v>
      </c>
      <c r="U39" s="4">
        <f t="shared" ca="1" si="11"/>
        <v>-4.4799376704323102E-3</v>
      </c>
      <c r="V39" s="4">
        <f t="shared" ca="1" si="2"/>
        <v>-2.707328458067515E-2</v>
      </c>
      <c r="W39" s="4">
        <f t="shared" ca="1" si="3"/>
        <v>-2.1461297323366213E-2</v>
      </c>
      <c r="X39" s="4">
        <f t="shared" ca="1" si="4"/>
        <v>-1.283823819869645E-2</v>
      </c>
      <c r="Y39" s="4">
        <f t="shared" ca="1" si="5"/>
        <v>-7.468259895444529E-4</v>
      </c>
      <c r="Z39" s="4">
        <f t="shared" ca="1" si="6"/>
        <v>-4.2154566744730726E-2</v>
      </c>
      <c r="AA39" s="4">
        <f t="shared" ca="1" si="7"/>
        <v>-9.7336065573769837E-3</v>
      </c>
      <c r="AB39" s="4">
        <f t="shared" ca="1" si="12"/>
        <v>-5.0961696531316769E-2</v>
      </c>
      <c r="AC39" s="4">
        <f t="shared" ca="1" si="13"/>
        <v>-2.6595744680851019E-2</v>
      </c>
      <c r="AD39" s="4"/>
      <c r="AE39" s="2" cm="1">
        <f t="array" aca="1" ref="AE39" ca="1">SUMPRODUCT(Q39:AB39,TRANSPOSE(Insights.!$H$4:$H$15))</f>
        <v>-1.5634135310895088E-2</v>
      </c>
      <c r="AG39" s="10" vm="602">
        <f ca="1"/>
        <v>45709</v>
      </c>
      <c r="AH39" s="1" vm="614">
        <f ca="1"/>
        <v>109.52</v>
      </c>
      <c r="AI39" s="2">
        <f t="shared" ca="1" si="8"/>
        <v>-3.7892622352081462E-3</v>
      </c>
      <c r="AJ39" s="1" vm="615">
        <f ca="1"/>
        <v>107.825</v>
      </c>
      <c r="AK39" s="2">
        <f t="shared" ca="1" si="14"/>
        <v>-1.1082773011824809E-2</v>
      </c>
      <c r="AL39" s="1" vm="616">
        <f ca="1"/>
        <v>54.87</v>
      </c>
      <c r="AM39" s="2">
        <f t="shared" ca="1" si="15"/>
        <v>1.0934937124111865E-3</v>
      </c>
      <c r="AO39" s="9">
        <f t="shared" ca="1" si="16"/>
        <v>103.08971594769922</v>
      </c>
      <c r="AP39">
        <f t="shared" ca="1" si="17"/>
        <v>101.55786350148369</v>
      </c>
      <c r="AQ39">
        <f t="shared" ca="1" si="18"/>
        <v>102.39791073124408</v>
      </c>
      <c r="AR39">
        <f t="shared" ca="1" si="19"/>
        <v>111.87684779284331</v>
      </c>
      <c r="AT39" s="21">
        <f ca="1">MAX($AO$3:AO40)</f>
        <v>106.96839029133979</v>
      </c>
      <c r="AU39" s="2">
        <f t="shared" ca="1" si="20"/>
        <v>-3.6260004783437272E-2</v>
      </c>
    </row>
    <row r="40" spans="1:47" x14ac:dyDescent="0.25">
      <c r="A40" vm="617">
        <f ca="1"/>
        <v>45712</v>
      </c>
      <c r="B40" vm="618">
        <f ca="1"/>
        <v>125.06</v>
      </c>
      <c r="C40" vm="619">
        <f ca="1"/>
        <v>183</v>
      </c>
      <c r="D40" vm="286">
        <f ca="1"/>
        <v>334.5</v>
      </c>
      <c r="E40" vm="620">
        <f ca="1"/>
        <v>294.45</v>
      </c>
      <c r="F40" vm="621">
        <f ca="1"/>
        <v>202.9</v>
      </c>
      <c r="G40" vm="622">
        <f ca="1"/>
        <v>137.15</v>
      </c>
      <c r="H40" vm="623">
        <f ca="1"/>
        <v>386.6</v>
      </c>
      <c r="I40" vm="624">
        <f ca="1"/>
        <v>162.9</v>
      </c>
      <c r="J40" vm="625">
        <f ca="1"/>
        <v>511.1</v>
      </c>
      <c r="K40" vm="626">
        <f ca="1"/>
        <v>36</v>
      </c>
      <c r="L40" vm="55">
        <f ca="1"/>
        <v>204.5</v>
      </c>
      <c r="M40" vm="627">
        <f ca="1"/>
        <v>249.9</v>
      </c>
      <c r="N40" vm="628">
        <f ca="1"/>
        <v>25.24</v>
      </c>
      <c r="O40" vm="629">
        <f ca="1"/>
        <v>577.29999999999995</v>
      </c>
      <c r="Q40" s="4">
        <f t="shared" ca="1" si="9"/>
        <v>-2.4564183835182107E-2</v>
      </c>
      <c r="R40" s="4">
        <f t="shared" ca="1" si="0"/>
        <v>-1.1377143827474789E-2</v>
      </c>
      <c r="S40" s="4">
        <f t="shared" ca="1" si="1"/>
        <v>-4.848705796573094E-2</v>
      </c>
      <c r="T40" s="4">
        <f t="shared" ca="1" si="10"/>
        <v>6.0159607120933156E-3</v>
      </c>
      <c r="U40" s="4">
        <f t="shared" ca="1" si="11"/>
        <v>-1.4282919193895571E-2</v>
      </c>
      <c r="V40" s="4">
        <f t="shared" ca="1" si="2"/>
        <v>-3.5822805053574269E-2</v>
      </c>
      <c r="W40" s="4">
        <f t="shared" ca="1" si="3"/>
        <v>-7.392804337111869E-4</v>
      </c>
      <c r="X40" s="4">
        <f t="shared" ca="1" si="4"/>
        <v>-2.3609443777511063E-2</v>
      </c>
      <c r="Y40" s="4">
        <f t="shared" ca="1" si="5"/>
        <v>-2.3916292974589526E-3</v>
      </c>
      <c r="Z40" s="4">
        <f t="shared" ca="1" si="6"/>
        <v>-6.0929095354523288E-2</v>
      </c>
      <c r="AA40" s="4">
        <f t="shared" ca="1" si="7"/>
        <v>-2.1857216761510756E-2</v>
      </c>
      <c r="AB40" s="4">
        <f t="shared" ca="1" si="12"/>
        <v>-4.3824701195219085E-2</v>
      </c>
      <c r="AC40" s="4">
        <f t="shared" ca="1" si="13"/>
        <v>-2.0765027322404483E-2</v>
      </c>
      <c r="AD40" s="4"/>
      <c r="AE40" s="2" cm="1">
        <f t="array" aca="1" ref="AE40" ca="1">SUMPRODUCT(Q40:AB40,TRANSPOSE(Insights.!$H$4:$H$15))</f>
        <v>-2.189602892170512E-2</v>
      </c>
      <c r="AG40" s="10" vm="617">
        <f ca="1"/>
        <v>45712</v>
      </c>
      <c r="AH40" s="1" vm="630">
        <f ca="1"/>
        <v>109.105</v>
      </c>
      <c r="AI40" s="2">
        <f t="shared" ca="1" si="8"/>
        <v>-1.2419229182897285E-2</v>
      </c>
      <c r="AJ40" s="1" vm="631">
        <f ca="1"/>
        <v>106.63</v>
      </c>
      <c r="AK40" s="2">
        <f t="shared" ca="1" si="14"/>
        <v>-1.5286504736002904E-2</v>
      </c>
      <c r="AL40" s="1" vm="632">
        <f ca="1"/>
        <v>54.93</v>
      </c>
      <c r="AM40" s="2">
        <f t="shared" ca="1" si="15"/>
        <v>2.5486983433460342E-3</v>
      </c>
      <c r="AO40" s="9">
        <f t="shared" ca="1" si="16"/>
        <v>101.47799737941115</v>
      </c>
      <c r="AP40">
        <f t="shared" ca="1" si="17"/>
        <v>101.1730341246291</v>
      </c>
      <c r="AQ40">
        <f t="shared" ca="1" si="18"/>
        <v>101.26305792972461</v>
      </c>
      <c r="AR40">
        <f t="shared" ca="1" si="19"/>
        <v>111.99918442246917</v>
      </c>
      <c r="AT40" s="21">
        <f ca="1">MAX($AO$3:AO41)</f>
        <v>106.96839029133979</v>
      </c>
      <c r="AU40" s="2">
        <f t="shared" ca="1" si="20"/>
        <v>-5.1327246273174421E-2</v>
      </c>
    </row>
    <row r="41" spans="1:47" x14ac:dyDescent="0.25">
      <c r="A41" vm="633">
        <f ca="1"/>
        <v>45713</v>
      </c>
      <c r="B41" vm="634">
        <f ca="1"/>
        <v>120.58</v>
      </c>
      <c r="C41" vm="635">
        <f ca="1"/>
        <v>179.2</v>
      </c>
      <c r="D41" vm="636">
        <f ca="1"/>
        <v>333.7</v>
      </c>
      <c r="E41" vm="637">
        <f ca="1"/>
        <v>291.10000000000002</v>
      </c>
      <c r="F41" vm="638">
        <f ca="1"/>
        <v>202.75</v>
      </c>
      <c r="G41" vm="639">
        <f ca="1"/>
        <v>130.5</v>
      </c>
      <c r="H41" vm="640">
        <f ca="1"/>
        <v>378.15</v>
      </c>
      <c r="I41" vm="641">
        <f ca="1"/>
        <v>163.88</v>
      </c>
      <c r="J41" vm="642">
        <f ca="1"/>
        <v>503.8</v>
      </c>
      <c r="K41" vm="643">
        <f ca="1"/>
        <v>33.4</v>
      </c>
      <c r="L41" vm="644">
        <f ca="1"/>
        <v>192.04</v>
      </c>
      <c r="M41" vm="645">
        <f ca="1"/>
        <v>244</v>
      </c>
      <c r="N41" vm="646">
        <f ca="1"/>
        <v>24.62</v>
      </c>
      <c r="O41" vm="647">
        <f ca="1"/>
        <v>552</v>
      </c>
      <c r="Q41" s="4">
        <f t="shared" ca="1" si="9"/>
        <v>1.2185215272135785E-3</v>
      </c>
      <c r="R41" s="4">
        <f t="shared" ca="1" si="0"/>
        <v>1.5286843009275186E-2</v>
      </c>
      <c r="S41" s="4">
        <f t="shared" ca="1" si="1"/>
        <v>7.9310344827586254E-2</v>
      </c>
      <c r="T41" s="4">
        <f t="shared" ca="1" si="10"/>
        <v>-5.9799853551378845E-3</v>
      </c>
      <c r="U41" s="4">
        <f t="shared" ca="1" si="11"/>
        <v>8.3366415244143788E-3</v>
      </c>
      <c r="V41" s="4">
        <f t="shared" ca="1" si="2"/>
        <v>3.9475866644551383E-2</v>
      </c>
      <c r="W41" s="4">
        <f t="shared" ca="1" si="3"/>
        <v>9.3711467324291142E-3</v>
      </c>
      <c r="X41" s="4">
        <f t="shared" ca="1" si="4"/>
        <v>1.2295081967213184E-2</v>
      </c>
      <c r="Y41" s="4">
        <f t="shared" ca="1" si="5"/>
        <v>5.9934072520229087E-4</v>
      </c>
      <c r="Z41" s="4">
        <f t="shared" ca="1" si="6"/>
        <v>5.5509268902312003E-2</v>
      </c>
      <c r="AA41" s="4">
        <f t="shared" ca="1" si="7"/>
        <v>5.6855745074706476E-3</v>
      </c>
      <c r="AB41" s="4">
        <f t="shared" ca="1" si="12"/>
        <v>4.4021739130434723E-2</v>
      </c>
      <c r="AC41" s="4">
        <f t="shared" ca="1" si="13"/>
        <v>3.4598214285714413E-2</v>
      </c>
      <c r="AD41" s="4"/>
      <c r="AE41" s="2" cm="1">
        <f t="array" aca="1" ref="AE41" ca="1">SUMPRODUCT(Q41:AB41,TRANSPOSE(Insights.!$H$4:$H$15))</f>
        <v>1.9952012801842101E-2</v>
      </c>
      <c r="AG41" s="10" vm="633">
        <f ca="1"/>
        <v>45713</v>
      </c>
      <c r="AH41" s="1" vm="648">
        <f ca="1"/>
        <v>107.75</v>
      </c>
      <c r="AI41" s="2">
        <f t="shared" ca="1" si="8"/>
        <v>-1.716937354988457E-3</v>
      </c>
      <c r="AJ41" s="1" vm="649">
        <f ca="1"/>
        <v>105</v>
      </c>
      <c r="AK41" s="2">
        <f t="shared" ca="1" si="14"/>
        <v>1.3190476190476197E-2</v>
      </c>
      <c r="AL41" s="1" vm="650">
        <f ca="1"/>
        <v>55.07</v>
      </c>
      <c r="AM41" s="2">
        <f t="shared" ca="1" si="15"/>
        <v>3.4501543490104147E-3</v>
      </c>
      <c r="AO41" s="9">
        <f t="shared" ca="1" si="16"/>
        <v>99.256032213874846</v>
      </c>
      <c r="AP41">
        <f t="shared" ca="1" si="17"/>
        <v>99.916543026706236</v>
      </c>
      <c r="AQ41">
        <f t="shared" ca="1" si="18"/>
        <v>99.71509971509974</v>
      </c>
      <c r="AR41">
        <f t="shared" ca="1" si="19"/>
        <v>112.28463655826282</v>
      </c>
      <c r="AT41" s="21">
        <f ca="1">MAX($AO$3:AO42)</f>
        <v>106.96839029133979</v>
      </c>
      <c r="AU41" s="2">
        <f t="shared" ca="1" si="20"/>
        <v>-7.2099412326010692E-2</v>
      </c>
    </row>
    <row r="42" spans="1:47" x14ac:dyDescent="0.25">
      <c r="A42" vm="651">
        <f ca="1"/>
        <v>45714</v>
      </c>
      <c r="B42" vm="652">
        <f ca="1"/>
        <v>125.34</v>
      </c>
      <c r="C42" vm="653">
        <f ca="1"/>
        <v>185.4</v>
      </c>
      <c r="D42" vm="654">
        <f ca="1"/>
        <v>333.9</v>
      </c>
      <c r="E42" vm="655">
        <f ca="1"/>
        <v>295.55</v>
      </c>
      <c r="F42" vm="656">
        <f ca="1"/>
        <v>204.65</v>
      </c>
      <c r="G42" vm="657">
        <f ca="1"/>
        <v>140.85</v>
      </c>
      <c r="H42" vm="658">
        <f ca="1"/>
        <v>380.3</v>
      </c>
      <c r="I42" vm="624">
        <f ca="1"/>
        <v>162.9</v>
      </c>
      <c r="J42" vm="659">
        <f ca="1"/>
        <v>508</v>
      </c>
      <c r="K42" vm="660">
        <f ca="1"/>
        <v>34.799999999999997</v>
      </c>
      <c r="L42" vm="661">
        <f ca="1"/>
        <v>202.7</v>
      </c>
      <c r="M42" vm="662">
        <f ca="1"/>
        <v>247</v>
      </c>
      <c r="N42" vm="663">
        <f ca="1"/>
        <v>24.65</v>
      </c>
      <c r="O42" vm="664">
        <f ca="1"/>
        <v>576.29999999999995</v>
      </c>
      <c r="Q42" s="4">
        <f t="shared" ca="1" si="9"/>
        <v>-6.4908722109533468E-3</v>
      </c>
      <c r="R42" s="4">
        <f t="shared" ca="1" si="0"/>
        <v>-1.7763491794958508E-2</v>
      </c>
      <c r="S42" s="4">
        <f t="shared" ca="1" si="1"/>
        <v>-0.11217607383741568</v>
      </c>
      <c r="T42" s="4">
        <f t="shared" ca="1" si="10"/>
        <v>1.3627992633517438E-2</v>
      </c>
      <c r="U42" s="4">
        <f t="shared" ca="1" si="11"/>
        <v>2.3622047244094002E-3</v>
      </c>
      <c r="V42" s="4">
        <f t="shared" ca="1" si="2"/>
        <v>-7.8506462422211598E-2</v>
      </c>
      <c r="W42" s="4">
        <f t="shared" ca="1" si="3"/>
        <v>-1.9301246029807095E-2</v>
      </c>
      <c r="X42" s="4">
        <f t="shared" ca="1" si="4"/>
        <v>1.9433198380566896E-2</v>
      </c>
      <c r="Y42" s="4">
        <f t="shared" ca="1" si="5"/>
        <v>2.2461814914645162E-2</v>
      </c>
      <c r="Z42" s="4">
        <f t="shared" ca="1" si="6"/>
        <v>-9.8667982239762919E-3</v>
      </c>
      <c r="AA42" s="4">
        <f t="shared" ca="1" si="7"/>
        <v>-4.9960557454642451E-3</v>
      </c>
      <c r="AB42" s="4">
        <f t="shared" ca="1" si="12"/>
        <v>7.981953843484435E-3</v>
      </c>
      <c r="AC42" s="4">
        <f t="shared" ca="1" si="13"/>
        <v>-6.1488673139158623E-2</v>
      </c>
      <c r="AD42" s="4"/>
      <c r="AE42" s="2" cm="1">
        <f t="array" aca="1" ref="AE42" ca="1">SUMPRODUCT(Q42:AB42,TRANSPOSE(Insights.!$H$4:$H$15))</f>
        <v>-1.0916524588994624E-2</v>
      </c>
      <c r="AG42" s="10" vm="651">
        <f ca="1"/>
        <v>45714</v>
      </c>
      <c r="AH42" s="1" vm="665">
        <f ca="1"/>
        <v>107.565</v>
      </c>
      <c r="AI42" s="2">
        <f t="shared" ca="1" si="8"/>
        <v>-2.5565936875376893E-3</v>
      </c>
      <c r="AJ42" s="1" vm="666">
        <f ca="1"/>
        <v>106.38500000000001</v>
      </c>
      <c r="AK42" s="2">
        <f t="shared" ca="1" si="14"/>
        <v>1.7859660666446064E-3</v>
      </c>
      <c r="AL42" s="1" vm="667">
        <f ca="1"/>
        <v>55.26</v>
      </c>
      <c r="AM42" s="2">
        <f t="shared" ca="1" si="15"/>
        <v>-8.8671733622872617E-3</v>
      </c>
      <c r="AO42" s="9">
        <f t="shared" ca="1" si="16"/>
        <v>101.23638983926612</v>
      </c>
      <c r="AP42">
        <f t="shared" ca="1" si="17"/>
        <v>99.744992581602375</v>
      </c>
      <c r="AQ42">
        <f t="shared" ca="1" si="18"/>
        <v>101.03038936372272</v>
      </c>
      <c r="AR42">
        <f t="shared" ca="1" si="19"/>
        <v>112.67203588541136</v>
      </c>
      <c r="AT42" s="21">
        <f ca="1">MAX($AO$3:AO43)</f>
        <v>106.96839029133979</v>
      </c>
      <c r="AU42" s="2">
        <f t="shared" ca="1" si="20"/>
        <v>-5.3585927921902421E-2</v>
      </c>
    </row>
    <row r="43" spans="1:47" x14ac:dyDescent="0.25">
      <c r="A43" vm="668">
        <f ca="1"/>
        <v>45715</v>
      </c>
      <c r="B43" vm="669">
        <f ca="1"/>
        <v>115.5</v>
      </c>
      <c r="C43" vm="670">
        <f ca="1"/>
        <v>174</v>
      </c>
      <c r="D43" vm="671">
        <f ca="1"/>
        <v>341.4</v>
      </c>
      <c r="E43" vm="672">
        <f ca="1"/>
        <v>290.3</v>
      </c>
      <c r="F43" vm="673">
        <f ca="1"/>
        <v>200.7</v>
      </c>
      <c r="G43" vm="674">
        <f ca="1"/>
        <v>125.05</v>
      </c>
      <c r="H43" vm="675">
        <f ca="1"/>
        <v>378.4</v>
      </c>
      <c r="I43" vm="676">
        <f ca="1"/>
        <v>165.12</v>
      </c>
      <c r="J43" vm="677">
        <f ca="1"/>
        <v>509.2</v>
      </c>
      <c r="K43" vm="678">
        <f ca="1"/>
        <v>30</v>
      </c>
      <c r="L43" vm="673">
        <f ca="1"/>
        <v>200.7</v>
      </c>
      <c r="M43" vm="679">
        <f ca="1"/>
        <v>251.8</v>
      </c>
      <c r="N43" vm="680">
        <f ca="1"/>
        <v>24.49</v>
      </c>
      <c r="O43" vm="681">
        <f ca="1"/>
        <v>580.9</v>
      </c>
      <c r="Q43" s="4">
        <f t="shared" ca="1" si="9"/>
        <v>-4.083299305839061E-3</v>
      </c>
      <c r="R43" s="4">
        <f t="shared" ca="1" si="0"/>
        <v>-2.307957285566653E-2</v>
      </c>
      <c r="S43" s="4">
        <f t="shared" ca="1" si="1"/>
        <v>1.2395041983206623E-2</v>
      </c>
      <c r="T43" s="4">
        <f t="shared" ca="1" si="10"/>
        <v>4.9660852713178105E-3</v>
      </c>
      <c r="U43" s="4">
        <f t="shared" ca="1" si="11"/>
        <v>1.7674783974863661E-3</v>
      </c>
      <c r="V43" s="4">
        <f t="shared" ca="1" si="2"/>
        <v>4.0692640692640669E-2</v>
      </c>
      <c r="W43" s="4">
        <f t="shared" ca="1" si="3"/>
        <v>8.9686098654708779E-3</v>
      </c>
      <c r="X43" s="4">
        <f t="shared" ca="1" si="4"/>
        <v>-1.1914217633042234E-3</v>
      </c>
      <c r="Y43" s="4">
        <f t="shared" ca="1" si="5"/>
        <v>2.1382542472173416E-2</v>
      </c>
      <c r="Z43" s="4">
        <f t="shared" ca="1" si="6"/>
        <v>-4.3746885899352272E-2</v>
      </c>
      <c r="AA43" s="4">
        <f t="shared" ca="1" si="7"/>
        <v>1.717758985200879E-3</v>
      </c>
      <c r="AB43" s="4">
        <f t="shared" ca="1" si="12"/>
        <v>-1.8591840247891178E-2</v>
      </c>
      <c r="AC43" s="4">
        <f t="shared" ca="1" si="13"/>
        <v>-3.4482758620689724E-3</v>
      </c>
      <c r="AD43" s="4"/>
      <c r="AE43" s="2" cm="1">
        <f t="array" aca="1" ref="AE43" ca="1">SUMPRODUCT(Q43:AB43,TRANSPOSE(Insights.!$H$4:$H$15))</f>
        <v>-2.6394311372208942E-3</v>
      </c>
      <c r="AG43" s="10" vm="668">
        <f ca="1"/>
        <v>45715</v>
      </c>
      <c r="AH43" s="1" vm="682">
        <f ca="1"/>
        <v>107.29</v>
      </c>
      <c r="AI43" s="2">
        <f t="shared" ca="1" si="8"/>
        <v>-1.584490632864255E-3</v>
      </c>
      <c r="AJ43" s="1" vm="683">
        <f ca="1"/>
        <v>106.575</v>
      </c>
      <c r="AK43" s="2">
        <f t="shared" ca="1" si="14"/>
        <v>-1.0602861834388966E-2</v>
      </c>
      <c r="AL43" s="1" vm="684">
        <f ca="1"/>
        <v>54.77</v>
      </c>
      <c r="AM43" s="2">
        <f t="shared" ca="1" si="15"/>
        <v>-3.4690524009495238E-3</v>
      </c>
      <c r="AO43" s="9">
        <f t="shared" ca="1" si="16"/>
        <v>100.13124030028473</v>
      </c>
      <c r="AP43">
        <f t="shared" ca="1" si="17"/>
        <v>99.48998516320475</v>
      </c>
      <c r="AQ43">
        <f t="shared" ca="1" si="18"/>
        <v>101.21082621082623</v>
      </c>
      <c r="AR43">
        <f t="shared" ca="1" si="19"/>
        <v>111.67295341013357</v>
      </c>
      <c r="AT43" s="21">
        <f ca="1">MAX($AO$3:AO44)</f>
        <v>106.96839029133979</v>
      </c>
      <c r="AU43" s="2">
        <f t="shared" ca="1" si="20"/>
        <v>-6.3917480411113559E-2</v>
      </c>
    </row>
    <row r="44" spans="1:47" x14ac:dyDescent="0.25">
      <c r="A44" vm="685">
        <f ca="1"/>
        <v>45716</v>
      </c>
      <c r="B44" vm="686">
        <f ca="1"/>
        <v>120.2</v>
      </c>
      <c r="C44" vm="687">
        <f ca="1"/>
        <v>173.4</v>
      </c>
      <c r="D44" vm="688">
        <f ca="1"/>
        <v>348.7</v>
      </c>
      <c r="E44" vm="689">
        <f ca="1"/>
        <v>283.60000000000002</v>
      </c>
      <c r="F44" vm="104">
        <f ca="1"/>
        <v>202.5</v>
      </c>
      <c r="G44" vm="690">
        <f ca="1"/>
        <v>126.6</v>
      </c>
      <c r="H44" vm="691">
        <f ca="1"/>
        <v>379.05</v>
      </c>
      <c r="I44" vm="692">
        <f ca="1"/>
        <v>165.94</v>
      </c>
      <c r="J44" vm="693">
        <f ca="1"/>
        <v>510.1</v>
      </c>
      <c r="K44" vm="694">
        <f ca="1"/>
        <v>30.8</v>
      </c>
      <c r="L44" vm="695">
        <f ca="1"/>
        <v>191.92</v>
      </c>
      <c r="M44" vm="696">
        <f ca="1"/>
        <v>251.5</v>
      </c>
      <c r="N44" vm="697">
        <f ca="1"/>
        <v>24.39</v>
      </c>
      <c r="O44" vm="698">
        <f ca="1"/>
        <v>570.1</v>
      </c>
      <c r="Q44" s="4">
        <f t="shared" ca="1" si="9"/>
        <v>-2.4600246002460135E-2</v>
      </c>
      <c r="R44" s="4">
        <f t="shared" ca="1" si="0"/>
        <v>-1.3575458392101614E-2</v>
      </c>
      <c r="S44" s="4">
        <f t="shared" ca="1" si="1"/>
        <v>-8.2148499210110471E-2</v>
      </c>
      <c r="T44" s="4">
        <f t="shared" ca="1" si="10"/>
        <v>5.1825961190792302E-3</v>
      </c>
      <c r="U44" s="4">
        <f t="shared" ca="1" si="11"/>
        <v>-1.1566359537345638E-2</v>
      </c>
      <c r="V44" s="4">
        <f t="shared" ca="1" si="2"/>
        <v>-9.4176372712146517E-2</v>
      </c>
      <c r="W44" s="4">
        <f t="shared" ca="1" si="3"/>
        <v>-4.2567901234567884E-2</v>
      </c>
      <c r="X44" s="4">
        <f t="shared" ca="1" si="4"/>
        <v>-5.3677932405565842E-3</v>
      </c>
      <c r="Y44" s="4">
        <f t="shared" ca="1" si="5"/>
        <v>-5.3054201319184813E-3</v>
      </c>
      <c r="Z44" s="4">
        <f t="shared" ca="1" si="6"/>
        <v>-3.011671529804083E-2</v>
      </c>
      <c r="AA44" s="4">
        <f t="shared" ca="1" si="7"/>
        <v>-2.3347843292441661E-2</v>
      </c>
      <c r="AB44" s="4">
        <f t="shared" ca="1" si="12"/>
        <v>1.9119452727591524E-2</v>
      </c>
      <c r="AC44" s="4">
        <f t="shared" ca="1" si="13"/>
        <v>-5.3056516724336866E-2</v>
      </c>
      <c r="AD44" s="4"/>
      <c r="AE44" s="2" cm="1">
        <f t="array" aca="1" ref="AE44" ca="1">SUMPRODUCT(Q44:AB44,TRANSPOSE(Insights.!$H$4:$H$15))</f>
        <v>-2.0481205910723246E-2</v>
      </c>
      <c r="AG44" s="10" vm="685">
        <f ca="1"/>
        <v>45716</v>
      </c>
      <c r="AH44" s="1" vm="699">
        <f ca="1"/>
        <v>107.12</v>
      </c>
      <c r="AI44" s="2">
        <f t="shared" ca="1" si="8"/>
        <v>-4.0141896938014066E-3</v>
      </c>
      <c r="AJ44" s="1" vm="700">
        <f ca="1"/>
        <v>105.44499999999999</v>
      </c>
      <c r="AK44" s="2">
        <f t="shared" ca="1" si="14"/>
        <v>2.8925032007207641E-3</v>
      </c>
      <c r="AL44" s="1" vm="701">
        <f ca="1"/>
        <v>54.58</v>
      </c>
      <c r="AM44" s="2">
        <f t="shared" ca="1" si="15"/>
        <v>1.868816416269703E-2</v>
      </c>
      <c r="AO44" s="9">
        <f t="shared" ca="1" si="16"/>
        <v>99.866950786827616</v>
      </c>
      <c r="AP44">
        <f t="shared" ca="1" si="17"/>
        <v>99.332344213649847</v>
      </c>
      <c r="AQ44">
        <f t="shared" ca="1" si="18"/>
        <v>100.13770180436849</v>
      </c>
      <c r="AR44">
        <f t="shared" ca="1" si="19"/>
        <v>111.28555408298503</v>
      </c>
      <c r="AT44" s="21">
        <f ca="1">MAX($AO$3:AO45)</f>
        <v>106.96839029133979</v>
      </c>
      <c r="AU44" s="2">
        <f t="shared" ca="1" si="20"/>
        <v>-6.6388205760324559E-2</v>
      </c>
    </row>
    <row r="45" spans="1:47" x14ac:dyDescent="0.25">
      <c r="A45" vm="702">
        <f ca="1"/>
        <v>45719</v>
      </c>
      <c r="B45" vm="703">
        <f ca="1"/>
        <v>108.88</v>
      </c>
      <c r="C45" vm="704">
        <f ca="1"/>
        <v>164.2</v>
      </c>
      <c r="D45" vm="705">
        <f ca="1"/>
        <v>346.85</v>
      </c>
      <c r="E45" vm="706">
        <f ca="1"/>
        <v>279.75</v>
      </c>
      <c r="F45" vm="707">
        <f ca="1"/>
        <v>193.88</v>
      </c>
      <c r="G45" vm="708">
        <f ca="1"/>
        <v>116.2</v>
      </c>
      <c r="H45" vm="709">
        <f ca="1"/>
        <v>370.2</v>
      </c>
      <c r="I45" vm="710">
        <f ca="1"/>
        <v>166.8</v>
      </c>
      <c r="J45" vm="711">
        <f ca="1"/>
        <v>504.2</v>
      </c>
      <c r="K45" vm="712">
        <f ca="1"/>
        <v>29.2</v>
      </c>
      <c r="L45" vm="713">
        <f ca="1"/>
        <v>186.14</v>
      </c>
      <c r="M45" vm="714">
        <f ca="1"/>
        <v>250.15</v>
      </c>
      <c r="N45" vm="715">
        <f ca="1"/>
        <v>23.79</v>
      </c>
      <c r="O45" vm="716">
        <f ca="1"/>
        <v>581</v>
      </c>
      <c r="Q45" s="4">
        <f t="shared" ca="1" si="9"/>
        <v>-2.1437578814627933E-2</v>
      </c>
      <c r="R45" s="4">
        <f t="shared" ca="1" si="0"/>
        <v>-3.2707774798927503E-2</v>
      </c>
      <c r="S45" s="4">
        <f t="shared" ca="1" si="1"/>
        <v>6.2822719449225461E-2</v>
      </c>
      <c r="T45" s="4">
        <f t="shared" ca="1" si="10"/>
        <v>-1.6786570743405393E-2</v>
      </c>
      <c r="U45" s="4">
        <f t="shared" ca="1" si="11"/>
        <v>-2.3800079333597957E-3</v>
      </c>
      <c r="V45" s="4">
        <f t="shared" ca="1" si="2"/>
        <v>3.6737692872887973E-3</v>
      </c>
      <c r="W45" s="4">
        <f t="shared" ca="1" si="3"/>
        <v>-8.1493707447904962E-3</v>
      </c>
      <c r="X45" s="4">
        <f t="shared" ca="1" si="4"/>
        <v>-4.7771337197681452E-2</v>
      </c>
      <c r="Y45" s="4">
        <f t="shared" ca="1" si="5"/>
        <v>-3.4020469943779719E-2</v>
      </c>
      <c r="Z45" s="4">
        <f t="shared" ca="1" si="6"/>
        <v>-6.4037820994949923E-2</v>
      </c>
      <c r="AA45" s="4">
        <f t="shared" ca="1" si="7"/>
        <v>-1.188546731496487E-2</v>
      </c>
      <c r="AB45" s="4">
        <f t="shared" ca="1" si="12"/>
        <v>-7.4698795180722866E-2</v>
      </c>
      <c r="AC45" s="4">
        <f t="shared" ca="1" si="13"/>
        <v>3.897685749086488E-2</v>
      </c>
      <c r="AD45" s="4"/>
      <c r="AE45" s="2" cm="1">
        <f t="array" aca="1" ref="AE45" ca="1">SUMPRODUCT(Q45:AB45,TRANSPOSE(Insights.!$H$4:$H$15))</f>
        <v>-2.1880582092917083E-2</v>
      </c>
      <c r="AG45" s="10" vm="702">
        <f ca="1"/>
        <v>45719</v>
      </c>
      <c r="AH45" s="1" vm="717">
        <f ca="1"/>
        <v>106.69</v>
      </c>
      <c r="AI45" s="2">
        <f t="shared" ca="1" si="8"/>
        <v>-3.0087168431905509E-2</v>
      </c>
      <c r="AJ45" s="1" vm="718">
        <f ca="1"/>
        <v>105.75</v>
      </c>
      <c r="AK45" s="2">
        <f t="shared" ca="1" si="14"/>
        <v>-3.3475177304964632E-2</v>
      </c>
      <c r="AL45" s="1" vm="719">
        <f ca="1"/>
        <v>55.6</v>
      </c>
      <c r="AM45" s="2">
        <f t="shared" ca="1" si="15"/>
        <v>-5.3956834532374875E-3</v>
      </c>
      <c r="AO45" s="9">
        <f t="shared" ca="1" si="16"/>
        <v>97.821555204086536</v>
      </c>
      <c r="AP45">
        <f t="shared" ca="1" si="17"/>
        <v>98.933605341246277</v>
      </c>
      <c r="AQ45">
        <f t="shared" ca="1" si="18"/>
        <v>100.42735042735045</v>
      </c>
      <c r="AR45">
        <f t="shared" ca="1" si="19"/>
        <v>113.36527678662455</v>
      </c>
      <c r="AT45" s="21">
        <f ca="1">MAX($AO$3:AO46)</f>
        <v>106.96839029133979</v>
      </c>
      <c r="AU45" s="2">
        <f t="shared" ca="1" si="20"/>
        <v>-8.5509701158827167E-2</v>
      </c>
    </row>
    <row r="46" spans="1:47" x14ac:dyDescent="0.25">
      <c r="A46" vm="720">
        <f ca="1"/>
        <v>45720</v>
      </c>
      <c r="B46" vm="721">
        <f ca="1"/>
        <v>109.28</v>
      </c>
      <c r="C46" vm="722">
        <f ca="1"/>
        <v>170.6</v>
      </c>
      <c r="D46" vm="723">
        <f ca="1"/>
        <v>335.05</v>
      </c>
      <c r="E46" vm="724">
        <f ca="1"/>
        <v>270.60000000000002</v>
      </c>
      <c r="F46" vm="725">
        <f ca="1"/>
        <v>192.3</v>
      </c>
      <c r="G46" vm="726">
        <f ca="1"/>
        <v>123.5</v>
      </c>
      <c r="H46" vm="727">
        <f ca="1"/>
        <v>365.8</v>
      </c>
      <c r="I46" vm="728">
        <f ca="1"/>
        <v>164</v>
      </c>
      <c r="J46" vm="312">
        <f ca="1"/>
        <v>503</v>
      </c>
      <c r="K46" vm="712">
        <f ca="1"/>
        <v>29.2</v>
      </c>
      <c r="L46" vm="729">
        <f ca="1"/>
        <v>174.22</v>
      </c>
      <c r="M46" vm="730">
        <f ca="1"/>
        <v>238.2</v>
      </c>
      <c r="N46" vm="731">
        <f ca="1"/>
        <v>23.28</v>
      </c>
      <c r="O46" vm="732">
        <f ca="1"/>
        <v>537.6</v>
      </c>
      <c r="Q46" s="4">
        <f t="shared" ca="1" si="9"/>
        <v>3.9089347079037884E-2</v>
      </c>
      <c r="R46" s="4">
        <f t="shared" ca="1" si="0"/>
        <v>1.4781966001478075E-3</v>
      </c>
      <c r="S46" s="4">
        <f t="shared" ca="1" si="1"/>
        <v>-4.8178137651821884E-2</v>
      </c>
      <c r="T46" s="4">
        <f t="shared" ca="1" si="10"/>
        <v>-1.4756097560975512E-2</v>
      </c>
      <c r="U46" s="4">
        <f t="shared" ca="1" si="11"/>
        <v>-4.045725646123266E-2</v>
      </c>
      <c r="V46" s="4">
        <f t="shared" ca="1" si="2"/>
        <v>-3.6603221083455484E-3</v>
      </c>
      <c r="W46" s="4">
        <f t="shared" ca="1" si="3"/>
        <v>5.3042121684867549E-3</v>
      </c>
      <c r="X46" s="4">
        <f t="shared" ca="1" si="4"/>
        <v>-1.9311502938706981E-2</v>
      </c>
      <c r="Y46" s="4">
        <f t="shared" ca="1" si="5"/>
        <v>-2.6861662438442013E-2</v>
      </c>
      <c r="Z46" s="4">
        <f t="shared" ca="1" si="6"/>
        <v>-4.59189530478743E-4</v>
      </c>
      <c r="AA46" s="4">
        <f t="shared" ca="1" si="7"/>
        <v>1.4488791689447833E-2</v>
      </c>
      <c r="AB46" s="4">
        <f t="shared" ca="1" si="12"/>
        <v>-1.3206845238095233E-2</v>
      </c>
      <c r="AC46" s="4">
        <f t="shared" ca="1" si="13"/>
        <v>-1.1723329425555873E-3</v>
      </c>
      <c r="AD46" s="4"/>
      <c r="AE46" s="2" cm="1">
        <f t="array" aca="1" ref="AE46" ca="1">SUMPRODUCT(Q46:AB46,TRANSPOSE(Insights.!$H$4:$H$15))</f>
        <v>-8.8922627369680662E-3</v>
      </c>
      <c r="AG46" s="10" vm="720">
        <f ca="1"/>
        <v>45720</v>
      </c>
      <c r="AH46" s="1" vm="733">
        <f ca="1"/>
        <v>103.48</v>
      </c>
      <c r="AI46" s="2">
        <f t="shared" ca="1" si="8"/>
        <v>-1.2707769617317344E-2</v>
      </c>
      <c r="AJ46" s="1" vm="734">
        <f ca="1"/>
        <v>102.21</v>
      </c>
      <c r="AK46" s="2">
        <f t="shared" ca="1" si="14"/>
        <v>-1.4333235495548324E-2</v>
      </c>
      <c r="AL46" s="1" vm="735">
        <f ca="1"/>
        <v>55.3</v>
      </c>
      <c r="AM46" s="2">
        <f t="shared" ca="1" si="15"/>
        <v>9.584086799276692E-3</v>
      </c>
      <c r="AO46" s="9">
        <f t="shared" ca="1" si="16"/>
        <v>95.681162634986705</v>
      </c>
      <c r="AP46">
        <f t="shared" ca="1" si="17"/>
        <v>95.956973293768527</v>
      </c>
      <c r="AQ46">
        <f t="shared" ca="1" si="18"/>
        <v>97.065527065527078</v>
      </c>
      <c r="AR46">
        <f t="shared" ca="1" si="19"/>
        <v>112.75359363849527</v>
      </c>
      <c r="AT46" s="21">
        <f ca="1">MAX($AO$3:AO47)</f>
        <v>106.96839029133979</v>
      </c>
      <c r="AU46" s="2">
        <f t="shared" ca="1" si="20"/>
        <v>-0.10551928121579768</v>
      </c>
    </row>
    <row r="47" spans="1:47" x14ac:dyDescent="0.25">
      <c r="A47" vm="736">
        <f ca="1"/>
        <v>45721</v>
      </c>
      <c r="B47" vm="703">
        <f ca="1"/>
        <v>108.88</v>
      </c>
      <c r="C47" vm="737">
        <f ca="1"/>
        <v>170.4</v>
      </c>
      <c r="D47" vm="738">
        <f ca="1"/>
        <v>326.05</v>
      </c>
      <c r="E47" vm="739">
        <f ca="1"/>
        <v>271</v>
      </c>
      <c r="F47" vm="740">
        <f ca="1"/>
        <v>193.32</v>
      </c>
      <c r="G47" vm="741">
        <f ca="1"/>
        <v>117.55</v>
      </c>
      <c r="H47" vm="742">
        <f ca="1"/>
        <v>371.1</v>
      </c>
      <c r="I47" vm="743">
        <f ca="1"/>
        <v>161.58000000000001</v>
      </c>
      <c r="J47" vm="744">
        <f ca="1"/>
        <v>482.65</v>
      </c>
      <c r="K47" vm="745">
        <f ca="1"/>
        <v>28.8</v>
      </c>
      <c r="L47" vm="746">
        <f ca="1"/>
        <v>174.14</v>
      </c>
      <c r="M47" vm="747">
        <f ca="1"/>
        <v>233.6</v>
      </c>
      <c r="N47" vm="748">
        <f ca="1"/>
        <v>24.19</v>
      </c>
      <c r="O47" vm="749">
        <f ca="1"/>
        <v>530.5</v>
      </c>
      <c r="Q47" s="4">
        <f t="shared" ca="1" si="9"/>
        <v>-0.15667631252583725</v>
      </c>
      <c r="R47" s="4">
        <f t="shared" ca="1" si="0"/>
        <v>-2.1402214022140265E-2</v>
      </c>
      <c r="S47" s="4">
        <f t="shared" ca="1" si="1"/>
        <v>-0.10633772862611657</v>
      </c>
      <c r="T47" s="4">
        <f t="shared" ca="1" si="10"/>
        <v>3.7133308577774748E-4</v>
      </c>
      <c r="U47" s="4">
        <f t="shared" ca="1" si="11"/>
        <v>-1.6885942194136527E-2</v>
      </c>
      <c r="V47" s="4">
        <f t="shared" ca="1" si="2"/>
        <v>-5.6024981631153548E-2</v>
      </c>
      <c r="W47" s="4">
        <f t="shared" ca="1" si="3"/>
        <v>-4.3037450858679827E-2</v>
      </c>
      <c r="X47" s="4">
        <f t="shared" ca="1" si="4"/>
        <v>-2.696917808219168E-2</v>
      </c>
      <c r="Y47" s="4">
        <f t="shared" ca="1" si="5"/>
        <v>-2.4382763379849681E-2</v>
      </c>
      <c r="Z47" s="4">
        <f t="shared" ca="1" si="6"/>
        <v>-2.8023429424600899E-2</v>
      </c>
      <c r="AA47" s="4">
        <f t="shared" ca="1" si="7"/>
        <v>-8.3535435192670926E-3</v>
      </c>
      <c r="AB47" s="4">
        <f t="shared" ca="1" si="12"/>
        <v>-3.5815268614514117E-3</v>
      </c>
      <c r="AC47" s="4">
        <f t="shared" ca="1" si="13"/>
        <v>-3.9906103286384997E-2</v>
      </c>
      <c r="AD47" s="4"/>
      <c r="AE47" s="2" cm="1">
        <f t="array" aca="1" ref="AE47" ca="1">SUMPRODUCT(Q47:AB47,TRANSPOSE(Insights.!$H$4:$H$15))</f>
        <v>-3.4907381299842798E-2</v>
      </c>
      <c r="AG47" s="10" vm="736">
        <f ca="1"/>
        <v>45721</v>
      </c>
      <c r="AH47" s="1" vm="750">
        <f ca="1"/>
        <v>102.16500000000001</v>
      </c>
      <c r="AI47" s="2">
        <f t="shared" ca="1" si="8"/>
        <v>-1.502471492194013E-2</v>
      </c>
      <c r="AJ47" s="1" vm="751">
        <f ca="1"/>
        <v>100.745</v>
      </c>
      <c r="AK47" s="2">
        <f t="shared" ca="1" si="14"/>
        <v>2.9778152761923415E-3</v>
      </c>
      <c r="AL47" s="1" vm="752">
        <f ca="1"/>
        <v>55.83</v>
      </c>
      <c r="AM47" s="2">
        <f t="shared" ca="1" si="15"/>
        <v>-1.2000716460684235E-2</v>
      </c>
      <c r="AO47" s="9">
        <f t="shared" ca="1" si="16"/>
        <v>94.830340597857827</v>
      </c>
      <c r="AP47">
        <f t="shared" ca="1" si="17"/>
        <v>94.73757418397625</v>
      </c>
      <c r="AQ47">
        <f t="shared" ca="1" si="18"/>
        <v>95.674264007597358</v>
      </c>
      <c r="AR47">
        <f t="shared" ca="1" si="19"/>
        <v>113.83423386685699</v>
      </c>
      <c r="AT47" s="21">
        <f ca="1">MAX($AO$3:AO48)</f>
        <v>106.96839029133979</v>
      </c>
      <c r="AU47" s="2">
        <f t="shared" ca="1" si="20"/>
        <v>-0.11347323878037885</v>
      </c>
    </row>
    <row r="48" spans="1:47" x14ac:dyDescent="0.25">
      <c r="A48" vm="753">
        <f ca="1"/>
        <v>45722</v>
      </c>
      <c r="B48" vm="754">
        <f ca="1"/>
        <v>102.78</v>
      </c>
      <c r="C48" vm="755">
        <f ca="1"/>
        <v>163.6</v>
      </c>
      <c r="D48" vm="756">
        <f ca="1"/>
        <v>318.10000000000002</v>
      </c>
      <c r="E48" vm="757">
        <f ca="1"/>
        <v>265.2</v>
      </c>
      <c r="F48" vm="758">
        <f ca="1"/>
        <v>185</v>
      </c>
      <c r="G48" vm="68">
        <f ca="1"/>
        <v>105.05</v>
      </c>
      <c r="H48" vm="759">
        <f ca="1"/>
        <v>368</v>
      </c>
      <c r="I48" vm="760">
        <f ca="1"/>
        <v>161.63999999999999</v>
      </c>
      <c r="J48" vm="761">
        <f ca="1"/>
        <v>474.5</v>
      </c>
      <c r="K48" vm="114">
        <f ca="1"/>
        <v>25.2</v>
      </c>
      <c r="L48" vm="762">
        <f ca="1"/>
        <v>169.26</v>
      </c>
      <c r="M48" vm="763">
        <f ca="1"/>
        <v>227.3</v>
      </c>
      <c r="N48" vm="764">
        <f ca="1"/>
        <v>20.399999999999999</v>
      </c>
      <c r="O48" vm="765">
        <f ca="1"/>
        <v>528.6</v>
      </c>
      <c r="Q48" s="4">
        <f t="shared" ca="1" si="9"/>
        <v>2.2549019607843279E-2</v>
      </c>
      <c r="R48" s="4">
        <f t="shared" ca="1" si="0"/>
        <v>-2.1116138763197512E-2</v>
      </c>
      <c r="S48" s="4">
        <f t="shared" ca="1" si="1"/>
        <v>9.043312708234108E-3</v>
      </c>
      <c r="T48" s="4">
        <f t="shared" ca="1" si="10"/>
        <v>6.06285572878007E-3</v>
      </c>
      <c r="U48" s="4">
        <f t="shared" ca="1" si="11"/>
        <v>-3.0031612223393012E-2</v>
      </c>
      <c r="V48" s="4">
        <f t="shared" ca="1" si="2"/>
        <v>1.1675423234092319E-2</v>
      </c>
      <c r="W48" s="4">
        <f t="shared" ca="1" si="3"/>
        <v>-9.513513513513483E-3</v>
      </c>
      <c r="X48" s="4">
        <f t="shared" ca="1" si="4"/>
        <v>-1.8917729872415356E-2</v>
      </c>
      <c r="Y48" s="4">
        <f t="shared" ca="1" si="5"/>
        <v>-2.0433825840932007E-3</v>
      </c>
      <c r="Z48" s="4">
        <f t="shared" ca="1" si="6"/>
        <v>8.862105636299189E-3</v>
      </c>
      <c r="AA48" s="4">
        <f t="shared" ca="1" si="7"/>
        <v>-1.3043478260869601E-2</v>
      </c>
      <c r="AB48" s="4">
        <f t="shared" ca="1" si="12"/>
        <v>-0.10688611426409378</v>
      </c>
      <c r="AC48" s="4">
        <f t="shared" ca="1" si="13"/>
        <v>-2.3227383863080542E-2</v>
      </c>
      <c r="AD48" s="4"/>
      <c r="AE48" s="2" cm="1">
        <f t="array" aca="1" ref="AE48" ca="1">SUMPRODUCT(Q48:AB48,TRANSPOSE(Insights.!$H$4:$H$15))</f>
        <v>-1.3279142285786635E-2</v>
      </c>
      <c r="AG48" s="10" vm="753">
        <f ca="1"/>
        <v>45722</v>
      </c>
      <c r="AH48" s="1" vm="766">
        <f ca="1"/>
        <v>100.63</v>
      </c>
      <c r="AI48" s="2">
        <f t="shared" ca="1" si="8"/>
        <v>3.4284010732386072E-3</v>
      </c>
      <c r="AJ48" s="1" vm="767">
        <f ca="1"/>
        <v>101.045</v>
      </c>
      <c r="AK48" s="2">
        <f t="shared" ca="1" si="14"/>
        <v>-1.8556088871295007E-2</v>
      </c>
      <c r="AL48" s="1" vm="768">
        <f ca="1"/>
        <v>55.16</v>
      </c>
      <c r="AM48" s="2">
        <f t="shared" ca="1" si="15"/>
        <v>4.1696881798405361E-3</v>
      </c>
      <c r="AO48" s="9">
        <f t="shared" ca="1" si="16"/>
        <v>91.520061739814437</v>
      </c>
      <c r="AP48">
        <f t="shared" ca="1" si="17"/>
        <v>93.314169139465847</v>
      </c>
      <c r="AQ48">
        <f t="shared" ca="1" si="18"/>
        <v>95.959164292497647</v>
      </c>
      <c r="AR48">
        <f t="shared" ca="1" si="19"/>
        <v>112.46814150270163</v>
      </c>
      <c r="AT48" s="21">
        <f ca="1">MAX($AO$3:AO49)</f>
        <v>106.96839029133979</v>
      </c>
      <c r="AU48" s="2">
        <f t="shared" ca="1" si="20"/>
        <v>-0.14441956646678689</v>
      </c>
    </row>
    <row r="49" spans="1:47" x14ac:dyDescent="0.25">
      <c r="A49" vm="769">
        <f ca="1"/>
        <v>45723</v>
      </c>
      <c r="B49" vm="770">
        <f ca="1"/>
        <v>103.98</v>
      </c>
      <c r="C49" vm="771">
        <f ca="1"/>
        <v>159.80000000000001</v>
      </c>
      <c r="D49" vm="772">
        <f ca="1"/>
        <v>317.45</v>
      </c>
      <c r="E49" vm="773">
        <f ca="1"/>
        <v>259.60000000000002</v>
      </c>
      <c r="F49" vm="774">
        <f ca="1"/>
        <v>183.24</v>
      </c>
      <c r="G49" vm="775">
        <f ca="1"/>
        <v>106</v>
      </c>
      <c r="H49" vm="776">
        <f ca="1"/>
        <v>363.2</v>
      </c>
      <c r="I49" vm="777">
        <f ca="1"/>
        <v>162.62</v>
      </c>
      <c r="J49" vm="778">
        <f ca="1"/>
        <v>460.25</v>
      </c>
      <c r="K49" vm="779">
        <f ca="1"/>
        <v>24.6</v>
      </c>
      <c r="L49" vm="780">
        <f ca="1"/>
        <v>170.76</v>
      </c>
      <c r="M49" vm="781">
        <f ca="1"/>
        <v>223</v>
      </c>
      <c r="N49" vm="782">
        <f ca="1"/>
        <v>20.86</v>
      </c>
      <c r="O49" vm="783">
        <f ca="1"/>
        <v>472.1</v>
      </c>
      <c r="Q49" s="4">
        <f t="shared" ca="1" si="9"/>
        <v>2.0613614573346206E-2</v>
      </c>
      <c r="R49" s="4">
        <f t="shared" ca="1" si="0"/>
        <v>-3.505392912172578E-2</v>
      </c>
      <c r="S49" s="4">
        <f t="shared" ca="1" si="1"/>
        <v>-5.0943396226415194E-2</v>
      </c>
      <c r="T49" s="4">
        <f t="shared" ca="1" si="10"/>
        <v>3.4436108719715364E-3</v>
      </c>
      <c r="U49" s="4">
        <f t="shared" ca="1" si="11"/>
        <v>-2.1944595328625804E-2</v>
      </c>
      <c r="V49" s="4">
        <f t="shared" ca="1" si="2"/>
        <v>-5.1067512983266061E-2</v>
      </c>
      <c r="W49" s="4">
        <f t="shared" ca="1" si="3"/>
        <v>-2.0519537218947947E-2</v>
      </c>
      <c r="X49" s="4">
        <f t="shared" ca="1" si="4"/>
        <v>-3.9461883408071774E-2</v>
      </c>
      <c r="Y49" s="4">
        <f t="shared" ca="1" si="5"/>
        <v>-1.0395337848480124E-2</v>
      </c>
      <c r="Z49" s="4">
        <f t="shared" ca="1" si="6"/>
        <v>-6.5589130944014862E-3</v>
      </c>
      <c r="AA49" s="4">
        <f t="shared" ca="1" si="7"/>
        <v>-3.1387665198237769E-2</v>
      </c>
      <c r="AB49" s="4">
        <f t="shared" ca="1" si="12"/>
        <v>-2.880745604744761E-2</v>
      </c>
      <c r="AC49" s="4">
        <f t="shared" ca="1" si="13"/>
        <v>-1.7521902377972576E-2</v>
      </c>
      <c r="AD49" s="4"/>
      <c r="AE49" s="2" cm="1">
        <f t="array" aca="1" ref="AE49" ca="1">SUMPRODUCT(Q49:AB49,TRANSPOSE(Insights.!$H$4:$H$15))</f>
        <v>-2.1673751417799009E-2</v>
      </c>
      <c r="AG49" s="10" vm="769">
        <f ca="1"/>
        <v>45723</v>
      </c>
      <c r="AH49" s="1" vm="784">
        <f ca="1"/>
        <v>100.97499999999999</v>
      </c>
      <c r="AI49" s="2">
        <f t="shared" ca="1" si="8"/>
        <v>-3.1126516464471399E-2</v>
      </c>
      <c r="AJ49" s="1" vm="785">
        <f ca="1"/>
        <v>99.17</v>
      </c>
      <c r="AK49" s="2">
        <f t="shared" ca="1" si="14"/>
        <v>-7.4619340526368427E-3</v>
      </c>
      <c r="AL49" s="1" vm="786">
        <f ca="1"/>
        <v>55.39</v>
      </c>
      <c r="AM49" s="2">
        <f t="shared" ca="1" si="15"/>
        <v>-2.5455858458205527E-2</v>
      </c>
      <c r="AO49" s="9">
        <f t="shared" ca="1" si="16"/>
        <v>90.304753817967466</v>
      </c>
      <c r="AP49">
        <f t="shared" ca="1" si="17"/>
        <v>93.634087537091958</v>
      </c>
      <c r="AQ49">
        <f t="shared" ca="1" si="18"/>
        <v>94.178537511870857</v>
      </c>
      <c r="AR49">
        <f t="shared" ca="1" si="19"/>
        <v>112.93709858293407</v>
      </c>
      <c r="AT49" s="21">
        <f ca="1">MAX($AO$3:AO50)</f>
        <v>106.96839029133979</v>
      </c>
      <c r="AU49" s="2">
        <f t="shared" ca="1" si="20"/>
        <v>-0.15578094078060944</v>
      </c>
    </row>
    <row r="50" spans="1:47" x14ac:dyDescent="0.25">
      <c r="A50" vm="787">
        <f ca="1"/>
        <v>45726</v>
      </c>
      <c r="B50" vm="788">
        <f ca="1"/>
        <v>98.67</v>
      </c>
      <c r="C50" vm="541">
        <f ca="1"/>
        <v>157</v>
      </c>
      <c r="D50" vm="789">
        <f ca="1"/>
        <v>314.14999999999998</v>
      </c>
      <c r="E50" vm="790">
        <f ca="1"/>
        <v>250.5</v>
      </c>
      <c r="F50" vm="791">
        <f ca="1"/>
        <v>179.48</v>
      </c>
      <c r="G50" vm="792">
        <f ca="1"/>
        <v>100.6</v>
      </c>
      <c r="H50" vm="793">
        <f ca="1"/>
        <v>351.8</v>
      </c>
      <c r="I50" vm="794">
        <f ca="1"/>
        <v>163.18</v>
      </c>
      <c r="J50" vm="795">
        <f ca="1"/>
        <v>450.15</v>
      </c>
      <c r="K50" vm="796">
        <f ca="1"/>
        <v>24.2</v>
      </c>
      <c r="L50" vm="797">
        <f ca="1"/>
        <v>169.64</v>
      </c>
      <c r="M50" vm="798">
        <f ca="1"/>
        <v>214.2</v>
      </c>
      <c r="N50" vm="799">
        <f ca="1"/>
        <v>21.29</v>
      </c>
      <c r="O50" vm="800">
        <f ca="1"/>
        <v>458.5</v>
      </c>
      <c r="Q50" s="4">
        <f t="shared" ca="1" si="9"/>
        <v>-2.9121653358384125E-2</v>
      </c>
      <c r="R50" s="4">
        <f t="shared" ca="1" si="0"/>
        <v>1.5369261477045981E-2</v>
      </c>
      <c r="S50" s="4">
        <f t="shared" ca="1" si="1"/>
        <v>4.1749502982107334E-2</v>
      </c>
      <c r="T50" s="4">
        <f t="shared" ca="1" si="10"/>
        <v>-2.9537933570290442E-2</v>
      </c>
      <c r="U50" s="4">
        <f t="shared" ca="1" si="11"/>
        <v>-1.4995001666111341E-2</v>
      </c>
      <c r="V50" s="4">
        <f t="shared" ca="1" si="2"/>
        <v>8.5132259045301861E-3</v>
      </c>
      <c r="W50" s="4">
        <f t="shared" ca="1" si="3"/>
        <v>8.9146422999775154E-4</v>
      </c>
      <c r="X50" s="4">
        <f t="shared" ca="1" si="4"/>
        <v>-1.7973856209150263E-2</v>
      </c>
      <c r="Y50" s="4">
        <f t="shared" ca="1" si="5"/>
        <v>-3.5174279802641872E-2</v>
      </c>
      <c r="Z50" s="4">
        <f t="shared" ca="1" si="6"/>
        <v>3.3364772459325787E-2</v>
      </c>
      <c r="AA50" s="4">
        <f t="shared" ca="1" si="7"/>
        <v>-9.5224559408755294E-3</v>
      </c>
      <c r="AB50" s="4">
        <f t="shared" ca="1" si="12"/>
        <v>1.9411123227917049E-2</v>
      </c>
      <c r="AC50" s="4">
        <f t="shared" ca="1" si="13"/>
        <v>7.6433121019108263E-3</v>
      </c>
      <c r="AD50" s="4"/>
      <c r="AE50" s="2" cm="1">
        <f t="array" aca="1" ref="AE50" ca="1">SUMPRODUCT(Q50:AB50,TRANSPOSE(Insights.!$H$4:$H$15))</f>
        <v>-7.1030183847548218E-4</v>
      </c>
      <c r="AG50" s="10" vm="787">
        <f ca="1"/>
        <v>45726</v>
      </c>
      <c r="AH50" s="1" vm="801">
        <f ca="1"/>
        <v>97.831999999999994</v>
      </c>
      <c r="AI50" s="2">
        <f t="shared" ca="1" si="8"/>
        <v>-8.9132390219969215E-3</v>
      </c>
      <c r="AJ50" s="1" vm="802">
        <f ca="1"/>
        <v>98.43</v>
      </c>
      <c r="AK50" s="2">
        <f t="shared" ca="1" si="14"/>
        <v>-2.0725388601036343E-2</v>
      </c>
      <c r="AL50" s="1" vm="466">
        <f ca="1"/>
        <v>53.98</v>
      </c>
      <c r="AM50" s="2">
        <f t="shared" ca="1" si="15"/>
        <v>-2.2230455724341347E-3</v>
      </c>
      <c r="AO50" s="9">
        <f t="shared" ca="1" si="16"/>
        <v>88.347511031871306</v>
      </c>
      <c r="AP50">
        <f t="shared" ca="1" si="17"/>
        <v>90.719584569732902</v>
      </c>
      <c r="AQ50">
        <f t="shared" ca="1" si="18"/>
        <v>93.475783475783487</v>
      </c>
      <c r="AR50">
        <f t="shared" ca="1" si="19"/>
        <v>110.0621877867265</v>
      </c>
      <c r="AT50" s="21">
        <f ca="1">MAX($AO$3:AO51)</f>
        <v>106.96839029133979</v>
      </c>
      <c r="AU50" s="2">
        <f t="shared" ca="1" si="20"/>
        <v>-0.17407833481229862</v>
      </c>
    </row>
    <row r="51" spans="1:47" x14ac:dyDescent="0.25">
      <c r="A51" vm="803">
        <f ca="1"/>
        <v>45727</v>
      </c>
      <c r="B51" vm="804">
        <f ca="1"/>
        <v>99.51</v>
      </c>
      <c r="C51" vm="805">
        <f ca="1"/>
        <v>158.19999999999999</v>
      </c>
      <c r="D51" vm="806">
        <f ca="1"/>
        <v>303.10000000000002</v>
      </c>
      <c r="E51" vm="807">
        <f ca="1"/>
        <v>254.35</v>
      </c>
      <c r="F51" vm="808">
        <f ca="1"/>
        <v>179.64</v>
      </c>
      <c r="G51" vm="809">
        <f ca="1"/>
        <v>104.8</v>
      </c>
      <c r="H51" vm="810">
        <f ca="1"/>
        <v>348.45</v>
      </c>
      <c r="I51" vm="811">
        <f ca="1"/>
        <v>158.36000000000001</v>
      </c>
      <c r="J51" vm="812">
        <f ca="1"/>
        <v>443.4</v>
      </c>
      <c r="K51" vm="813">
        <f ca="1"/>
        <v>23.6</v>
      </c>
      <c r="L51" vm="814">
        <f ca="1"/>
        <v>175.3</v>
      </c>
      <c r="M51" vm="815">
        <f ca="1"/>
        <v>210.35</v>
      </c>
      <c r="N51" vm="816">
        <f ca="1"/>
        <v>20.67</v>
      </c>
      <c r="O51" vm="817">
        <f ca="1"/>
        <v>467.4</v>
      </c>
      <c r="Q51" s="4">
        <f t="shared" ca="1" si="9"/>
        <v>-1.6932752781809501E-2</v>
      </c>
      <c r="R51" s="4">
        <f t="shared" ca="1" si="0"/>
        <v>3.0076666011401576E-2</v>
      </c>
      <c r="S51" s="4">
        <f t="shared" ca="1" si="1"/>
        <v>9.7328244274809128E-2</v>
      </c>
      <c r="T51" s="4">
        <f t="shared" ca="1" si="10"/>
        <v>-2.2227835311947497E-2</v>
      </c>
      <c r="U51" s="4">
        <f t="shared" ca="1" si="11"/>
        <v>-3.6084799278303104E-3</v>
      </c>
      <c r="V51" s="4">
        <f t="shared" ca="1" si="2"/>
        <v>6.7832378655411585E-2</v>
      </c>
      <c r="W51" s="4">
        <f t="shared" ca="1" si="3"/>
        <v>1.2692050768203123E-2</v>
      </c>
      <c r="X51" s="4">
        <f t="shared" ca="1" si="4"/>
        <v>4.04088424055149E-3</v>
      </c>
      <c r="Y51" s="4">
        <f t="shared" ca="1" si="5"/>
        <v>9.0729132299571802E-3</v>
      </c>
      <c r="Z51" s="4">
        <f t="shared" ca="1" si="6"/>
        <v>3.2173416999429438E-2</v>
      </c>
      <c r="AA51" s="4">
        <f t="shared" ca="1" si="7"/>
        <v>6.0266896254843605E-3</v>
      </c>
      <c r="AB51" s="4">
        <f t="shared" ca="1" si="12"/>
        <v>5.2096705177578251E-2</v>
      </c>
      <c r="AC51" s="4">
        <f t="shared" ca="1" si="13"/>
        <v>2.7812895069532217E-2</v>
      </c>
      <c r="AD51" s="4"/>
      <c r="AE51" s="2" cm="1">
        <f t="array" aca="1" ref="AE51" ca="1">SUMPRODUCT(Q51:AB51,TRANSPOSE(Insights.!$H$4:$H$15))</f>
        <v>1.9686412628614251E-2</v>
      </c>
      <c r="AG51" s="10" vm="803">
        <f ca="1"/>
        <v>45727</v>
      </c>
      <c r="AH51" s="1" vm="818">
        <f ca="1"/>
        <v>96.96</v>
      </c>
      <c r="AI51" s="2">
        <f t="shared" ca="1" si="8"/>
        <v>5.5899339933993542E-3</v>
      </c>
      <c r="AJ51" s="1" vm="819">
        <f ca="1"/>
        <v>96.39</v>
      </c>
      <c r="AK51" s="2">
        <f t="shared" ca="1" si="14"/>
        <v>1.0426392779333993E-2</v>
      </c>
      <c r="AL51" s="1" vm="820">
        <f ca="1"/>
        <v>53.86</v>
      </c>
      <c r="AM51" s="2">
        <f t="shared" ca="1" si="15"/>
        <v>2.2279985146675951E-3</v>
      </c>
      <c r="AO51" s="9">
        <f t="shared" ca="1" si="16"/>
        <v>88.284757632360638</v>
      </c>
      <c r="AP51">
        <f t="shared" ca="1" si="17"/>
        <v>89.91097922848661</v>
      </c>
      <c r="AQ51">
        <f t="shared" ca="1" si="18"/>
        <v>91.538461538461547</v>
      </c>
      <c r="AR51">
        <f t="shared" ca="1" si="19"/>
        <v>109.8175145274748</v>
      </c>
      <c r="AT51" s="21">
        <f ca="1">MAX($AO$3:AO52)</f>
        <v>106.96839029133979</v>
      </c>
      <c r="AU51" s="2">
        <f t="shared" ca="1" si="20"/>
        <v>-0.17466498848951817</v>
      </c>
    </row>
    <row r="52" spans="1:47" x14ac:dyDescent="0.25">
      <c r="A52" vm="821">
        <f ca="1"/>
        <v>45728</v>
      </c>
      <c r="B52" vm="231">
        <f ca="1"/>
        <v>106.26</v>
      </c>
      <c r="C52" vm="822">
        <f ca="1"/>
        <v>162.6</v>
      </c>
      <c r="D52" vm="22">
        <f ca="1"/>
        <v>305.85000000000002</v>
      </c>
      <c r="E52" vm="823">
        <f ca="1"/>
        <v>262</v>
      </c>
      <c r="F52" vm="824">
        <f ca="1"/>
        <v>181.92</v>
      </c>
      <c r="G52" vm="825">
        <f ca="1"/>
        <v>115</v>
      </c>
      <c r="H52" vm="826">
        <f ca="1"/>
        <v>350.55</v>
      </c>
      <c r="I52" vm="827">
        <f ca="1"/>
        <v>154.84</v>
      </c>
      <c r="J52" vm="828">
        <f ca="1"/>
        <v>441.8</v>
      </c>
      <c r="K52" vm="829">
        <f ca="1"/>
        <v>25</v>
      </c>
      <c r="L52" vm="830">
        <f ca="1"/>
        <v>180.94</v>
      </c>
      <c r="M52" vm="831">
        <f ca="1"/>
        <v>211.2</v>
      </c>
      <c r="N52" vm="832">
        <f ca="1"/>
        <v>20.32</v>
      </c>
      <c r="O52" vm="275">
        <f ca="1"/>
        <v>491.75</v>
      </c>
      <c r="Q52" s="4">
        <f t="shared" ca="1" si="9"/>
        <v>-8.3661417322835607E-3</v>
      </c>
      <c r="R52" s="4">
        <f t="shared" ca="1" si="0"/>
        <v>-4.236641221374049E-2</v>
      </c>
      <c r="S52" s="4">
        <f t="shared" ca="1" si="1"/>
        <v>-5.3043478260869525E-2</v>
      </c>
      <c r="T52" s="4">
        <f t="shared" ca="1" si="10"/>
        <v>2.1958150348746486E-3</v>
      </c>
      <c r="U52" s="4">
        <f t="shared" ca="1" si="11"/>
        <v>5.5454956994114291E-3</v>
      </c>
      <c r="V52" s="4">
        <f t="shared" ca="1" si="2"/>
        <v>5.2700922266137873E-3</v>
      </c>
      <c r="W52" s="4">
        <f t="shared" ca="1" si="3"/>
        <v>-1.6380826737027232E-2</v>
      </c>
      <c r="X52" s="4">
        <f t="shared" ca="1" si="4"/>
        <v>-2.1306818181818232E-2</v>
      </c>
      <c r="Y52" s="4">
        <f t="shared" ca="1" si="5"/>
        <v>-8.1739414745790606E-3</v>
      </c>
      <c r="Z52" s="4">
        <f t="shared" ca="1" si="6"/>
        <v>-1.7132751188239204E-2</v>
      </c>
      <c r="AA52" s="4">
        <f t="shared" ca="1" si="7"/>
        <v>-2.8526601055489653E-4</v>
      </c>
      <c r="AB52" s="4">
        <f t="shared" ca="1" si="12"/>
        <v>2.9486527707167642E-3</v>
      </c>
      <c r="AC52" s="4">
        <f t="shared" ca="1" si="13"/>
        <v>-2.4600246002460024E-2</v>
      </c>
      <c r="AD52" s="4"/>
      <c r="AE52" s="2" cm="1">
        <f t="array" aca="1" ref="AE52" ca="1">SUMPRODUCT(Q52:AB52,TRANSPOSE(Insights.!$H$4:$H$15))</f>
        <v>-1.3068395136894902E-2</v>
      </c>
      <c r="AG52" s="10" vm="821">
        <f ca="1"/>
        <v>45728</v>
      </c>
      <c r="AH52" s="1" vm="833">
        <f ca="1"/>
        <v>97.501999999999995</v>
      </c>
      <c r="AI52" s="2">
        <f t="shared" ca="1" si="8"/>
        <v>-5.8665463272546958E-3</v>
      </c>
      <c r="AJ52" s="1" vm="834">
        <f ca="1"/>
        <v>97.394999999999996</v>
      </c>
      <c r="AK52" s="2">
        <f t="shared" ca="1" si="14"/>
        <v>-6.8792032445197382E-3</v>
      </c>
      <c r="AL52" s="1" vm="466">
        <f ca="1"/>
        <v>53.98</v>
      </c>
      <c r="AM52" s="2">
        <f t="shared" ca="1" si="15"/>
        <v>-7.0396443127083153E-3</v>
      </c>
      <c r="AO52" s="9">
        <f t="shared" ca="1" si="16"/>
        <v>90.022767799928488</v>
      </c>
      <c r="AP52">
        <f t="shared" ca="1" si="17"/>
        <v>90.413575667655749</v>
      </c>
      <c r="AQ52">
        <f t="shared" ca="1" si="18"/>
        <v>92.492877492877511</v>
      </c>
      <c r="AR52">
        <f t="shared" ca="1" si="19"/>
        <v>110.0621877867265</v>
      </c>
      <c r="AT52" s="21">
        <f ca="1">MAX($AO$3:AO53)</f>
        <v>106.96839029133979</v>
      </c>
      <c r="AU52" s="2">
        <f t="shared" ca="1" si="20"/>
        <v>-0.1584171028960808</v>
      </c>
    </row>
    <row r="53" spans="1:47" x14ac:dyDescent="0.25">
      <c r="A53" vm="835">
        <f ca="1"/>
        <v>45729</v>
      </c>
      <c r="B53" vm="331">
        <f ca="1"/>
        <v>106.82</v>
      </c>
      <c r="C53" vm="836">
        <f ca="1"/>
        <v>158.6</v>
      </c>
      <c r="D53" vm="837">
        <f ca="1"/>
        <v>303.35000000000002</v>
      </c>
      <c r="E53" vm="838">
        <f ca="1"/>
        <v>250.9</v>
      </c>
      <c r="F53" vm="839">
        <f ca="1"/>
        <v>178.94</v>
      </c>
      <c r="G53" vm="840">
        <f ca="1"/>
        <v>108.9</v>
      </c>
      <c r="H53" vm="841">
        <f ca="1"/>
        <v>350.45</v>
      </c>
      <c r="I53" vm="842">
        <f ca="1"/>
        <v>155.18</v>
      </c>
      <c r="J53" vm="843">
        <f ca="1"/>
        <v>444.25</v>
      </c>
      <c r="K53" vm="829">
        <f ca="1"/>
        <v>25</v>
      </c>
      <c r="L53" vm="844">
        <f ca="1"/>
        <v>177.84</v>
      </c>
      <c r="M53" vm="845">
        <f ca="1"/>
        <v>206.7</v>
      </c>
      <c r="N53" vm="846">
        <f ca="1"/>
        <v>20.149999999999999</v>
      </c>
      <c r="O53" vm="847">
        <f ca="1"/>
        <v>493.2</v>
      </c>
      <c r="Q53" s="4">
        <f t="shared" ca="1" si="9"/>
        <v>-8.6848635235730054E-3</v>
      </c>
      <c r="R53" s="4">
        <f t="shared" ca="1" si="0"/>
        <v>2.3316062176165886E-2</v>
      </c>
      <c r="S53" s="4">
        <f t="shared" ca="1" si="1"/>
        <v>5.2800734618916545E-2</v>
      </c>
      <c r="T53" s="4">
        <f t="shared" ca="1" si="10"/>
        <v>-4.5108905786829245E-3</v>
      </c>
      <c r="U53" s="4">
        <f t="shared" ca="1" si="11"/>
        <v>4.2768711311198526E-3</v>
      </c>
      <c r="V53" s="4">
        <f t="shared" ca="1" si="2"/>
        <v>4.3624789365287464E-2</v>
      </c>
      <c r="W53" s="4">
        <f t="shared" ca="1" si="3"/>
        <v>1.6206549681457405E-2</v>
      </c>
      <c r="X53" s="4">
        <f t="shared" ca="1" si="4"/>
        <v>3.3865505563618781E-2</v>
      </c>
      <c r="Y53" s="4">
        <f t="shared" ca="1" si="5"/>
        <v>2.3075655183779631E-3</v>
      </c>
      <c r="Z53" s="4">
        <f t="shared" ca="1" si="6"/>
        <v>8.6594691857848627E-3</v>
      </c>
      <c r="AA53" s="4">
        <f t="shared" ca="1" si="7"/>
        <v>1.5408760165501523E-2</v>
      </c>
      <c r="AB53" s="4">
        <f t="shared" ca="1" si="12"/>
        <v>6.0218978102189791E-2</v>
      </c>
      <c r="AC53" s="4">
        <f t="shared" ca="1" si="13"/>
        <v>6.3051702395964249E-3</v>
      </c>
      <c r="AD53" s="4"/>
      <c r="AE53" s="2" cm="1">
        <f t="array" aca="1" ref="AE53" ca="1">SUMPRODUCT(Q53:AB53,TRANSPOSE(Insights.!$H$4:$H$15))</f>
        <v>1.9111088885000949E-2</v>
      </c>
      <c r="AG53" s="10" vm="835">
        <f ca="1"/>
        <v>45729</v>
      </c>
      <c r="AH53" s="1" vm="848">
        <f ca="1"/>
        <v>96.93</v>
      </c>
      <c r="AI53" s="2">
        <f t="shared" ca="1" si="8"/>
        <v>1.3576808005777208E-2</v>
      </c>
      <c r="AJ53" s="1" vm="849">
        <f ca="1"/>
        <v>96.724999999999994</v>
      </c>
      <c r="AK53" s="2">
        <f t="shared" ca="1" si="14"/>
        <v>1.1269061773067968E-2</v>
      </c>
      <c r="AL53" s="1" vm="850">
        <f ca="1"/>
        <v>53.6</v>
      </c>
      <c r="AM53" s="2">
        <f t="shared" ca="1" si="15"/>
        <v>1.8843283582089532E-2</v>
      </c>
      <c r="AO53" s="9">
        <f t="shared" ca="1" si="16"/>
        <v>88.846314699002079</v>
      </c>
      <c r="AP53">
        <f t="shared" ca="1" si="17"/>
        <v>89.883160237388694</v>
      </c>
      <c r="AQ53">
        <f t="shared" ca="1" si="18"/>
        <v>91.856600189933545</v>
      </c>
      <c r="AR53">
        <f t="shared" ca="1" si="19"/>
        <v>109.28738913242944</v>
      </c>
      <c r="AT53" s="21">
        <f ca="1">MAX($AO$3:AO54)</f>
        <v>106.96839029133979</v>
      </c>
      <c r="AU53" s="2">
        <f t="shared" ca="1" si="20"/>
        <v>-0.16941524073588754</v>
      </c>
    </row>
    <row r="54" spans="1:47" x14ac:dyDescent="0.25">
      <c r="A54" vm="851">
        <f ca="1"/>
        <v>45730</v>
      </c>
      <c r="B54" vm="852">
        <f ca="1"/>
        <v>111.48</v>
      </c>
      <c r="C54" vm="853">
        <f ca="1"/>
        <v>159.6</v>
      </c>
      <c r="D54" vm="88">
        <f ca="1"/>
        <v>304.05</v>
      </c>
      <c r="E54" vm="854">
        <f ca="1"/>
        <v>256.75</v>
      </c>
      <c r="F54" vm="855">
        <f ca="1"/>
        <v>181.84</v>
      </c>
      <c r="G54" vm="856">
        <f ca="1"/>
        <v>114.65</v>
      </c>
      <c r="H54" vm="857">
        <f ca="1"/>
        <v>355.85</v>
      </c>
      <c r="I54" vm="858">
        <f ca="1"/>
        <v>154.47999999999999</v>
      </c>
      <c r="J54" vm="859">
        <f ca="1"/>
        <v>446.15</v>
      </c>
      <c r="K54" vm="860">
        <f ca="1"/>
        <v>26.6</v>
      </c>
      <c r="L54" vm="861">
        <f ca="1"/>
        <v>179.38</v>
      </c>
      <c r="M54" vm="862">
        <f ca="1"/>
        <v>213.7</v>
      </c>
      <c r="N54" vm="863">
        <f ca="1"/>
        <v>19.975000000000001</v>
      </c>
      <c r="O54" vm="864">
        <f ca="1"/>
        <v>522.9</v>
      </c>
      <c r="Q54" s="4">
        <f t="shared" ca="1" si="9"/>
        <v>-1.2515644555696204E-3</v>
      </c>
      <c r="R54" s="4">
        <f t="shared" ca="1" si="0"/>
        <v>1.1684518013632683E-3</v>
      </c>
      <c r="S54" s="4">
        <f t="shared" ca="1" si="1"/>
        <v>2.1369385085041381E-2</v>
      </c>
      <c r="T54" s="4">
        <f t="shared" ca="1" si="10"/>
        <v>7.7679958570688878E-3</v>
      </c>
      <c r="U54" s="4">
        <f t="shared" ca="1" si="11"/>
        <v>1.7258769472150659E-2</v>
      </c>
      <c r="V54" s="4">
        <f t="shared" ca="1" si="2"/>
        <v>-1.8837459634015175E-2</v>
      </c>
      <c r="W54" s="4">
        <f t="shared" ca="1" si="3"/>
        <v>-1.4298284205895295E-2</v>
      </c>
      <c r="X54" s="4">
        <f t="shared" ca="1" si="4"/>
        <v>3.2756200280767978E-3</v>
      </c>
      <c r="Y54" s="4">
        <f t="shared" ca="1" si="5"/>
        <v>1.1346817957572641E-2</v>
      </c>
      <c r="Z54" s="4">
        <f t="shared" ca="1" si="6"/>
        <v>-1.8062214293678269E-2</v>
      </c>
      <c r="AA54" s="4">
        <f t="shared" ca="1" si="7"/>
        <v>-2.8101728256291203E-4</v>
      </c>
      <c r="AB54" s="4">
        <f t="shared" ca="1" si="12"/>
        <v>2.2757697456492698E-2</v>
      </c>
      <c r="AC54" s="4">
        <f t="shared" ca="1" si="13"/>
        <v>1.5037593984962516E-2</v>
      </c>
      <c r="AD54" s="4"/>
      <c r="AE54" s="2" cm="1">
        <f t="array" aca="1" ref="AE54" ca="1">SUMPRODUCT(Q54:AB54,TRANSPOSE(Insights.!$H$4:$H$15))</f>
        <v>3.056304974319567E-3</v>
      </c>
      <c r="AG54" s="10" vm="851">
        <f ca="1"/>
        <v>45730</v>
      </c>
      <c r="AH54" s="1" vm="865">
        <f ca="1"/>
        <v>98.245999999999995</v>
      </c>
      <c r="AI54" s="2">
        <f t="shared" ca="1" si="8"/>
        <v>8.4888952221973124E-3</v>
      </c>
      <c r="AJ54" s="1" vm="866">
        <f ca="1"/>
        <v>97.814999999999998</v>
      </c>
      <c r="AK54" s="2">
        <f t="shared" ca="1" si="14"/>
        <v>4.4471706793436372E-3</v>
      </c>
      <c r="AL54" s="1" vm="867">
        <f ca="1"/>
        <v>54.61</v>
      </c>
      <c r="AM54" s="2">
        <f t="shared" ca="1" si="15"/>
        <v>6.0428492950008739E-3</v>
      </c>
      <c r="AO54" s="9">
        <f t="shared" ca="1" si="16"/>
        <v>90.544264516319487</v>
      </c>
      <c r="AP54">
        <f t="shared" ca="1" si="17"/>
        <v>91.103486646884235</v>
      </c>
      <c r="AQ54">
        <f t="shared" ca="1" si="18"/>
        <v>92.891737891737918</v>
      </c>
      <c r="AR54">
        <f t="shared" ca="1" si="19"/>
        <v>111.34672239779798</v>
      </c>
      <c r="AT54" s="21">
        <f ca="1">MAX($AO$3:AO55)</f>
        <v>106.96839029133979</v>
      </c>
      <c r="AU54" s="2">
        <f t="shared" ca="1" si="20"/>
        <v>-0.15354186157506389</v>
      </c>
    </row>
    <row r="55" spans="1:47" x14ac:dyDescent="0.25">
      <c r="A55" vm="868">
        <f ca="1"/>
        <v>45733</v>
      </c>
      <c r="B55" vm="869">
        <f ca="1"/>
        <v>109.38</v>
      </c>
      <c r="C55" vm="108">
        <f ca="1"/>
        <v>162</v>
      </c>
      <c r="D55" vm="870">
        <f ca="1"/>
        <v>307.5</v>
      </c>
      <c r="E55" vm="871">
        <f ca="1"/>
        <v>257.05</v>
      </c>
      <c r="F55" vm="872">
        <f ca="1"/>
        <v>179.24</v>
      </c>
      <c r="G55" vm="873">
        <f ca="1"/>
        <v>117.1</v>
      </c>
      <c r="H55" vm="874">
        <f ca="1"/>
        <v>355.75</v>
      </c>
      <c r="I55" vm="875">
        <f ca="1"/>
        <v>155.68</v>
      </c>
      <c r="J55" vm="876">
        <f ca="1"/>
        <v>453.85</v>
      </c>
      <c r="K55" vm="877">
        <f ca="1"/>
        <v>25.6</v>
      </c>
      <c r="L55" vm="878">
        <f ca="1"/>
        <v>176.14</v>
      </c>
      <c r="M55" vm="879">
        <f ca="1"/>
        <v>214.4</v>
      </c>
      <c r="N55" vm="880">
        <f ca="1"/>
        <v>19.95</v>
      </c>
      <c r="O55" vm="881">
        <f ca="1"/>
        <v>534.79999999999995</v>
      </c>
      <c r="Q55" s="4">
        <f t="shared" ca="1" si="9"/>
        <v>-6.0150375939850287E-3</v>
      </c>
      <c r="R55" s="4">
        <f t="shared" ca="1" si="0"/>
        <v>-6.6134993191986347E-3</v>
      </c>
      <c r="S55" s="4">
        <f t="shared" ca="1" si="1"/>
        <v>-2.3484201537147698E-2</v>
      </c>
      <c r="T55" s="4">
        <f t="shared" ca="1" si="10"/>
        <v>-1.7086330935251803E-2</v>
      </c>
      <c r="U55" s="4">
        <f t="shared" ca="1" si="11"/>
        <v>-1.9499834747163214E-2</v>
      </c>
      <c r="V55" s="4">
        <f t="shared" ca="1" si="2"/>
        <v>-3.7484000731395128E-2</v>
      </c>
      <c r="W55" s="4">
        <f t="shared" ca="1" si="3"/>
        <v>-1.7741575541173837E-2</v>
      </c>
      <c r="X55" s="4">
        <f t="shared" ca="1" si="4"/>
        <v>4.6641791044765846E-4</v>
      </c>
      <c r="Y55" s="4">
        <f t="shared" ca="1" si="5"/>
        <v>-4.7154471544714749E-3</v>
      </c>
      <c r="Z55" s="4">
        <f t="shared" ca="1" si="6"/>
        <v>-1.5555807880095252E-2</v>
      </c>
      <c r="AA55" s="4">
        <f t="shared" ca="1" si="7"/>
        <v>-1.5038650737877801E-2</v>
      </c>
      <c r="AB55" s="4">
        <f t="shared" ca="1" si="12"/>
        <v>-8.9753178758413821E-3</v>
      </c>
      <c r="AC55" s="4">
        <f t="shared" ca="1" si="13"/>
        <v>-2.2222222222222143E-2</v>
      </c>
      <c r="AD55" s="4"/>
      <c r="AE55" s="2" cm="1">
        <f t="array" aca="1" ref="AE55" ca="1">SUMPRODUCT(Q55:AB55,TRANSPOSE(Insights.!$H$4:$H$15))</f>
        <v>-1.1661421587053068E-2</v>
      </c>
      <c r="AG55" s="10" vm="868">
        <f ca="1"/>
        <v>45733</v>
      </c>
      <c r="AH55" s="1" vm="882">
        <f ca="1"/>
        <v>99.08</v>
      </c>
      <c r="AI55" s="2">
        <f t="shared" ca="1" si="8"/>
        <v>-1.633023819136048E-2</v>
      </c>
      <c r="AJ55" s="1" vm="883">
        <f ca="1"/>
        <v>98.25</v>
      </c>
      <c r="AK55" s="2">
        <f t="shared" ca="1" si="14"/>
        <v>-3.918575063613261E-3</v>
      </c>
      <c r="AL55" s="1" vm="884">
        <f ca="1"/>
        <v>54.94</v>
      </c>
      <c r="AM55" s="2">
        <f t="shared" ca="1" si="15"/>
        <v>2.1842009464871914E-3</v>
      </c>
      <c r="AO55" s="9">
        <f t="shared" ca="1" si="16"/>
        <v>90.820995402356814</v>
      </c>
      <c r="AP55">
        <f t="shared" ca="1" si="17"/>
        <v>91.876854599406485</v>
      </c>
      <c r="AQ55">
        <f t="shared" ca="1" si="18"/>
        <v>93.304843304843331</v>
      </c>
      <c r="AR55">
        <f t="shared" ca="1" si="19"/>
        <v>112.01957386074017</v>
      </c>
      <c r="AT55" s="21">
        <f ca="1">MAX($AO$3:AO56)</f>
        <v>106.96839029133979</v>
      </c>
      <c r="AU55" s="2">
        <f t="shared" ca="1" si="20"/>
        <v>-0.15095482735604249</v>
      </c>
    </row>
    <row r="56" spans="1:47" x14ac:dyDescent="0.25">
      <c r="A56" vm="885">
        <f ca="1"/>
        <v>45734</v>
      </c>
      <c r="B56" vm="886">
        <f ca="1"/>
        <v>105.28</v>
      </c>
      <c r="C56" vm="208">
        <f ca="1"/>
        <v>158.4</v>
      </c>
      <c r="D56" vm="887">
        <f ca="1"/>
        <v>306.05</v>
      </c>
      <c r="E56" vm="888">
        <f ca="1"/>
        <v>255.35</v>
      </c>
      <c r="F56" vm="889">
        <f ca="1"/>
        <v>176.06</v>
      </c>
      <c r="G56" vm="890">
        <f ca="1"/>
        <v>114.35</v>
      </c>
      <c r="H56" vm="891">
        <f ca="1"/>
        <v>350.4</v>
      </c>
      <c r="I56" vm="892">
        <f ca="1"/>
        <v>153.02000000000001</v>
      </c>
      <c r="J56" vm="893">
        <f ca="1"/>
        <v>445</v>
      </c>
      <c r="K56" vm="894">
        <f ca="1"/>
        <v>24.8</v>
      </c>
      <c r="L56" vm="687">
        <f ca="1"/>
        <v>173.4</v>
      </c>
      <c r="M56" vm="235">
        <f ca="1"/>
        <v>214.5</v>
      </c>
      <c r="N56" vm="895">
        <f ca="1"/>
        <v>19.829999999999998</v>
      </c>
      <c r="O56" vm="896">
        <f ca="1"/>
        <v>530</v>
      </c>
      <c r="Q56" s="4">
        <f t="shared" ca="1" si="9"/>
        <v>-1.5128593040846239E-3</v>
      </c>
      <c r="R56" s="4">
        <f t="shared" ca="1" si="0"/>
        <v>5.0910514979438659E-3</v>
      </c>
      <c r="S56" s="4">
        <f t="shared" ca="1" si="1"/>
        <v>3.8478355924792318E-2</v>
      </c>
      <c r="T56" s="4">
        <f t="shared" ca="1" si="10"/>
        <v>8.3649196183506191E-3</v>
      </c>
      <c r="U56" s="4">
        <f t="shared" ca="1" si="11"/>
        <v>7.0786516853931225E-3</v>
      </c>
      <c r="V56" s="4">
        <f t="shared" ca="1" si="2"/>
        <v>2.4506079027355687E-2</v>
      </c>
      <c r="W56" s="4">
        <f t="shared" ca="1" si="3"/>
        <v>1.9084403044416609E-2</v>
      </c>
      <c r="X56" s="4">
        <f t="shared" ca="1" si="4"/>
        <v>2.3310023310023409E-2</v>
      </c>
      <c r="Y56" s="4">
        <f t="shared" ca="1" si="5"/>
        <v>2.2545335729455829E-2</v>
      </c>
      <c r="Z56" s="4">
        <f t="shared" ca="1" si="6"/>
        <v>2.249134948096887E-2</v>
      </c>
      <c r="AA56" s="4">
        <f t="shared" ca="1" si="7"/>
        <v>1.7836757990867591E-2</v>
      </c>
      <c r="AB56" s="4">
        <f t="shared" ca="1" si="12"/>
        <v>1.6792452830188598E-2</v>
      </c>
      <c r="AC56" s="4">
        <f t="shared" ca="1" si="13"/>
        <v>1.0101010101010166E-2</v>
      </c>
      <c r="AD56" s="4"/>
      <c r="AE56" s="2" cm="1">
        <f t="array" aca="1" ref="AE56" ca="1">SUMPRODUCT(Q56:AB56,TRANSPOSE(Insights.!$H$4:$H$15))</f>
        <v>1.5094560539592164E-2</v>
      </c>
      <c r="AG56" s="10" vm="885">
        <f ca="1"/>
        <v>45734</v>
      </c>
      <c r="AH56" s="1" vm="897">
        <f ca="1"/>
        <v>97.462000000000003</v>
      </c>
      <c r="AI56" s="2">
        <f t="shared" ca="1" si="8"/>
        <v>1.5164884775604737E-2</v>
      </c>
      <c r="AJ56" s="1" vm="898">
        <f ca="1"/>
        <v>97.864999999999995</v>
      </c>
      <c r="AK56" s="2">
        <f t="shared" ca="1" si="14"/>
        <v>1.0218157666172845E-2</v>
      </c>
      <c r="AL56" s="1" vm="899">
        <f ca="1"/>
        <v>55.06</v>
      </c>
      <c r="AM56" s="2">
        <f t="shared" ca="1" si="15"/>
        <v>7.4464220849981277E-3</v>
      </c>
      <c r="AO56" s="9">
        <f t="shared" ca="1" si="16"/>
        <v>89.761893486014117</v>
      </c>
      <c r="AP56">
        <f t="shared" ca="1" si="17"/>
        <v>90.37648367952518</v>
      </c>
      <c r="AQ56">
        <f t="shared" ca="1" si="18"/>
        <v>92.939221272554633</v>
      </c>
      <c r="AR56">
        <f t="shared" ca="1" si="19"/>
        <v>112.26424711999189</v>
      </c>
      <c r="AT56" s="21">
        <f ca="1">MAX($AO$3:AO57)</f>
        <v>106.96839029133979</v>
      </c>
      <c r="AU56" s="2">
        <f t="shared" ca="1" si="20"/>
        <v>-0.16085590106069603</v>
      </c>
    </row>
    <row r="57" spans="1:47" x14ac:dyDescent="0.25">
      <c r="A57" vm="900">
        <f ca="1"/>
        <v>45735</v>
      </c>
      <c r="B57" vm="901">
        <f ca="1"/>
        <v>107.86</v>
      </c>
      <c r="C57" vm="902">
        <f ca="1"/>
        <v>160</v>
      </c>
      <c r="D57" vm="487">
        <f ca="1"/>
        <v>312.95</v>
      </c>
      <c r="E57" vm="903">
        <f ca="1"/>
        <v>256.64999999999998</v>
      </c>
      <c r="F57" vm="904">
        <f ca="1"/>
        <v>179.42</v>
      </c>
      <c r="G57" vm="905">
        <f ca="1"/>
        <v>118.75</v>
      </c>
      <c r="H57" vm="906">
        <f ca="1"/>
        <v>356.65</v>
      </c>
      <c r="I57" vm="907">
        <f ca="1"/>
        <v>154.30000000000001</v>
      </c>
      <c r="J57" vm="908">
        <f ca="1"/>
        <v>448.15</v>
      </c>
      <c r="K57" vm="909">
        <f ca="1"/>
        <v>26</v>
      </c>
      <c r="L57" vm="910">
        <f ca="1"/>
        <v>177.3</v>
      </c>
      <c r="M57" vm="911">
        <f ca="1"/>
        <v>219.5</v>
      </c>
      <c r="N57" vm="912">
        <f ca="1"/>
        <v>19.8</v>
      </c>
      <c r="O57" vm="913">
        <f ca="1"/>
        <v>538.9</v>
      </c>
      <c r="Q57" s="4">
        <f t="shared" ca="1" si="9"/>
        <v>-4.2929292929293483E-3</v>
      </c>
      <c r="R57" s="4">
        <f t="shared" ca="1" si="0"/>
        <v>1.9481784531460988E-4</v>
      </c>
      <c r="S57" s="4">
        <f t="shared" ca="1" si="1"/>
        <v>1.7263157894736869E-2</v>
      </c>
      <c r="T57" s="4">
        <f t="shared" ca="1" si="10"/>
        <v>-1.9442644199612058E-3</v>
      </c>
      <c r="U57" s="4">
        <f t="shared" ca="1" si="11"/>
        <v>1.9747852281602141E-2</v>
      </c>
      <c r="V57" s="4">
        <f t="shared" ca="1" si="2"/>
        <v>1.483404413128131E-2</v>
      </c>
      <c r="W57" s="4">
        <f t="shared" ca="1" si="3"/>
        <v>1.3376435180025847E-3</v>
      </c>
      <c r="X57" s="4">
        <f t="shared" ca="1" si="4"/>
        <v>6.3781321184510631E-3</v>
      </c>
      <c r="Y57" s="4">
        <f t="shared" ca="1" si="5"/>
        <v>3.1953986259785072E-3</v>
      </c>
      <c r="Z57" s="4">
        <f t="shared" ca="1" si="6"/>
        <v>-8.5730400451212718E-3</v>
      </c>
      <c r="AA57" s="4">
        <f t="shared" ca="1" si="7"/>
        <v>1.4019346698446178E-4</v>
      </c>
      <c r="AB57" s="4">
        <f t="shared" ca="1" si="12"/>
        <v>1.3546112451289893E-2</v>
      </c>
      <c r="AC57" s="4">
        <f t="shared" ca="1" si="13"/>
        <v>2.1249999999999991E-2</v>
      </c>
      <c r="AD57" s="4"/>
      <c r="AE57" s="2" cm="1">
        <f t="array" aca="1" ref="AE57" ca="1">SUMPRODUCT(Q57:AB57,TRANSPOSE(Insights.!$H$4:$H$15))</f>
        <v>4.7295523030842501E-3</v>
      </c>
      <c r="AG57" s="10" vm="900">
        <f ca="1"/>
        <v>45735</v>
      </c>
      <c r="AH57" s="1" vm="914">
        <f ca="1"/>
        <v>98.94</v>
      </c>
      <c r="AI57" s="2">
        <f t="shared" ca="1" si="8"/>
        <v>-2.8299979785728624E-3</v>
      </c>
      <c r="AJ57" s="1" vm="915">
        <f ca="1"/>
        <v>98.864999999999995</v>
      </c>
      <c r="AK57" s="2">
        <f t="shared" ca="1" si="14"/>
        <v>3.2367369645476263E-3</v>
      </c>
      <c r="AL57" s="1" vm="916">
        <f ca="1"/>
        <v>55.47</v>
      </c>
      <c r="AM57" s="2">
        <f t="shared" ca="1" si="15"/>
        <v>-1.5864431224084985E-2</v>
      </c>
      <c r="AO57" s="9">
        <f t="shared" ca="1" si="16"/>
        <v>91.116809821387193</v>
      </c>
      <c r="AP57">
        <f t="shared" ca="1" si="17"/>
        <v>91.747032640949499</v>
      </c>
      <c r="AQ57">
        <f t="shared" ca="1" si="18"/>
        <v>93.888888888888928</v>
      </c>
      <c r="AR57">
        <f t="shared" ca="1" si="19"/>
        <v>113.10021408910188</v>
      </c>
      <c r="AT57" s="21">
        <f ca="1">MAX($AO$3:AO58)</f>
        <v>106.96839029133979</v>
      </c>
      <c r="AU57" s="2">
        <f t="shared" ca="1" si="20"/>
        <v>-0.14818938965781503</v>
      </c>
    </row>
    <row r="58" spans="1:47" x14ac:dyDescent="0.25">
      <c r="A58" vm="917">
        <f ca="1"/>
        <v>45736</v>
      </c>
      <c r="B58" vm="918">
        <f ca="1"/>
        <v>109.46</v>
      </c>
      <c r="C58" vm="919">
        <f ca="1"/>
        <v>163.4</v>
      </c>
      <c r="D58" vm="920">
        <f ca="1"/>
        <v>313.95</v>
      </c>
      <c r="E58" vm="921">
        <f ca="1"/>
        <v>256.7</v>
      </c>
      <c r="F58" vm="922">
        <f ca="1"/>
        <v>179.66</v>
      </c>
      <c r="G58" vm="923">
        <f ca="1"/>
        <v>120.8</v>
      </c>
      <c r="H58" vm="924">
        <f ca="1"/>
        <v>356.7</v>
      </c>
      <c r="I58" vm="110">
        <f ca="1"/>
        <v>154</v>
      </c>
      <c r="J58" vm="925">
        <f ca="1"/>
        <v>457</v>
      </c>
      <c r="K58" vm="796">
        <f ca="1"/>
        <v>24.2</v>
      </c>
      <c r="L58" vm="926">
        <f ca="1"/>
        <v>175.78</v>
      </c>
      <c r="M58" vm="927">
        <f ca="1"/>
        <v>220.9</v>
      </c>
      <c r="N58" vm="928">
        <f ca="1"/>
        <v>19.715</v>
      </c>
      <c r="O58" vm="929">
        <f ca="1"/>
        <v>546.20000000000005</v>
      </c>
      <c r="Q58" s="4">
        <f t="shared" ca="1" si="9"/>
        <v>-1.3441541973116977E-2</v>
      </c>
      <c r="R58" s="4">
        <f t="shared" ca="1" si="0"/>
        <v>3.89559797429051E-4</v>
      </c>
      <c r="S58" s="4">
        <f t="shared" ca="1" si="1"/>
        <v>-4.1390728476820016E-4</v>
      </c>
      <c r="T58" s="4">
        <f t="shared" ca="1" si="10"/>
        <v>1.4285714285713347E-3</v>
      </c>
      <c r="U58" s="4">
        <f t="shared" ca="1" si="11"/>
        <v>9.2997811816193376E-3</v>
      </c>
      <c r="V58" s="4">
        <f t="shared" ca="1" si="2"/>
        <v>-6.0295998538278939E-3</v>
      </c>
      <c r="W58" s="4">
        <f t="shared" ca="1" si="3"/>
        <v>1.1466102638316933E-2</v>
      </c>
      <c r="X58" s="4">
        <f t="shared" ca="1" si="4"/>
        <v>1.1996378451788248E-2</v>
      </c>
      <c r="Y58" s="4">
        <f t="shared" ca="1" si="5"/>
        <v>-4.1407867494824835E-3</v>
      </c>
      <c r="Z58" s="4">
        <f t="shared" ca="1" si="6"/>
        <v>7.3956081465469392E-3</v>
      </c>
      <c r="AA58" s="4">
        <f t="shared" ca="1" si="7"/>
        <v>1.33165124754695E-2</v>
      </c>
      <c r="AB58" s="4">
        <f t="shared" ca="1" si="12"/>
        <v>1.6111314536799703E-2</v>
      </c>
      <c r="AC58" s="4">
        <f t="shared" ca="1" si="13"/>
        <v>1.2239902080781739E-3</v>
      </c>
      <c r="AD58" s="4"/>
      <c r="AE58" s="2" cm="1">
        <f t="array" aca="1" ref="AE58" ca="1">SUMPRODUCT(Q58:AB58,TRANSPOSE(Insights.!$H$4:$H$15))</f>
        <v>4.2375381997337754E-3</v>
      </c>
      <c r="AG58" s="10" vm="917">
        <f ca="1"/>
        <v>45736</v>
      </c>
      <c r="AH58" s="1" vm="930">
        <f ca="1"/>
        <v>98.66</v>
      </c>
      <c r="AI58" s="2">
        <f t="shared" ca="1" si="8"/>
        <v>1.1960267585648943E-3</v>
      </c>
      <c r="AJ58" s="1" vm="931">
        <f ca="1"/>
        <v>99.185000000000002</v>
      </c>
      <c r="AK58" s="2">
        <f t="shared" ca="1" si="14"/>
        <v>-2.0668447849977456E-3</v>
      </c>
      <c r="AL58" s="1" vm="932">
        <f ca="1"/>
        <v>54.59</v>
      </c>
      <c r="AM58" s="2">
        <f t="shared" ca="1" si="15"/>
        <v>-2.7477559992673539E-3</v>
      </c>
      <c r="AO58" s="9">
        <f t="shared" ca="1" si="16"/>
        <v>91.547751539127631</v>
      </c>
      <c r="AP58">
        <f t="shared" ca="1" si="17"/>
        <v>91.487388724035554</v>
      </c>
      <c r="AQ58">
        <f t="shared" ca="1" si="18"/>
        <v>94.192782526115906</v>
      </c>
      <c r="AR58">
        <f t="shared" ca="1" si="19"/>
        <v>111.30594352125604</v>
      </c>
      <c r="AT58" s="21">
        <f ca="1">MAX($AO$3:AO59)</f>
        <v>106.96839029133979</v>
      </c>
      <c r="AU58" s="2">
        <f t="shared" ca="1" si="20"/>
        <v>-0.14416070682387949</v>
      </c>
    </row>
    <row r="59" spans="1:47" x14ac:dyDescent="0.25">
      <c r="A59" vm="933">
        <f ca="1"/>
        <v>45737</v>
      </c>
      <c r="B59" vm="934">
        <f ca="1"/>
        <v>108.8</v>
      </c>
      <c r="C59" vm="755">
        <f ca="1"/>
        <v>163.6</v>
      </c>
      <c r="D59" vm="935">
        <f ca="1"/>
        <v>312.64999999999998</v>
      </c>
      <c r="E59" vm="936">
        <f ca="1"/>
        <v>256.8</v>
      </c>
      <c r="F59" vm="937">
        <f ca="1"/>
        <v>181.72</v>
      </c>
      <c r="G59" vm="938">
        <f ca="1"/>
        <v>120.75</v>
      </c>
      <c r="H59" vm="939">
        <f ca="1"/>
        <v>361.45</v>
      </c>
      <c r="I59" vm="940">
        <f ca="1"/>
        <v>154.22</v>
      </c>
      <c r="J59" vm="941">
        <f ca="1"/>
        <v>461.25</v>
      </c>
      <c r="K59" vm="813">
        <f ca="1"/>
        <v>23.6</v>
      </c>
      <c r="L59" vm="942">
        <f ca="1"/>
        <v>177.08</v>
      </c>
      <c r="M59" vm="943">
        <f ca="1"/>
        <v>223.55</v>
      </c>
      <c r="N59" vm="944">
        <f ca="1"/>
        <v>19.45</v>
      </c>
      <c r="O59" vm="945">
        <f ca="1"/>
        <v>555</v>
      </c>
      <c r="Q59" s="4">
        <f t="shared" ca="1" si="9"/>
        <v>7.712082262210096E-4</v>
      </c>
      <c r="R59" s="4">
        <f t="shared" ca="1" si="0"/>
        <v>2.7063862928348836E-2</v>
      </c>
      <c r="S59" s="4">
        <f t="shared" ca="1" si="1"/>
        <v>2.5672877846790954E-2</v>
      </c>
      <c r="T59" s="4">
        <f t="shared" ca="1" si="10"/>
        <v>-4.2796005706133844E-3</v>
      </c>
      <c r="U59" s="4">
        <f t="shared" ca="1" si="11"/>
        <v>1.4308943089430981E-2</v>
      </c>
      <c r="V59" s="4">
        <f t="shared" ca="1" si="2"/>
        <v>3.3088235294117752E-2</v>
      </c>
      <c r="W59" s="4">
        <f t="shared" ca="1" si="3"/>
        <v>3.5659255998238937E-2</v>
      </c>
      <c r="X59" s="4">
        <f t="shared" ca="1" si="4"/>
        <v>2.1471706553343628E-2</v>
      </c>
      <c r="Y59" s="4">
        <f t="shared" ca="1" si="5"/>
        <v>2.2069406684791515E-2</v>
      </c>
      <c r="Z59" s="4">
        <f t="shared" ca="1" si="6"/>
        <v>1.1181386943754257E-2</v>
      </c>
      <c r="AA59" s="4">
        <f t="shared" ca="1" si="7"/>
        <v>6.6399225342372858E-3</v>
      </c>
      <c r="AB59" s="4">
        <f t="shared" ca="1" si="12"/>
        <v>7.2072072072071336E-3</v>
      </c>
      <c r="AC59" s="4">
        <f t="shared" ca="1" si="13"/>
        <v>2.5672371638141955E-2</v>
      </c>
      <c r="AD59" s="4"/>
      <c r="AE59" s="2" cm="1">
        <f t="array" aca="1" ref="AE59" ca="1">SUMPRODUCT(Q59:AB59,TRANSPOSE(Insights.!$H$4:$H$15))</f>
        <v>1.5630230179678638E-2</v>
      </c>
      <c r="AG59" s="10" vm="933">
        <f ca="1"/>
        <v>45737</v>
      </c>
      <c r="AH59" s="1" vm="946">
        <f ca="1"/>
        <v>98.778000000000006</v>
      </c>
      <c r="AI59" s="2">
        <f t="shared" ca="1" si="8"/>
        <v>2.041952661523827E-2</v>
      </c>
      <c r="AJ59" s="1" vm="947">
        <f ca="1"/>
        <v>98.98</v>
      </c>
      <c r="AK59" s="2">
        <f t="shared" ca="1" si="14"/>
        <v>1.7225702162052992E-2</v>
      </c>
      <c r="AL59" s="1" vm="948">
        <f ca="1"/>
        <v>54.44</v>
      </c>
      <c r="AM59" s="2">
        <f t="shared" ca="1" si="15"/>
        <v>-1.8368846436442876E-3</v>
      </c>
      <c r="AO59" s="9">
        <f t="shared" ca="1" si="16"/>
        <v>91.935688633374411</v>
      </c>
      <c r="AP59">
        <f t="shared" ca="1" si="17"/>
        <v>91.596810089020735</v>
      </c>
      <c r="AQ59">
        <f t="shared" ca="1" si="18"/>
        <v>93.998100664767378</v>
      </c>
      <c r="AR59">
        <f t="shared" ca="1" si="19"/>
        <v>111.0001019471914</v>
      </c>
      <c r="AT59" s="21">
        <f ca="1">MAX($AO$3:AO60)</f>
        <v>106.96839029133979</v>
      </c>
      <c r="AU59" s="2">
        <f t="shared" ca="1" si="20"/>
        <v>-0.14053405512621264</v>
      </c>
    </row>
    <row r="60" spans="1:47" x14ac:dyDescent="0.25">
      <c r="A60" vm="949">
        <f ca="1"/>
        <v>45740</v>
      </c>
      <c r="B60" vm="950">
        <f ca="1"/>
        <v>112.4</v>
      </c>
      <c r="C60" vm="951">
        <f ca="1"/>
        <v>167.8</v>
      </c>
      <c r="D60" vm="952">
        <f ca="1"/>
        <v>319.55</v>
      </c>
      <c r="E60" vm="953">
        <f ca="1"/>
        <v>263.75</v>
      </c>
      <c r="F60" vm="954">
        <f ca="1"/>
        <v>188.2</v>
      </c>
      <c r="G60" vm="955">
        <f ca="1"/>
        <v>123.85</v>
      </c>
      <c r="H60" vm="956">
        <f ca="1"/>
        <v>363.85</v>
      </c>
      <c r="I60" vm="957">
        <f ca="1"/>
        <v>153.56</v>
      </c>
      <c r="J60" vm="958">
        <f ca="1"/>
        <v>467.85</v>
      </c>
      <c r="K60" vm="959">
        <f ca="1"/>
        <v>27</v>
      </c>
      <c r="L60" vm="960">
        <f ca="1"/>
        <v>179.06</v>
      </c>
      <c r="M60" vm="961">
        <f ca="1"/>
        <v>228.35</v>
      </c>
      <c r="N60" vm="962">
        <f ca="1"/>
        <v>19.465</v>
      </c>
      <c r="O60" vm="963">
        <f ca="1"/>
        <v>559</v>
      </c>
      <c r="Q60" s="4">
        <f t="shared" ca="1" si="9"/>
        <v>1.2843565373747756E-2</v>
      </c>
      <c r="R60" s="4">
        <f t="shared" ca="1" si="0"/>
        <v>6.2559241706159341E-3</v>
      </c>
      <c r="S60" s="4">
        <f t="shared" ca="1" si="1"/>
        <v>-1.5744852644327678E-2</v>
      </c>
      <c r="T60" s="4">
        <f t="shared" ca="1" si="10"/>
        <v>-1.8364157332638631E-2</v>
      </c>
      <c r="U60" s="4">
        <f t="shared" ca="1" si="11"/>
        <v>6.1985679170672991E-3</v>
      </c>
      <c r="V60" s="4">
        <f t="shared" ca="1" si="2"/>
        <v>-6.7615658362989439E-3</v>
      </c>
      <c r="W60" s="4">
        <f t="shared" ca="1" si="3"/>
        <v>1.5727948990435836E-2</v>
      </c>
      <c r="X60" s="4">
        <f t="shared" ca="1" si="4"/>
        <v>1.2699802934092341E-2</v>
      </c>
      <c r="Y60" s="4">
        <f t="shared" ca="1" si="5"/>
        <v>-2.1905805038334725E-3</v>
      </c>
      <c r="Z60" s="4">
        <f t="shared" ca="1" si="6"/>
        <v>-1.4296883726125365E-2</v>
      </c>
      <c r="AA60" s="4">
        <f t="shared" ca="1" si="7"/>
        <v>7.4206403737804294E-3</v>
      </c>
      <c r="AB60" s="4">
        <f t="shared" ca="1" si="12"/>
        <v>1.9677996422182487E-2</v>
      </c>
      <c r="AC60" s="4">
        <f t="shared" ca="1" si="13"/>
        <v>-2.3837902264600697E-3</v>
      </c>
      <c r="AD60" s="4"/>
      <c r="AE60" s="2" cm="1">
        <f t="array" aca="1" ref="AE60" ca="1">SUMPRODUCT(Q60:AB60,TRANSPOSE(Insights.!$H$4:$H$15))</f>
        <v>2.861835730919741E-3</v>
      </c>
      <c r="AG60" s="10" vm="949">
        <f ca="1"/>
        <v>45740</v>
      </c>
      <c r="AH60" s="1" vm="964">
        <f ca="1"/>
        <v>100.795</v>
      </c>
      <c r="AI60" s="2">
        <f t="shared" ca="1" si="8"/>
        <v>2.8771268416092344E-3</v>
      </c>
      <c r="AJ60" s="1" vm="965">
        <f ca="1"/>
        <v>100.685</v>
      </c>
      <c r="AK60" s="2">
        <f t="shared" ca="1" si="14"/>
        <v>1.5394547350648935E-3</v>
      </c>
      <c r="AL60" s="1" vm="966">
        <f ca="1"/>
        <v>54.34</v>
      </c>
      <c r="AM60" s="2">
        <f t="shared" ca="1" si="15"/>
        <v>1.2697828487302054E-2</v>
      </c>
      <c r="AO60" s="9">
        <f t="shared" ca="1" si="16"/>
        <v>93.372664608441326</v>
      </c>
      <c r="AP60">
        <f t="shared" ca="1" si="17"/>
        <v>93.467173590504416</v>
      </c>
      <c r="AQ60">
        <f t="shared" ca="1" si="18"/>
        <v>95.617283950617335</v>
      </c>
      <c r="AR60">
        <f t="shared" ca="1" si="19"/>
        <v>110.79620756448165</v>
      </c>
      <c r="AT60" s="21">
        <f ca="1">MAX($AO$3:AO61)</f>
        <v>106.96839029133979</v>
      </c>
      <c r="AU60" s="2">
        <f t="shared" ca="1" si="20"/>
        <v>-0.12710040457624028</v>
      </c>
    </row>
    <row r="61" spans="1:47" x14ac:dyDescent="0.25">
      <c r="A61" vm="967">
        <f ca="1"/>
        <v>45741</v>
      </c>
      <c r="B61" vm="968">
        <f ca="1"/>
        <v>111.64</v>
      </c>
      <c r="C61" vm="969">
        <f ca="1"/>
        <v>167.4</v>
      </c>
      <c r="D61" vm="285">
        <f ca="1"/>
        <v>318.85000000000002</v>
      </c>
      <c r="E61" vm="970">
        <f ca="1"/>
        <v>265.39999999999998</v>
      </c>
      <c r="F61" vm="971">
        <f ca="1"/>
        <v>191.16</v>
      </c>
      <c r="G61" vm="972">
        <f ca="1"/>
        <v>121.9</v>
      </c>
      <c r="H61" vm="973">
        <f ca="1"/>
        <v>366.55</v>
      </c>
      <c r="I61" vm="974">
        <f ca="1"/>
        <v>150.74</v>
      </c>
      <c r="J61" vm="975">
        <f ca="1"/>
        <v>470.75</v>
      </c>
      <c r="K61" vm="894">
        <f ca="1"/>
        <v>24.8</v>
      </c>
      <c r="L61" vm="976">
        <f ca="1"/>
        <v>176.5</v>
      </c>
      <c r="M61" vm="977">
        <f ca="1"/>
        <v>231.25</v>
      </c>
      <c r="N61" vm="928">
        <f ca="1"/>
        <v>19.715</v>
      </c>
      <c r="O61" vm="978">
        <f ca="1"/>
        <v>570</v>
      </c>
      <c r="Q61" s="4">
        <f t="shared" ca="1" si="9"/>
        <v>-1.0905401978189233E-2</v>
      </c>
      <c r="R61" s="4">
        <f t="shared" ca="1" si="0"/>
        <v>-1.0926902788244042E-2</v>
      </c>
      <c r="S61" s="4">
        <f t="shared" ca="1" si="1"/>
        <v>-5.5373256767842438E-2</v>
      </c>
      <c r="T61" s="4">
        <f t="shared" ca="1" si="10"/>
        <v>2.8260581133076723E-2</v>
      </c>
      <c r="U61" s="4">
        <f t="shared" ca="1" si="11"/>
        <v>6.0541688794477633E-3</v>
      </c>
      <c r="V61" s="4">
        <f t="shared" ca="1" si="2"/>
        <v>-5.4281619491221789E-2</v>
      </c>
      <c r="W61" s="4">
        <f t="shared" ca="1" si="3"/>
        <v>-2.0924879681941788E-2</v>
      </c>
      <c r="X61" s="4">
        <f t="shared" ca="1" si="4"/>
        <v>9.7297297297296303E-3</v>
      </c>
      <c r="Y61" s="4">
        <f t="shared" ca="1" si="5"/>
        <v>1.5681354869061526E-3</v>
      </c>
      <c r="Z61" s="4">
        <f t="shared" ca="1" si="6"/>
        <v>-5.2237960339943323E-2</v>
      </c>
      <c r="AA61" s="4">
        <f t="shared" ca="1" si="7"/>
        <v>-1.0230527895239372E-2</v>
      </c>
      <c r="AB61" s="4">
        <f t="shared" ca="1" si="12"/>
        <v>-5.3684210526315779E-2</v>
      </c>
      <c r="AC61" s="4">
        <f t="shared" ca="1" si="13"/>
        <v>-4.5400238948625993E-2</v>
      </c>
      <c r="AD61" s="4"/>
      <c r="AE61" s="2" cm="1">
        <f t="array" aca="1" ref="AE61" ca="1">SUMPRODUCT(Q61:AB61,TRANSPOSE(Insights.!$H$4:$H$15))</f>
        <v>-1.5767037811513552E-2</v>
      </c>
      <c r="AG61" s="10" vm="967">
        <f ca="1"/>
        <v>45741</v>
      </c>
      <c r="AH61" s="1" vm="979">
        <f ca="1"/>
        <v>101.08499999999999</v>
      </c>
      <c r="AI61" s="2">
        <f t="shared" ca="1" si="8"/>
        <v>-4.6000890339812361E-3</v>
      </c>
      <c r="AJ61" s="1" vm="980">
        <f ca="1"/>
        <v>100.84</v>
      </c>
      <c r="AK61" s="2">
        <f t="shared" ca="1" si="14"/>
        <v>-4.8591828639429346E-3</v>
      </c>
      <c r="AL61" s="1" vm="981">
        <f ca="1"/>
        <v>55.03</v>
      </c>
      <c r="AM61" s="2">
        <f t="shared" ca="1" si="15"/>
        <v>-1.5264401235689729E-2</v>
      </c>
      <c r="AO61" s="9">
        <f t="shared" ca="1" si="16"/>
        <v>93.639881836308959</v>
      </c>
      <c r="AP61">
        <f t="shared" ca="1" si="17"/>
        <v>93.736090504450999</v>
      </c>
      <c r="AQ61">
        <f t="shared" ca="1" si="18"/>
        <v>95.764482431149162</v>
      </c>
      <c r="AR61">
        <f t="shared" ca="1" si="19"/>
        <v>112.20307880517896</v>
      </c>
      <c r="AT61" s="21">
        <f ca="1">MAX($AO$3:AO62)</f>
        <v>106.96839029133979</v>
      </c>
      <c r="AU61" s="2">
        <f t="shared" ca="1" si="20"/>
        <v>-0.12460230932455107</v>
      </c>
    </row>
    <row r="62" spans="1:47" x14ac:dyDescent="0.25">
      <c r="A62" vm="982">
        <f ca="1"/>
        <v>45742</v>
      </c>
      <c r="B62" vm="983">
        <f ca="1"/>
        <v>105.58</v>
      </c>
      <c r="C62" vm="771">
        <f ca="1"/>
        <v>159.80000000000001</v>
      </c>
      <c r="D62" vm="984">
        <f ca="1"/>
        <v>319.35000000000002</v>
      </c>
      <c r="E62" vm="985">
        <f ca="1"/>
        <v>262.5</v>
      </c>
      <c r="F62" vm="986">
        <f ca="1"/>
        <v>187.16</v>
      </c>
      <c r="G62" vm="987">
        <f ca="1"/>
        <v>115.15</v>
      </c>
      <c r="H62" vm="988">
        <f ca="1"/>
        <v>362.8</v>
      </c>
      <c r="I62" vm="161">
        <f ca="1"/>
        <v>155</v>
      </c>
      <c r="J62" vm="989">
        <f ca="1"/>
        <v>473.6</v>
      </c>
      <c r="K62" vm="990">
        <f ca="1"/>
        <v>23.2</v>
      </c>
      <c r="L62" vm="991">
        <f ca="1"/>
        <v>167.28</v>
      </c>
      <c r="M62" vm="992">
        <f ca="1"/>
        <v>233.5</v>
      </c>
      <c r="N62" vm="993">
        <f ca="1"/>
        <v>19.5</v>
      </c>
      <c r="O62" vm="994">
        <f ca="1"/>
        <v>539.4</v>
      </c>
      <c r="Q62" s="4">
        <f t="shared" ca="1" si="9"/>
        <v>2.564102564102555E-3</v>
      </c>
      <c r="R62" s="4">
        <f t="shared" ca="1" si="0"/>
        <v>-1.6761904761904645E-2</v>
      </c>
      <c r="S62" s="4">
        <f t="shared" ca="1" si="1"/>
        <v>-4.472427268779855E-2</v>
      </c>
      <c r="T62" s="4">
        <f t="shared" ca="1" si="10"/>
        <v>7.2258064516128595E-3</v>
      </c>
      <c r="U62" s="4">
        <f t="shared" ca="1" si="11"/>
        <v>1.4780405405405705E-3</v>
      </c>
      <c r="V62" s="4">
        <f t="shared" ca="1" si="2"/>
        <v>-2.0079560522826334E-2</v>
      </c>
      <c r="W62" s="4">
        <f t="shared" ca="1" si="3"/>
        <v>-3.5263945287454801E-3</v>
      </c>
      <c r="X62" s="4">
        <f t="shared" ca="1" si="4"/>
        <v>-1.498929336188437E-2</v>
      </c>
      <c r="Y62" s="4">
        <f t="shared" ca="1" si="5"/>
        <v>1.5969938938468653E-2</v>
      </c>
      <c r="Z62" s="4">
        <f t="shared" ca="1" si="6"/>
        <v>-4.3041606886657036E-2</v>
      </c>
      <c r="AA62" s="4">
        <f t="shared" ca="1" si="7"/>
        <v>-2.6185226019845853E-3</v>
      </c>
      <c r="AB62" s="4">
        <f t="shared" ca="1" si="12"/>
        <v>3.8932146829810943E-3</v>
      </c>
      <c r="AC62" s="4">
        <f t="shared" ca="1" si="13"/>
        <v>-2.0025031289111483E-2</v>
      </c>
      <c r="AD62" s="4"/>
      <c r="AE62" s="2" cm="1">
        <f t="array" aca="1" ref="AE62" ca="1">SUMPRODUCT(Q62:AB62,TRANSPOSE(Insights.!$H$4:$H$15))</f>
        <v>-9.4200587720090611E-3</v>
      </c>
      <c r="AG62" s="10" vm="982">
        <f ca="1"/>
        <v>45742</v>
      </c>
      <c r="AH62" s="1" vm="995">
        <f ca="1"/>
        <v>100.62</v>
      </c>
      <c r="AI62" s="2">
        <f t="shared" ca="1" si="8"/>
        <v>-5.0685748360167482E-3</v>
      </c>
      <c r="AJ62" s="1" vm="996">
        <f ca="1"/>
        <v>100.35</v>
      </c>
      <c r="AK62" s="2">
        <f t="shared" ca="1" si="14"/>
        <v>-4.0358744394618506E-3</v>
      </c>
      <c r="AL62" s="1" vm="997">
        <f ca="1"/>
        <v>54.19</v>
      </c>
      <c r="AM62" s="2">
        <f t="shared" ca="1" si="15"/>
        <v>-1.1072153533860929E-3</v>
      </c>
      <c r="AO62" s="9">
        <f t="shared" ca="1" si="16"/>
        <v>92.163458278730218</v>
      </c>
      <c r="AP62">
        <f t="shared" ca="1" si="17"/>
        <v>93.304896142433208</v>
      </c>
      <c r="AQ62">
        <f t="shared" ca="1" si="18"/>
        <v>95.299145299145351</v>
      </c>
      <c r="AR62">
        <f t="shared" ca="1" si="19"/>
        <v>110.49036599041699</v>
      </c>
      <c r="AT62" s="21">
        <f ca="1">MAX($AO$3:AO63)</f>
        <v>106.96839029133979</v>
      </c>
      <c r="AU62" s="2">
        <f t="shared" ca="1" si="20"/>
        <v>-0.13840473781354246</v>
      </c>
    </row>
    <row r="63" spans="1:47" x14ac:dyDescent="0.25">
      <c r="A63" vm="998">
        <f ca="1"/>
        <v>45743</v>
      </c>
      <c r="B63" vm="999">
        <f ca="1"/>
        <v>103.46</v>
      </c>
      <c r="C63" vm="1000">
        <f ca="1"/>
        <v>156.6</v>
      </c>
      <c r="D63" vm="1001">
        <f ca="1"/>
        <v>324.45</v>
      </c>
      <c r="E63" vm="1002">
        <f ca="1"/>
        <v>258.10000000000002</v>
      </c>
      <c r="F63" vm="1003">
        <f ca="1"/>
        <v>186.5</v>
      </c>
      <c r="G63" vm="1004">
        <f ca="1"/>
        <v>110</v>
      </c>
      <c r="H63" vm="1005">
        <f ca="1"/>
        <v>361.85</v>
      </c>
      <c r="I63" vm="1006">
        <f ca="1"/>
        <v>156.12</v>
      </c>
      <c r="J63" vm="1007">
        <f ca="1"/>
        <v>474.3</v>
      </c>
      <c r="K63" vm="1008">
        <f ca="1"/>
        <v>22.2</v>
      </c>
      <c r="L63" vm="1009">
        <f ca="1"/>
        <v>160.08000000000001</v>
      </c>
      <c r="M63" vm="1010">
        <f ca="1"/>
        <v>230</v>
      </c>
      <c r="N63" vm="1011">
        <f ca="1"/>
        <v>19.55</v>
      </c>
      <c r="O63" vm="1012">
        <f ca="1"/>
        <v>541.5</v>
      </c>
      <c r="Q63" s="4">
        <f t="shared" ca="1" si="9"/>
        <v>-1.6112531969309507E-2</v>
      </c>
      <c r="R63" s="4">
        <f t="shared" ca="1" si="0"/>
        <v>-1.5304145679969072E-2</v>
      </c>
      <c r="S63" s="4">
        <f t="shared" ca="1" si="1"/>
        <v>2.7272727272726893E-3</v>
      </c>
      <c r="T63" s="4">
        <f t="shared" ca="1" si="10"/>
        <v>-7.6863950807072312E-3</v>
      </c>
      <c r="U63" s="4">
        <f t="shared" ca="1" si="11"/>
        <v>-1.6866961838498895E-2</v>
      </c>
      <c r="V63" s="4">
        <f t="shared" ca="1" si="2"/>
        <v>-2.6290353759907181E-2</v>
      </c>
      <c r="W63" s="4">
        <f t="shared" ca="1" si="3"/>
        <v>-4.697050938337799E-2</v>
      </c>
      <c r="X63" s="4">
        <f t="shared" ca="1" si="4"/>
        <v>-2.5869565217391255E-2</v>
      </c>
      <c r="Y63" s="4">
        <f t="shared" ca="1" si="5"/>
        <v>-2.0033903529049213E-2</v>
      </c>
      <c r="Z63" s="4">
        <f t="shared" ca="1" si="6"/>
        <v>-3.7356321839080553E-2</v>
      </c>
      <c r="AA63" s="4">
        <f t="shared" ca="1" si="7"/>
        <v>-3.6341025286721118E-2</v>
      </c>
      <c r="AB63" s="4">
        <f t="shared" ca="1" si="12"/>
        <v>-3.287165281625104E-2</v>
      </c>
      <c r="AC63" s="4">
        <f t="shared" ca="1" si="13"/>
        <v>-2.5542784163473775E-2</v>
      </c>
      <c r="AD63" s="4"/>
      <c r="AE63" s="2" cm="1">
        <f t="array" aca="1" ref="AE63" ca="1">SUMPRODUCT(Q63:AB63,TRANSPOSE(Insights.!$H$4:$H$15))</f>
        <v>-2.1219016797839101E-2</v>
      </c>
      <c r="AG63" s="10" vm="998">
        <f ca="1"/>
        <v>45743</v>
      </c>
      <c r="AH63" s="1" vm="1013">
        <f ca="1"/>
        <v>100.11</v>
      </c>
      <c r="AI63" s="2">
        <f t="shared" ca="1" si="8"/>
        <v>-2.3454200379582457E-2</v>
      </c>
      <c r="AJ63" s="1" vm="1014">
        <f ca="1"/>
        <v>99.944999999999993</v>
      </c>
      <c r="AK63" s="2">
        <f t="shared" ca="1" si="14"/>
        <v>-2.121166641652894E-2</v>
      </c>
      <c r="AL63" s="1" vm="1015">
        <f ca="1"/>
        <v>54.13</v>
      </c>
      <c r="AM63" s="2">
        <f t="shared" ca="1" si="15"/>
        <v>-8.3133197857011565E-3</v>
      </c>
      <c r="AO63" s="9">
        <f t="shared" ca="1" si="16"/>
        <v>91.295273085112981</v>
      </c>
      <c r="AP63">
        <f t="shared" ca="1" si="17"/>
        <v>92.831973293768513</v>
      </c>
      <c r="AQ63">
        <f t="shared" ca="1" si="18"/>
        <v>94.914529914529965</v>
      </c>
      <c r="AR63">
        <f t="shared" ca="1" si="19"/>
        <v>110.36802936079116</v>
      </c>
      <c r="AT63" s="21">
        <f ca="1">MAX($AO$3:AO64)</f>
        <v>106.96839029133979</v>
      </c>
      <c r="AU63" s="2">
        <f t="shared" ca="1" si="20"/>
        <v>-0.14652101582102339</v>
      </c>
    </row>
    <row r="64" spans="1:47" x14ac:dyDescent="0.25">
      <c r="A64" vm="1016">
        <f ca="1"/>
        <v>45744</v>
      </c>
      <c r="B64" vm="1017">
        <f ca="1"/>
        <v>100.74</v>
      </c>
      <c r="C64" vm="1018">
        <f ca="1"/>
        <v>152.6</v>
      </c>
      <c r="D64" vm="1019">
        <f ca="1"/>
        <v>317.95</v>
      </c>
      <c r="E64" vm="310">
        <f ca="1"/>
        <v>254.15</v>
      </c>
      <c r="F64" vm="1020">
        <f ca="1"/>
        <v>177.74</v>
      </c>
      <c r="G64" vm="1021">
        <f ca="1"/>
        <v>110.3</v>
      </c>
      <c r="H64" vm="688">
        <f ca="1"/>
        <v>348.7</v>
      </c>
      <c r="I64" vm="1022">
        <f ca="1"/>
        <v>154.91999999999999</v>
      </c>
      <c r="J64" vm="1023">
        <f ca="1"/>
        <v>466.3</v>
      </c>
      <c r="K64" vm="1024">
        <f ca="1"/>
        <v>20.6</v>
      </c>
      <c r="L64" vm="1025">
        <f ca="1"/>
        <v>154.1</v>
      </c>
      <c r="M64" vm="471">
        <f ca="1"/>
        <v>224.05</v>
      </c>
      <c r="N64" vm="1026">
        <f ca="1"/>
        <v>19.234999999999999</v>
      </c>
      <c r="O64" vm="1027">
        <f ca="1"/>
        <v>523.70000000000005</v>
      </c>
      <c r="Q64" s="4">
        <f t="shared" ca="1" si="9"/>
        <v>-2.9113595009097937E-2</v>
      </c>
      <c r="R64" s="4">
        <f t="shared" ca="1" si="0"/>
        <v>-3.1674208144796379E-2</v>
      </c>
      <c r="S64" s="4">
        <f t="shared" ca="1" si="1"/>
        <v>-3.8984587488667288E-2</v>
      </c>
      <c r="T64" s="4">
        <f t="shared" ca="1" si="10"/>
        <v>1.4588174541699139E-2</v>
      </c>
      <c r="U64" s="4">
        <f t="shared" ca="1" si="11"/>
        <v>-8.8998498820502814E-3</v>
      </c>
      <c r="V64" s="4">
        <f t="shared" ca="1" si="2"/>
        <v>-2.9779630732578166E-3</v>
      </c>
      <c r="W64" s="4">
        <f t="shared" ca="1" si="3"/>
        <v>-9.2269607291550759E-3</v>
      </c>
      <c r="X64" s="4">
        <f t="shared" ca="1" si="4"/>
        <v>1.7853157777281137E-3</v>
      </c>
      <c r="Y64" s="4">
        <f t="shared" ca="1" si="5"/>
        <v>-6.1330397861298902E-3</v>
      </c>
      <c r="Z64" s="4">
        <f t="shared" ca="1" si="6"/>
        <v>-1.6612589227774199E-2</v>
      </c>
      <c r="AA64" s="4">
        <f t="shared" ca="1" si="7"/>
        <v>-6.452537998279273E-3</v>
      </c>
      <c r="AB64" s="4">
        <f t="shared" ca="1" si="12"/>
        <v>-5.0315065877410747E-2</v>
      </c>
      <c r="AC64" s="4">
        <f t="shared" ca="1" si="13"/>
        <v>0</v>
      </c>
      <c r="AD64" s="4"/>
      <c r="AE64" s="2" cm="1">
        <f t="array" aca="1" ref="AE64" ca="1">SUMPRODUCT(Q64:AB64,TRANSPOSE(Insights.!$H$4:$H$15))</f>
        <v>-1.4912833268739921E-2</v>
      </c>
      <c r="AG64" s="10" vm="1016">
        <f ca="1"/>
        <v>45744</v>
      </c>
      <c r="AH64" s="1" vm="1028">
        <f ca="1"/>
        <v>97.762</v>
      </c>
      <c r="AI64" s="2">
        <f t="shared" ca="1" si="8"/>
        <v>-5.1349194983735247E-3</v>
      </c>
      <c r="AJ64" s="1" vm="1029">
        <f ca="1"/>
        <v>97.825000000000003</v>
      </c>
      <c r="AK64" s="2">
        <f t="shared" ca="1" si="14"/>
        <v>-7.1556350626118537E-3</v>
      </c>
      <c r="AL64" s="1" vm="1030">
        <f ca="1"/>
        <v>53.68</v>
      </c>
      <c r="AM64" s="2">
        <f t="shared" ca="1" si="15"/>
        <v>-1.3785394932935957E-2</v>
      </c>
      <c r="AO64" s="9">
        <f t="shared" ca="1" si="16"/>
        <v>89.358077151956664</v>
      </c>
      <c r="AP64">
        <f t="shared" ca="1" si="17"/>
        <v>90.654673590504416</v>
      </c>
      <c r="AQ64">
        <f t="shared" ca="1" si="18"/>
        <v>92.901234567901298</v>
      </c>
      <c r="AR64">
        <f t="shared" ca="1" si="19"/>
        <v>109.45050463859724</v>
      </c>
      <c r="AT64" s="21">
        <f ca="1">MAX($AO$3:AO65)</f>
        <v>106.96839029133979</v>
      </c>
      <c r="AU64" s="2">
        <f t="shared" ca="1" si="20"/>
        <v>-0.16463100072291981</v>
      </c>
    </row>
    <row r="65" spans="1:47" x14ac:dyDescent="0.25">
      <c r="A65" vm="1031">
        <f ca="1"/>
        <v>45747</v>
      </c>
      <c r="B65" vm="1032">
        <f ca="1"/>
        <v>100.44</v>
      </c>
      <c r="C65" vm="1018">
        <f ca="1"/>
        <v>152.6</v>
      </c>
      <c r="D65" vm="1033">
        <f ca="1"/>
        <v>316</v>
      </c>
      <c r="E65" vm="1034">
        <f ca="1"/>
        <v>246.1</v>
      </c>
      <c r="F65" vm="1035">
        <f ca="1"/>
        <v>176.1</v>
      </c>
      <c r="G65" vm="775">
        <f ca="1"/>
        <v>106</v>
      </c>
      <c r="H65" vm="1036">
        <f ca="1"/>
        <v>346.45</v>
      </c>
      <c r="I65" vm="543">
        <f ca="1"/>
        <v>157.18</v>
      </c>
      <c r="J65" vm="1037">
        <f ca="1"/>
        <v>462.15</v>
      </c>
      <c r="K65" vm="1038">
        <f ca="1"/>
        <v>19.399999999999999</v>
      </c>
      <c r="L65" vm="1039">
        <f ca="1"/>
        <v>151.54</v>
      </c>
      <c r="M65" vm="1040">
        <f ca="1"/>
        <v>224.45</v>
      </c>
      <c r="N65" vm="1041">
        <f ca="1"/>
        <v>18.675000000000001</v>
      </c>
      <c r="O65" vm="1042">
        <f ca="1"/>
        <v>497.35</v>
      </c>
      <c r="Q65" s="4">
        <f t="shared" ca="1" si="9"/>
        <v>1.1780455153949099E-2</v>
      </c>
      <c r="R65" s="4">
        <f t="shared" ca="1" si="0"/>
        <v>1.1174319382364795E-2</v>
      </c>
      <c r="S65" s="4">
        <f t="shared" ca="1" si="1"/>
        <v>5.3301886792452846E-2</v>
      </c>
      <c r="T65" s="4">
        <f t="shared" ca="1" si="10"/>
        <v>1.9086397760528229E-3</v>
      </c>
      <c r="U65" s="4">
        <f t="shared" ca="1" si="11"/>
        <v>2.098885643189452E-2</v>
      </c>
      <c r="V65" s="4">
        <f t="shared" ca="1" si="2"/>
        <v>1.5332536837913135E-2</v>
      </c>
      <c r="W65" s="4">
        <f t="shared" ca="1" si="3"/>
        <v>1.0107893242475852E-2</v>
      </c>
      <c r="X65" s="4">
        <f t="shared" ca="1" si="4"/>
        <v>1.3811539318333788E-2</v>
      </c>
      <c r="Y65" s="4">
        <f t="shared" ca="1" si="5"/>
        <v>1.2025316455696267E-2</v>
      </c>
      <c r="Z65" s="4">
        <f t="shared" ca="1" si="6"/>
        <v>1.9136861554705176E-2</v>
      </c>
      <c r="AA65" s="4">
        <f t="shared" ca="1" si="7"/>
        <v>2.1503824505700653E-2</v>
      </c>
      <c r="AB65" s="4">
        <f t="shared" ca="1" si="12"/>
        <v>1.6185784658691027E-2</v>
      </c>
      <c r="AC65" s="4">
        <f t="shared" ca="1" si="13"/>
        <v>1.9659239842725995E-2</v>
      </c>
      <c r="AD65" s="4"/>
      <c r="AE65" s="2" cm="1">
        <f t="array" aca="1" ref="AE65" ca="1">SUMPRODUCT(Q65:AB65,TRANSPOSE(Insights.!$H$4:$H$15))</f>
        <v>1.5836354241314174E-2</v>
      </c>
      <c r="AG65" s="10" vm="1031">
        <f ca="1"/>
        <v>45747</v>
      </c>
      <c r="AH65" s="1" vm="1043">
        <f ca="1"/>
        <v>97.26</v>
      </c>
      <c r="AI65" s="2">
        <f t="shared" ca="1" si="8"/>
        <v>1.4024264857084079E-2</v>
      </c>
      <c r="AJ65" s="1" vm="1044">
        <f ca="1"/>
        <v>97.125</v>
      </c>
      <c r="AK65" s="2">
        <f t="shared" ca="1" si="14"/>
        <v>1.2921492921492916E-2</v>
      </c>
      <c r="AL65" s="1" vm="1045">
        <f ca="1"/>
        <v>52.94</v>
      </c>
      <c r="AM65" s="2">
        <f t="shared" ca="1" si="15"/>
        <v>9.6335474121647113E-3</v>
      </c>
      <c r="AO65" s="9">
        <f t="shared" ca="1" si="16"/>
        <v>88.025495046174328</v>
      </c>
      <c r="AP65">
        <f t="shared" ca="1" si="17"/>
        <v>90.189169139465847</v>
      </c>
      <c r="AQ65">
        <f t="shared" ca="1" si="18"/>
        <v>92.236467236467291</v>
      </c>
      <c r="AR65">
        <f t="shared" ca="1" si="19"/>
        <v>107.94168620654503</v>
      </c>
      <c r="AT65" s="21">
        <f ca="1">MAX($AO$3:AO66)</f>
        <v>106.96839029133979</v>
      </c>
      <c r="AU65" s="2">
        <f t="shared" ca="1" si="20"/>
        <v>-0.17708871932701309</v>
      </c>
    </row>
    <row r="66" spans="1:47" x14ac:dyDescent="0.25">
      <c r="A66" vm="1046">
        <f ca="1"/>
        <v>45748</v>
      </c>
      <c r="B66" vm="1047">
        <f ca="1"/>
        <v>101.98</v>
      </c>
      <c r="C66" vm="1048">
        <f ca="1"/>
        <v>155.6</v>
      </c>
      <c r="D66" vm="1049">
        <f ca="1"/>
        <v>319.8</v>
      </c>
      <c r="E66" vm="1050">
        <f ca="1"/>
        <v>248.85</v>
      </c>
      <c r="F66" vm="1051">
        <f ca="1"/>
        <v>177.88</v>
      </c>
      <c r="G66" vm="1052">
        <f ca="1"/>
        <v>111.65</v>
      </c>
      <c r="H66" vm="1053">
        <f ca="1"/>
        <v>353.9</v>
      </c>
      <c r="I66" vm="1054">
        <f ca="1"/>
        <v>157.47999999999999</v>
      </c>
      <c r="J66" vm="1055">
        <f ca="1"/>
        <v>471.85</v>
      </c>
      <c r="K66" vm="1056">
        <f ca="1"/>
        <v>21</v>
      </c>
      <c r="L66" vm="1057">
        <f ca="1"/>
        <v>154.44</v>
      </c>
      <c r="M66" vm="1058">
        <f ca="1"/>
        <v>227.55</v>
      </c>
      <c r="N66" vm="1059">
        <f ca="1"/>
        <v>18.895</v>
      </c>
      <c r="O66" vm="1060">
        <f ca="1"/>
        <v>505.4</v>
      </c>
      <c r="Q66" s="4">
        <f t="shared" ca="1" si="9"/>
        <v>-2.1698862132839336E-2</v>
      </c>
      <c r="R66" s="4">
        <f t="shared" ca="1" si="0"/>
        <v>8.6397428169580071E-3</v>
      </c>
      <c r="S66" s="4">
        <f t="shared" ca="1" si="1"/>
        <v>1.8360949395432202E-2</v>
      </c>
      <c r="T66" s="4">
        <f t="shared" ca="1" si="10"/>
        <v>-1.0287020574040961E-2</v>
      </c>
      <c r="U66" s="4">
        <f t="shared" ca="1" si="11"/>
        <v>3.8147716435306123E-3</v>
      </c>
      <c r="V66" s="4">
        <f t="shared" ca="1" si="2"/>
        <v>-4.706805255932589E-3</v>
      </c>
      <c r="W66" s="4">
        <f t="shared" ca="1" si="3"/>
        <v>1.8439397346525777E-2</v>
      </c>
      <c r="X66" s="4">
        <f t="shared" ca="1" si="4"/>
        <v>-6.1524939573720516E-3</v>
      </c>
      <c r="Y66" s="4">
        <f t="shared" ca="1" si="5"/>
        <v>-9.3808630393996673E-3</v>
      </c>
      <c r="Z66" s="4">
        <f t="shared" ca="1" si="6"/>
        <v>1.579901579901577E-2</v>
      </c>
      <c r="AA66" s="4">
        <f t="shared" ca="1" si="7"/>
        <v>-6.0751624752753974E-3</v>
      </c>
      <c r="AB66" s="4">
        <f t="shared" ca="1" si="12"/>
        <v>3.581321725366049E-2</v>
      </c>
      <c r="AC66" s="4">
        <f t="shared" ca="1" si="13"/>
        <v>2.5706940874037354E-3</v>
      </c>
      <c r="AD66" s="4"/>
      <c r="AE66" s="2" cm="1">
        <f t="array" aca="1" ref="AE66" ca="1">SUMPRODUCT(Q66:AB66,TRANSPOSE(Insights.!$H$4:$H$15))</f>
        <v>3.7065803445989489E-3</v>
      </c>
      <c r="AG66" s="10" vm="1046">
        <f ca="1"/>
        <v>45748</v>
      </c>
      <c r="AH66" s="1" vm="1061">
        <f ca="1"/>
        <v>98.623999999999995</v>
      </c>
      <c r="AI66" s="2">
        <f t="shared" ca="1" si="8"/>
        <v>5.2319922128487573E-3</v>
      </c>
      <c r="AJ66" s="1" vm="1062">
        <f ca="1"/>
        <v>98.38</v>
      </c>
      <c r="AK66" s="2">
        <f t="shared" ca="1" si="14"/>
        <v>-6.6070339499890718E-4</v>
      </c>
      <c r="AL66" s="1" vm="1063">
        <f ca="1"/>
        <v>53.45</v>
      </c>
      <c r="AM66" s="2">
        <f t="shared" ca="1" si="15"/>
        <v>-1.3096351730589317E-3</v>
      </c>
      <c r="AO66" s="9">
        <f t="shared" ca="1" si="16"/>
        <v>89.419497967992598</v>
      </c>
      <c r="AP66">
        <f t="shared" ca="1" si="17"/>
        <v>91.454005934718069</v>
      </c>
      <c r="AQ66">
        <f t="shared" ca="1" si="18"/>
        <v>93.428300094966815</v>
      </c>
      <c r="AR66">
        <f t="shared" ca="1" si="19"/>
        <v>108.98154755836478</v>
      </c>
      <c r="AT66" s="21">
        <f ca="1">MAX($AO$3:AO67)</f>
        <v>106.96839029133979</v>
      </c>
      <c r="AU66" s="2">
        <f t="shared" ca="1" si="20"/>
        <v>-0.16405680477710205</v>
      </c>
    </row>
    <row r="67" spans="1:47" x14ac:dyDescent="0.25">
      <c r="A67" vm="1064">
        <f ca="1"/>
        <v>45749</v>
      </c>
      <c r="B67" vm="1065">
        <f ca="1"/>
        <v>101.5</v>
      </c>
      <c r="C67" vm="1066">
        <f ca="1"/>
        <v>156</v>
      </c>
      <c r="D67" vm="1067">
        <f ca="1"/>
        <v>316.8</v>
      </c>
      <c r="E67" vm="1068">
        <f ca="1"/>
        <v>251</v>
      </c>
      <c r="F67" vm="1069">
        <f ca="1"/>
        <v>181.16</v>
      </c>
      <c r="G67" vm="1070">
        <f ca="1"/>
        <v>113.7</v>
      </c>
      <c r="H67" vm="1071">
        <f ca="1"/>
        <v>351.75</v>
      </c>
      <c r="I67" vm="61">
        <f ca="1"/>
        <v>155.86000000000001</v>
      </c>
      <c r="J67" vm="1072">
        <f ca="1"/>
        <v>473.65</v>
      </c>
      <c r="K67" vm="1073">
        <f ca="1"/>
        <v>22.4</v>
      </c>
      <c r="L67" vm="1074">
        <f ca="1"/>
        <v>156.88</v>
      </c>
      <c r="M67" vm="1075">
        <f ca="1"/>
        <v>226.15</v>
      </c>
      <c r="N67" vm="1076">
        <f ca="1"/>
        <v>18.484999999999999</v>
      </c>
      <c r="O67" vm="1077">
        <f ca="1"/>
        <v>523.5</v>
      </c>
      <c r="Q67" s="4">
        <f t="shared" ref="Q67:Q130" ca="1" si="21">N68/N67-1</f>
        <v>6.2212604814715355E-3</v>
      </c>
      <c r="R67" s="4">
        <f t="shared" ref="R67:R130" ca="1" si="22">E68/E67-1</f>
        <v>-7.0717131474103634E-2</v>
      </c>
      <c r="S67" s="4">
        <f t="shared" ref="S67:S130" ca="1" si="23">G68/G67-1</f>
        <v>-0.13192612137203164</v>
      </c>
      <c r="T67" s="4">
        <f t="shared" ca="1" si="10"/>
        <v>2.3097651738739344E-3</v>
      </c>
      <c r="U67" s="4">
        <f t="shared" ca="1" si="11"/>
        <v>-3.8002744642668618E-2</v>
      </c>
      <c r="V67" s="4">
        <f t="shared" ref="V67:V130" ca="1" si="24">B68/B67-1</f>
        <v>-9.1330049261083679E-2</v>
      </c>
      <c r="W67" s="4">
        <f t="shared" ref="W67:W130" ca="1" si="25">F68/F67-1</f>
        <v>-0.10576286155884296</v>
      </c>
      <c r="X67" s="4">
        <f t="shared" ref="X67:X130" ca="1" si="26">M68/M67-1</f>
        <v>-8.2246296705726252E-2</v>
      </c>
      <c r="Y67" s="4">
        <f t="shared" ref="Y67:Y130" ca="1" si="27">D68/D67-1</f>
        <v>-2.8409090909090939E-2</v>
      </c>
      <c r="Z67" s="4">
        <f t="shared" ref="Z67:Z130" ca="1" si="28">L68/L67-1</f>
        <v>-8.3758286588475173E-2</v>
      </c>
      <c r="AA67" s="4">
        <f t="shared" ref="AA67:AA130" ca="1" si="29">H68/H67-1</f>
        <v>-3.4399431414356862E-2</v>
      </c>
      <c r="AB67" s="4">
        <f t="shared" ca="1" si="12"/>
        <v>-3.3237822349570179E-2</v>
      </c>
      <c r="AC67" s="4">
        <f t="shared" ca="1" si="13"/>
        <v>-7.8205128205128149E-2</v>
      </c>
      <c r="AD67" s="4"/>
      <c r="AE67" s="2" cm="1">
        <f t="array" aca="1" ref="AE67" ca="1">SUMPRODUCT(Q67:AB67,TRANSPOSE(Insights.!$H$4:$H$15))</f>
        <v>-5.3679203726924529E-2</v>
      </c>
      <c r="AG67" s="10" vm="1064">
        <f ca="1"/>
        <v>45749</v>
      </c>
      <c r="AH67" s="1" vm="1078">
        <f ca="1"/>
        <v>99.14</v>
      </c>
      <c r="AI67" s="2">
        <f t="shared" ref="AI67:AI130" ca="1" si="30">AH68/AH67-1</f>
        <v>-5.4165826104498715E-2</v>
      </c>
      <c r="AJ67" s="1" vm="1079">
        <f ca="1"/>
        <v>98.314999999999998</v>
      </c>
      <c r="AK67" s="2">
        <f t="shared" ca="1" si="14"/>
        <v>-4.8771804912780325E-2</v>
      </c>
      <c r="AL67" s="1" vm="1080">
        <f ca="1"/>
        <v>53.38</v>
      </c>
      <c r="AM67" s="2">
        <f t="shared" ca="1" si="15"/>
        <v>-3.3907830648182924E-2</v>
      </c>
      <c r="AO67" s="9">
        <f t="shared" ca="1" si="16"/>
        <v>89.750938521584672</v>
      </c>
      <c r="AP67">
        <f t="shared" ca="1" si="17"/>
        <v>91.932492581602332</v>
      </c>
      <c r="AQ67">
        <f t="shared" ca="1" si="18"/>
        <v>93.366571699905094</v>
      </c>
      <c r="AR67">
        <f t="shared" ca="1" si="19"/>
        <v>108.83882149046795</v>
      </c>
      <c r="AT67" s="21">
        <f ca="1">MAX($AO$3:AO68)</f>
        <v>106.96839029133979</v>
      </c>
      <c r="AU67" s="2">
        <f t="shared" ca="1" si="20"/>
        <v>-0.16095831416048756</v>
      </c>
    </row>
    <row r="68" spans="1:47" x14ac:dyDescent="0.25">
      <c r="A68" vm="1081">
        <f ca="1"/>
        <v>45750</v>
      </c>
      <c r="B68" vm="1082">
        <f ca="1"/>
        <v>92.23</v>
      </c>
      <c r="C68" vm="607">
        <f ca="1"/>
        <v>143.80000000000001</v>
      </c>
      <c r="D68" vm="1083">
        <f ca="1"/>
        <v>307.8</v>
      </c>
      <c r="E68" vm="1084">
        <f ca="1"/>
        <v>233.25</v>
      </c>
      <c r="F68" vm="108">
        <f ca="1"/>
        <v>162</v>
      </c>
      <c r="G68" vm="1085">
        <f ca="1"/>
        <v>98.7</v>
      </c>
      <c r="H68" vm="1086">
        <f ca="1"/>
        <v>339.65</v>
      </c>
      <c r="I68" vm="1087">
        <f ca="1"/>
        <v>156.22</v>
      </c>
      <c r="J68" vm="1088">
        <f ca="1"/>
        <v>455.65</v>
      </c>
      <c r="K68" vm="1089">
        <f ca="1"/>
        <v>19.899999999999999</v>
      </c>
      <c r="L68" vm="1090">
        <f ca="1"/>
        <v>143.74</v>
      </c>
      <c r="M68" vm="1091">
        <f ca="1"/>
        <v>207.55</v>
      </c>
      <c r="N68" vm="1092">
        <f ca="1"/>
        <v>18.600000000000001</v>
      </c>
      <c r="O68" vm="1093">
        <f ca="1"/>
        <v>506.1</v>
      </c>
      <c r="Q68" s="4">
        <f t="shared" ca="1" si="21"/>
        <v>-4.8387096774193949E-3</v>
      </c>
      <c r="R68" s="4">
        <f t="shared" ca="1" si="22"/>
        <v>-5.6377277599142572E-2</v>
      </c>
      <c r="S68" s="4">
        <f t="shared" ca="1" si="23"/>
        <v>-0.10455927051671743</v>
      </c>
      <c r="T68" s="4">
        <f t="shared" ref="T68:T131" ca="1" si="31">I69/I68-1</f>
        <v>-4.1607988733836865E-2</v>
      </c>
      <c r="U68" s="4">
        <f t="shared" ref="U68:U131" ca="1" si="32">J69/J68-1</f>
        <v>-5.7390540985405414E-2</v>
      </c>
      <c r="V68" s="4">
        <f t="shared" ca="1" si="24"/>
        <v>-6.4078933102027613E-2</v>
      </c>
      <c r="W68" s="4">
        <f t="shared" ca="1" si="25"/>
        <v>-3.703703703703709E-2</v>
      </c>
      <c r="X68" s="4">
        <f t="shared" ca="1" si="26"/>
        <v>-6.7309082148879762E-2</v>
      </c>
      <c r="Y68" s="4">
        <f t="shared" ca="1" si="27"/>
        <v>-7.2612085769980572E-2</v>
      </c>
      <c r="Z68" s="4">
        <f t="shared" ca="1" si="28"/>
        <v>-9.1415054960345188E-2</v>
      </c>
      <c r="AA68" s="4">
        <f t="shared" ca="1" si="29"/>
        <v>-3.1944648903282746E-2</v>
      </c>
      <c r="AB68" s="4">
        <f t="shared" ref="AB68:AB131" ca="1" si="33">O69/O68-1</f>
        <v>-6.8662319699664076E-2</v>
      </c>
      <c r="AC68" s="4">
        <f t="shared" ref="AC68:AC131" ca="1" si="34">C69/C68-1</f>
        <v>-6.3977746870653829E-2</v>
      </c>
      <c r="AD68" s="4"/>
      <c r="AE68" s="2" cm="1">
        <f t="array" aca="1" ref="AE68" ca="1">SUMPRODUCT(Q68:AB68,TRANSPOSE(Insights.!$H$4:$H$15))</f>
        <v>-5.4318641997995389E-2</v>
      </c>
      <c r="AG68" s="10" vm="1081">
        <f ca="1"/>
        <v>45750</v>
      </c>
      <c r="AH68" s="1" vm="1094">
        <f ca="1"/>
        <v>93.77</v>
      </c>
      <c r="AI68" s="2">
        <f t="shared" ca="1" si="30"/>
        <v>-5.1295723578969832E-2</v>
      </c>
      <c r="AJ68" s="1" vm="1095">
        <f ca="1"/>
        <v>93.52</v>
      </c>
      <c r="AK68" s="2">
        <f t="shared" ref="AK68:AK131" ca="1" si="35">AJ69/AJ68-1</f>
        <v>-4.7102224123182213E-2</v>
      </c>
      <c r="AL68" s="1" vm="1096">
        <f ca="1"/>
        <v>51.57</v>
      </c>
      <c r="AM68" s="2">
        <f t="shared" ref="AM68:AM131" ca="1" si="36">AL69/AL68-1</f>
        <v>-5.284079891409732E-2</v>
      </c>
      <c r="AO68" s="9">
        <f t="shared" ref="AO68:AO131" ca="1" si="37">AO67*(1+AE67)</f>
        <v>84.933179608001851</v>
      </c>
      <c r="AP68">
        <f t="shared" ref="AP68:AP131" ca="1" si="38">AP67*(1+AI67)</f>
        <v>86.952893175074138</v>
      </c>
      <c r="AQ68">
        <f t="shared" ref="AQ68:AQ131" ca="1" si="39">AQ67*(1+AK67)</f>
        <v>88.812915479582202</v>
      </c>
      <c r="AR68">
        <f t="shared" ref="AR68:AR131" ca="1" si="40">AR67*(1+AM67)</f>
        <v>105.14833316342136</v>
      </c>
      <c r="AT68" s="21">
        <f ca="1">MAX($AO$3:AO69)</f>
        <v>106.96839029133979</v>
      </c>
      <c r="AU68" s="2">
        <f t="shared" ref="AU68:AU131" ca="1" si="41">AO68/AT68-1</f>
        <v>-0.20599740375004894</v>
      </c>
    </row>
    <row r="69" spans="1:47" x14ac:dyDescent="0.25">
      <c r="A69" vm="1097">
        <f ca="1"/>
        <v>45751</v>
      </c>
      <c r="B69" vm="1098">
        <f ca="1"/>
        <v>86.32</v>
      </c>
      <c r="C69" vm="1099">
        <f ca="1"/>
        <v>134.6</v>
      </c>
      <c r="D69" vm="1100">
        <f ca="1"/>
        <v>285.45</v>
      </c>
      <c r="E69" vm="1101">
        <f ca="1"/>
        <v>220.1</v>
      </c>
      <c r="F69" vm="1066">
        <f ca="1"/>
        <v>156</v>
      </c>
      <c r="G69" vm="1102">
        <f ca="1"/>
        <v>88.38</v>
      </c>
      <c r="H69" vm="1103">
        <f ca="1"/>
        <v>328.8</v>
      </c>
      <c r="I69" vm="1104">
        <f ca="1"/>
        <v>149.72</v>
      </c>
      <c r="J69" vm="1105">
        <f ca="1"/>
        <v>429.5</v>
      </c>
      <c r="K69" vm="1106">
        <f ca="1"/>
        <v>18.5</v>
      </c>
      <c r="L69" vm="1107">
        <f ca="1"/>
        <v>130.6</v>
      </c>
      <c r="M69" vm="1108">
        <f ca="1"/>
        <v>193.58</v>
      </c>
      <c r="N69" vm="1109">
        <f ca="1"/>
        <v>18.510000000000002</v>
      </c>
      <c r="O69" vm="1110">
        <f ca="1"/>
        <v>471.35</v>
      </c>
      <c r="Q69" s="4">
        <f t="shared" ca="1" si="21"/>
        <v>-6.3749324689357234E-2</v>
      </c>
      <c r="R69" s="4">
        <f t="shared" ca="1" si="22"/>
        <v>1.3857337573830231E-2</v>
      </c>
      <c r="S69" s="4">
        <f t="shared" ca="1" si="23"/>
        <v>7.6940484272459919E-2</v>
      </c>
      <c r="T69" s="4">
        <f t="shared" ca="1" si="31"/>
        <v>-1.2556772642265512E-2</v>
      </c>
      <c r="U69" s="4">
        <f t="shared" ca="1" si="32"/>
        <v>-7.1012805587892913E-2</v>
      </c>
      <c r="V69" s="4">
        <f t="shared" ca="1" si="24"/>
        <v>3.5681186283596178E-2</v>
      </c>
      <c r="W69" s="4">
        <f t="shared" ca="1" si="25"/>
        <v>2.897435897435896E-2</v>
      </c>
      <c r="X69" s="4">
        <f t="shared" ca="1" si="26"/>
        <v>1.6324000413265871E-2</v>
      </c>
      <c r="Y69" s="4">
        <f t="shared" ca="1" si="27"/>
        <v>1.4012961989842143E-3</v>
      </c>
      <c r="Z69" s="4">
        <f t="shared" ca="1" si="28"/>
        <v>5.0382848392036772E-2</v>
      </c>
      <c r="AA69" s="4">
        <f t="shared" ca="1" si="29"/>
        <v>-3.3454987834550254E-3</v>
      </c>
      <c r="AB69" s="4">
        <f t="shared" ca="1" si="33"/>
        <v>-2.9701920016973471E-3</v>
      </c>
      <c r="AC69" s="4">
        <f t="shared" ca="1" si="34"/>
        <v>-1.4858841010401136E-2</v>
      </c>
      <c r="AD69" s="4"/>
      <c r="AE69" s="2" cm="1">
        <f t="array" aca="1" ref="AE69" ca="1">SUMPRODUCT(Q69:AB69,TRANSPOSE(Insights.!$H$4:$H$15))</f>
        <v>4.1710342215823121E-3</v>
      </c>
      <c r="AG69" s="10" vm="1097">
        <f ca="1"/>
        <v>45751</v>
      </c>
      <c r="AH69" s="1" vm="1111">
        <f ca="1"/>
        <v>88.96</v>
      </c>
      <c r="AI69" s="2">
        <f t="shared" ca="1" si="30"/>
        <v>-1.9896582733812895E-2</v>
      </c>
      <c r="AJ69" s="1" vm="1112">
        <f ca="1"/>
        <v>89.114999999999995</v>
      </c>
      <c r="AK69" s="2">
        <f t="shared" ca="1" si="35"/>
        <v>-2.9344105930539155E-2</v>
      </c>
      <c r="AL69" s="1" vm="1113">
        <f ca="1"/>
        <v>48.844999999999999</v>
      </c>
      <c r="AM69" s="2">
        <f t="shared" ca="1" si="36"/>
        <v>-2.6819531170027666E-2</v>
      </c>
      <c r="AO69" s="9">
        <f t="shared" ca="1" si="37"/>
        <v>80.31972463112335</v>
      </c>
      <c r="AP69">
        <f t="shared" ca="1" si="38"/>
        <v>82.492581602373846</v>
      </c>
      <c r="AQ69">
        <f t="shared" ca="1" si="39"/>
        <v>84.629629629629676</v>
      </c>
      <c r="AR69">
        <f t="shared" ca="1" si="40"/>
        <v>99.592211234580503</v>
      </c>
      <c r="AT69" s="21">
        <f ca="1">MAX($AO$3:AO70)</f>
        <v>106.96839029133979</v>
      </c>
      <c r="AU69" s="2">
        <f t="shared" ca="1" si="41"/>
        <v>-0.24912654652122901</v>
      </c>
    </row>
    <row r="70" spans="1:47" x14ac:dyDescent="0.25">
      <c r="A70" vm="1114">
        <f ca="1"/>
        <v>45754</v>
      </c>
      <c r="B70" vm="1115">
        <f ca="1"/>
        <v>89.4</v>
      </c>
      <c r="C70" vm="1116">
        <f ca="1"/>
        <v>132.6</v>
      </c>
      <c r="D70" vm="1117">
        <f ca="1"/>
        <v>285.85000000000002</v>
      </c>
      <c r="E70" vm="1118">
        <f ca="1"/>
        <v>223.15</v>
      </c>
      <c r="F70" vm="1119">
        <f ca="1"/>
        <v>160.52000000000001</v>
      </c>
      <c r="G70" vm="1120">
        <f ca="1"/>
        <v>95.18</v>
      </c>
      <c r="H70" vm="1121">
        <f ca="1"/>
        <v>327.7</v>
      </c>
      <c r="I70" vm="1122">
        <f ca="1"/>
        <v>147.84</v>
      </c>
      <c r="J70" vm="1123">
        <f ca="1"/>
        <v>399</v>
      </c>
      <c r="K70" vm="1038">
        <f ca="1"/>
        <v>19.399999999999999</v>
      </c>
      <c r="L70" vm="1124">
        <f ca="1"/>
        <v>137.18</v>
      </c>
      <c r="M70" vm="1125">
        <f ca="1"/>
        <v>196.74</v>
      </c>
      <c r="N70" vm="1126">
        <f ca="1"/>
        <v>17.329999999999998</v>
      </c>
      <c r="O70" vm="1127">
        <f ca="1"/>
        <v>469.95</v>
      </c>
      <c r="Q70" s="4">
        <f t="shared" ca="1" si="21"/>
        <v>2.9140219272937307E-2</v>
      </c>
      <c r="R70" s="4">
        <f t="shared" ca="1" si="22"/>
        <v>1.0979161998655451E-2</v>
      </c>
      <c r="S70" s="4">
        <f t="shared" ca="1" si="23"/>
        <v>5.0640890943475458E-2</v>
      </c>
      <c r="T70" s="4">
        <f t="shared" ca="1" si="31"/>
        <v>-2.5974025974025983E-2</v>
      </c>
      <c r="U70" s="4">
        <f t="shared" ca="1" si="32"/>
        <v>8.771929824562541E-4</v>
      </c>
      <c r="V70" s="4">
        <f t="shared" ca="1" si="24"/>
        <v>-2.0022371364653346E-2</v>
      </c>
      <c r="W70" s="4">
        <f t="shared" ca="1" si="25"/>
        <v>-3.9122850735110903E-2</v>
      </c>
      <c r="X70" s="4">
        <f t="shared" ca="1" si="26"/>
        <v>2.3431940632306469E-2</v>
      </c>
      <c r="Y70" s="4">
        <f t="shared" ca="1" si="27"/>
        <v>-1.836627601889107E-2</v>
      </c>
      <c r="Z70" s="4">
        <f t="shared" ca="1" si="28"/>
        <v>0.1054089517422363</v>
      </c>
      <c r="AA70" s="4">
        <f t="shared" ca="1" si="29"/>
        <v>-1.2206286237412267E-2</v>
      </c>
      <c r="AB70" s="4">
        <f t="shared" ca="1" si="33"/>
        <v>5.5431428875412303E-2</v>
      </c>
      <c r="AC70" s="4">
        <f t="shared" ca="1" si="34"/>
        <v>-2.4132730015082871E-2</v>
      </c>
      <c r="AD70" s="4"/>
      <c r="AE70" s="2" cm="1">
        <f t="array" aca="1" ref="AE70" ca="1">SUMPRODUCT(Q70:AB70,TRANSPOSE(Insights.!$H$4:$H$15))</f>
        <v>1.5627172941545683E-2</v>
      </c>
      <c r="AG70" s="10" vm="1114">
        <f ca="1"/>
        <v>45754</v>
      </c>
      <c r="AH70" s="1" vm="1128">
        <f ca="1"/>
        <v>87.19</v>
      </c>
      <c r="AI70" s="2">
        <f t="shared" ca="1" si="30"/>
        <v>-1.6240394540658287E-2</v>
      </c>
      <c r="AJ70" s="1" vm="1129">
        <f ca="1"/>
        <v>86.5</v>
      </c>
      <c r="AK70" s="2">
        <f t="shared" ca="1" si="35"/>
        <v>3.4104046242774633E-2</v>
      </c>
      <c r="AL70" s="1" vm="1130">
        <f ca="1"/>
        <v>47.534999999999997</v>
      </c>
      <c r="AM70" s="2">
        <f t="shared" ca="1" si="36"/>
        <v>-9.9926370043125212E-3</v>
      </c>
      <c r="AO70" s="9">
        <f t="shared" ca="1" si="37"/>
        <v>80.654740951227836</v>
      </c>
      <c r="AP70">
        <f t="shared" ca="1" si="38"/>
        <v>80.851261127596402</v>
      </c>
      <c r="AQ70">
        <f t="shared" ca="1" si="39"/>
        <v>82.14624881291553</v>
      </c>
      <c r="AR70">
        <f t="shared" ca="1" si="40"/>
        <v>96.921194821082693</v>
      </c>
      <c r="AT70" s="21">
        <f ca="1">MAX($AO$3:AO71)</f>
        <v>106.96839029133979</v>
      </c>
      <c r="AU70" s="2">
        <f t="shared" ca="1" si="41"/>
        <v>-0.24599462765069124</v>
      </c>
    </row>
    <row r="71" spans="1:47" x14ac:dyDescent="0.25">
      <c r="A71" vm="1131">
        <f ca="1"/>
        <v>45755</v>
      </c>
      <c r="B71" vm="1132">
        <f ca="1"/>
        <v>87.61</v>
      </c>
      <c r="C71" vm="1133">
        <f ca="1"/>
        <v>129.4</v>
      </c>
      <c r="D71" vm="1134">
        <f ca="1"/>
        <v>280.60000000000002</v>
      </c>
      <c r="E71" vm="179">
        <f ca="1"/>
        <v>225.6</v>
      </c>
      <c r="F71" vm="1135">
        <f ca="1"/>
        <v>154.24</v>
      </c>
      <c r="G71" vm="1136">
        <f ca="1"/>
        <v>100</v>
      </c>
      <c r="H71" vm="319">
        <f ca="1"/>
        <v>323.7</v>
      </c>
      <c r="I71" vm="1137">
        <f ca="1"/>
        <v>144</v>
      </c>
      <c r="J71" vm="1138">
        <f ca="1"/>
        <v>399.35</v>
      </c>
      <c r="K71" vm="1139">
        <f ca="1"/>
        <v>20</v>
      </c>
      <c r="L71" vm="1140">
        <f ca="1"/>
        <v>151.63999999999999</v>
      </c>
      <c r="M71" vm="1141">
        <f ca="1"/>
        <v>201.35</v>
      </c>
      <c r="N71" vm="1142">
        <f ca="1"/>
        <v>17.835000000000001</v>
      </c>
      <c r="O71" vm="1143">
        <f ca="1"/>
        <v>496</v>
      </c>
      <c r="Q71" s="4">
        <f t="shared" ca="1" si="21"/>
        <v>-4.1211101766190028E-2</v>
      </c>
      <c r="R71" s="4">
        <f t="shared" ca="1" si="22"/>
        <v>6.8262411347517649E-2</v>
      </c>
      <c r="S71" s="4">
        <f t="shared" ca="1" si="23"/>
        <v>9.2999999999999972E-2</v>
      </c>
      <c r="T71" s="4">
        <f t="shared" ca="1" si="31"/>
        <v>2.055555555555566E-2</v>
      </c>
      <c r="U71" s="4">
        <f t="shared" ca="1" si="32"/>
        <v>5.5965944660072431E-2</v>
      </c>
      <c r="V71" s="4">
        <f t="shared" ca="1" si="24"/>
        <v>0.1866225316744663</v>
      </c>
      <c r="W71" s="4">
        <f t="shared" ca="1" si="25"/>
        <v>0.13576244813278016</v>
      </c>
      <c r="X71" s="4">
        <f t="shared" ca="1" si="26"/>
        <v>6.8040725105537714E-2</v>
      </c>
      <c r="Y71" s="4">
        <f t="shared" ca="1" si="27"/>
        <v>6.6821097647897343E-2</v>
      </c>
      <c r="Z71" s="4">
        <f t="shared" ca="1" si="28"/>
        <v>-5.3679767871273931E-2</v>
      </c>
      <c r="AA71" s="4">
        <f t="shared" ca="1" si="29"/>
        <v>0.10781587890021638</v>
      </c>
      <c r="AB71" s="4">
        <f t="shared" ca="1" si="33"/>
        <v>-6.1391129032258074E-2</v>
      </c>
      <c r="AC71" s="4">
        <f t="shared" ca="1" si="34"/>
        <v>0.12055641421947438</v>
      </c>
      <c r="AD71" s="4"/>
      <c r="AE71" s="2" cm="1">
        <f t="array" aca="1" ref="AE71" ca="1">SUMPRODUCT(Q71:AB71,TRANSPOSE(Insights.!$H$4:$H$15))</f>
        <v>4.5517747335618211E-2</v>
      </c>
      <c r="AG71" s="10" vm="1131">
        <f ca="1"/>
        <v>45755</v>
      </c>
      <c r="AH71" s="1" vm="1144">
        <f ca="1"/>
        <v>85.774000000000001</v>
      </c>
      <c r="AI71" s="2">
        <f t="shared" ca="1" si="30"/>
        <v>0.102175484412526</v>
      </c>
      <c r="AJ71" s="1" vm="1145">
        <f ca="1"/>
        <v>89.45</v>
      </c>
      <c r="AK71" s="2">
        <f t="shared" ca="1" si="35"/>
        <v>-4.6115148127445549E-2</v>
      </c>
      <c r="AL71" s="1" vm="1146">
        <f ca="1"/>
        <v>47.06</v>
      </c>
      <c r="AM71" s="2">
        <f t="shared" ca="1" si="36"/>
        <v>8.1597960050998619E-2</v>
      </c>
      <c r="AO71" s="9">
        <f t="shared" ca="1" si="37"/>
        <v>81.915146536628228</v>
      </c>
      <c r="AP71">
        <f t="shared" ca="1" si="38"/>
        <v>79.538204747774444</v>
      </c>
      <c r="AQ71">
        <f t="shared" ca="1" si="39"/>
        <v>84.947768281101673</v>
      </c>
      <c r="AR71">
        <f t="shared" ca="1" si="40"/>
        <v>95.952696503211357</v>
      </c>
      <c r="AT71" s="21">
        <f ca="1">MAX($AO$3:AO72)</f>
        <v>106.96839029133979</v>
      </c>
      <c r="AU71" s="2">
        <f t="shared" ca="1" si="41"/>
        <v>-0.23421165529813415</v>
      </c>
    </row>
    <row r="72" spans="1:47" x14ac:dyDescent="0.25">
      <c r="A72" vm="1147">
        <f ca="1"/>
        <v>45756</v>
      </c>
      <c r="B72" vm="1148">
        <f ca="1"/>
        <v>103.96</v>
      </c>
      <c r="C72" vm="1149">
        <f ca="1"/>
        <v>145</v>
      </c>
      <c r="D72" vm="1150">
        <f ca="1"/>
        <v>299.35000000000002</v>
      </c>
      <c r="E72" vm="1151">
        <f ca="1"/>
        <v>241</v>
      </c>
      <c r="F72" vm="1152">
        <f ca="1"/>
        <v>175.18</v>
      </c>
      <c r="G72" vm="1153">
        <f ca="1"/>
        <v>109.3</v>
      </c>
      <c r="H72" vm="1154">
        <f ca="1"/>
        <v>358.6</v>
      </c>
      <c r="I72" vm="1155">
        <f ca="1"/>
        <v>146.96</v>
      </c>
      <c r="J72" vm="1156">
        <f ca="1"/>
        <v>421.7</v>
      </c>
      <c r="K72" vm="1157">
        <f ca="1"/>
        <v>21.2</v>
      </c>
      <c r="L72" vm="1158">
        <f ca="1"/>
        <v>143.5</v>
      </c>
      <c r="M72" vm="1159">
        <f ca="1"/>
        <v>215.05</v>
      </c>
      <c r="N72" vm="1160">
        <f ca="1"/>
        <v>17.100000000000001</v>
      </c>
      <c r="O72" vm="1161">
        <f ca="1"/>
        <v>465.55</v>
      </c>
      <c r="Q72" s="4">
        <f t="shared" ca="1" si="21"/>
        <v>3.8596491228070073E-2</v>
      </c>
      <c r="R72" s="4">
        <f t="shared" ca="1" si="22"/>
        <v>-5.8506224066390056E-2</v>
      </c>
      <c r="S72" s="4">
        <f t="shared" ca="1" si="23"/>
        <v>-9.460201280878322E-2</v>
      </c>
      <c r="T72" s="4">
        <f t="shared" ca="1" si="31"/>
        <v>-1.7691888949374901E-3</v>
      </c>
      <c r="U72" s="4">
        <f t="shared" ca="1" si="32"/>
        <v>-1.7785155323689628E-3</v>
      </c>
      <c r="V72" s="4">
        <f t="shared" ca="1" si="24"/>
        <v>-7.6567910734897993E-2</v>
      </c>
      <c r="W72" s="4">
        <f t="shared" ca="1" si="25"/>
        <v>-8.0602808539787629E-2</v>
      </c>
      <c r="X72" s="4">
        <f t="shared" ca="1" si="26"/>
        <v>-5.8823529411764719E-2</v>
      </c>
      <c r="Y72" s="4">
        <f t="shared" ca="1" si="27"/>
        <v>-2.9062969767830404E-2</v>
      </c>
      <c r="Z72" s="4">
        <f t="shared" ca="1" si="28"/>
        <v>6.912891986062708E-2</v>
      </c>
      <c r="AA72" s="4">
        <f t="shared" ca="1" si="29"/>
        <v>-5.3123257110987199E-2</v>
      </c>
      <c r="AB72" s="4">
        <f t="shared" ca="1" si="33"/>
        <v>6.7554505423692346E-2</v>
      </c>
      <c r="AC72" s="4">
        <f t="shared" ca="1" si="34"/>
        <v>-7.5862068965517282E-2</v>
      </c>
      <c r="AD72" s="4"/>
      <c r="AE72" s="2" cm="1">
        <f t="array" aca="1" ref="AE72" ca="1">SUMPRODUCT(Q72:AB72,TRANSPOSE(Insights.!$H$4:$H$15))</f>
        <v>-2.0403582903154013E-2</v>
      </c>
      <c r="AG72" s="10" vm="1147">
        <f ca="1"/>
        <v>45756</v>
      </c>
      <c r="AH72" s="1" vm="1162">
        <f ca="1"/>
        <v>94.537999999999997</v>
      </c>
      <c r="AI72" s="2">
        <f t="shared" ca="1" si="30"/>
        <v>-6.2472233387632414E-2</v>
      </c>
      <c r="AJ72" s="1" vm="1163">
        <f ca="1"/>
        <v>85.325000000000003</v>
      </c>
      <c r="AK72" s="2">
        <f t="shared" ca="1" si="35"/>
        <v>3.9613243480808524E-2</v>
      </c>
      <c r="AL72" s="1" vm="1164">
        <f ca="1"/>
        <v>50.9</v>
      </c>
      <c r="AM72" s="2">
        <f t="shared" ca="1" si="36"/>
        <v>-5.3536345776031502E-2</v>
      </c>
      <c r="AO72" s="9">
        <f t="shared" ca="1" si="37"/>
        <v>85.643739479642619</v>
      </c>
      <c r="AP72">
        <f t="shared" ca="1" si="38"/>
        <v>87.665059347180971</v>
      </c>
      <c r="AQ72">
        <f t="shared" ca="1" si="39"/>
        <v>81.030389363722747</v>
      </c>
      <c r="AR72">
        <f t="shared" ca="1" si="40"/>
        <v>103.78224079926599</v>
      </c>
      <c r="AT72" s="21">
        <f ca="1">MAX($AO$3:AO73)</f>
        <v>106.96839029133979</v>
      </c>
      <c r="AU72" s="2">
        <f t="shared" ca="1" si="41"/>
        <v>-0.19935469491143332</v>
      </c>
    </row>
    <row r="73" spans="1:47" x14ac:dyDescent="0.25">
      <c r="A73" vm="1165">
        <f ca="1"/>
        <v>45757</v>
      </c>
      <c r="B73" vm="1166">
        <f ca="1"/>
        <v>96</v>
      </c>
      <c r="C73" vm="1167">
        <f ca="1"/>
        <v>134</v>
      </c>
      <c r="D73" vm="1168">
        <f ca="1"/>
        <v>290.64999999999998</v>
      </c>
      <c r="E73" vm="1169">
        <f ca="1"/>
        <v>226.9</v>
      </c>
      <c r="F73" vm="1170">
        <f ca="1"/>
        <v>161.06</v>
      </c>
      <c r="G73" vm="1171">
        <f ca="1"/>
        <v>98.96</v>
      </c>
      <c r="H73" vm="1172">
        <f ca="1"/>
        <v>339.55</v>
      </c>
      <c r="I73" vm="1173">
        <f ca="1"/>
        <v>146.69999999999999</v>
      </c>
      <c r="J73" vm="1174">
        <f ca="1"/>
        <v>420.95</v>
      </c>
      <c r="K73" vm="1024">
        <f ca="1"/>
        <v>20.6</v>
      </c>
      <c r="L73" vm="1175">
        <f ca="1"/>
        <v>153.41999999999999</v>
      </c>
      <c r="M73" vm="1176">
        <f ca="1"/>
        <v>202.4</v>
      </c>
      <c r="N73" vm="1177">
        <f ca="1"/>
        <v>17.760000000000002</v>
      </c>
      <c r="O73" vm="1178">
        <f ca="1"/>
        <v>497</v>
      </c>
      <c r="Q73" s="4">
        <f t="shared" ca="1" si="21"/>
        <v>4.5045045045044585E-3</v>
      </c>
      <c r="R73" s="4">
        <f t="shared" ca="1" si="22"/>
        <v>-2.2036139268400201E-2</v>
      </c>
      <c r="S73" s="4">
        <f t="shared" ca="1" si="23"/>
        <v>4.4462409054164542E-3</v>
      </c>
      <c r="T73" s="4">
        <f t="shared" ca="1" si="31"/>
        <v>6.8166325835037345E-3</v>
      </c>
      <c r="U73" s="4">
        <f t="shared" ca="1" si="32"/>
        <v>-2.5181137902363648E-2</v>
      </c>
      <c r="V73" s="4">
        <f t="shared" ca="1" si="24"/>
        <v>1.4375000000000027E-2</v>
      </c>
      <c r="W73" s="4">
        <f t="shared" ca="1" si="25"/>
        <v>1.080342729417616E-2</v>
      </c>
      <c r="X73" s="4">
        <f t="shared" ca="1" si="26"/>
        <v>3.3843873517786616E-2</v>
      </c>
      <c r="Y73" s="4">
        <f t="shared" ca="1" si="27"/>
        <v>1.5482539136418394E-2</v>
      </c>
      <c r="Z73" s="4">
        <f t="shared" ca="1" si="28"/>
        <v>1.3166471125016344E-2</v>
      </c>
      <c r="AA73" s="4">
        <f t="shared" ca="1" si="29"/>
        <v>8.54071565307013E-3</v>
      </c>
      <c r="AB73" s="4">
        <f t="shared" ca="1" si="33"/>
        <v>-2.2837022132796814E-2</v>
      </c>
      <c r="AC73" s="4">
        <f t="shared" ca="1" si="34"/>
        <v>2.9850746268656803E-2</v>
      </c>
      <c r="AD73" s="4"/>
      <c r="AE73" s="2" cm="1">
        <f t="array" aca="1" ref="AE73" ca="1">SUMPRODUCT(Q73:AB73,TRANSPOSE(Insights.!$H$4:$H$15))</f>
        <v>2.2046810215147015E-3</v>
      </c>
      <c r="AG73" s="10" vm="1165">
        <f ca="1"/>
        <v>45757</v>
      </c>
      <c r="AH73" s="1" vm="1179">
        <f ca="1"/>
        <v>88.632000000000005</v>
      </c>
      <c r="AI73" s="2">
        <f t="shared" ca="1" si="30"/>
        <v>1.2659084754941707E-2</v>
      </c>
      <c r="AJ73" s="1" vm="1180">
        <f ca="1"/>
        <v>88.704999999999998</v>
      </c>
      <c r="AK73" s="2">
        <f t="shared" ca="1" si="35"/>
        <v>-1.0145989515810694E-2</v>
      </c>
      <c r="AL73" s="1" vm="1181">
        <f ca="1"/>
        <v>48.174999999999997</v>
      </c>
      <c r="AM73" s="2">
        <f t="shared" ca="1" si="36"/>
        <v>1.1624286455630628E-2</v>
      </c>
      <c r="AO73" s="9">
        <f t="shared" ca="1" si="37"/>
        <v>83.896300341033609</v>
      </c>
      <c r="AP73">
        <f t="shared" ca="1" si="38"/>
        <v>82.188427299703235</v>
      </c>
      <c r="AQ73">
        <f t="shared" ca="1" si="39"/>
        <v>84.240265906932621</v>
      </c>
      <c r="AR73">
        <f t="shared" ca="1" si="40"/>
        <v>98.226118870425125</v>
      </c>
      <c r="AT73" s="21">
        <f ca="1">MAX($AO$3:AO74)</f>
        <v>106.96839029133979</v>
      </c>
      <c r="AU73" s="2">
        <f t="shared" ca="1" si="41"/>
        <v>-0.21569072776982889</v>
      </c>
    </row>
    <row r="74" spans="1:47" x14ac:dyDescent="0.25">
      <c r="A74" vm="1182">
        <f ca="1"/>
        <v>45758</v>
      </c>
      <c r="B74" vm="1183">
        <f ca="1"/>
        <v>97.38</v>
      </c>
      <c r="C74" vm="1184">
        <f ca="1"/>
        <v>138</v>
      </c>
      <c r="D74" vm="1185">
        <f ca="1"/>
        <v>295.14999999999998</v>
      </c>
      <c r="E74" vm="546">
        <f ca="1"/>
        <v>221.9</v>
      </c>
      <c r="F74" vm="353">
        <f ca="1"/>
        <v>162.80000000000001</v>
      </c>
      <c r="G74" vm="1186">
        <f ca="1"/>
        <v>99.4</v>
      </c>
      <c r="H74" vm="1187">
        <f ca="1"/>
        <v>342.45</v>
      </c>
      <c r="I74" vm="1188">
        <f ca="1"/>
        <v>147.69999999999999</v>
      </c>
      <c r="J74" vm="1189">
        <f ca="1"/>
        <v>410.35</v>
      </c>
      <c r="K74" vm="1190">
        <f ca="1"/>
        <v>18.3</v>
      </c>
      <c r="L74" vm="1191">
        <f ca="1"/>
        <v>155.44</v>
      </c>
      <c r="M74" vm="1192">
        <f ca="1"/>
        <v>209.25</v>
      </c>
      <c r="N74" vm="1193">
        <f ca="1"/>
        <v>17.84</v>
      </c>
      <c r="O74" vm="295">
        <f ca="1"/>
        <v>485.65</v>
      </c>
      <c r="Q74" s="4">
        <f t="shared" ca="1" si="21"/>
        <v>-1.5695067264574036E-2</v>
      </c>
      <c r="R74" s="4">
        <f t="shared" ca="1" si="22"/>
        <v>1.4646237043713484E-2</v>
      </c>
      <c r="S74" s="4">
        <f t="shared" ca="1" si="23"/>
        <v>-1.3279678068410572E-2</v>
      </c>
      <c r="T74" s="4">
        <f t="shared" ca="1" si="31"/>
        <v>1.2322274881516826E-2</v>
      </c>
      <c r="U74" s="4">
        <f t="shared" ca="1" si="32"/>
        <v>1.4377970025587938E-2</v>
      </c>
      <c r="V74" s="4">
        <f t="shared" ca="1" si="24"/>
        <v>1.1295953994661101E-3</v>
      </c>
      <c r="W74" s="4">
        <f t="shared" ca="1" si="25"/>
        <v>-1.3022113022113091E-2</v>
      </c>
      <c r="X74" s="4">
        <f t="shared" ca="1" si="26"/>
        <v>-9.0800477897252652E-3</v>
      </c>
      <c r="Y74" s="4">
        <f t="shared" ca="1" si="27"/>
        <v>6.2679993223784258E-3</v>
      </c>
      <c r="Z74" s="4">
        <f t="shared" ca="1" si="28"/>
        <v>1.1322696860524895E-2</v>
      </c>
      <c r="AA74" s="4">
        <f t="shared" ca="1" si="29"/>
        <v>4.3802014892690977E-4</v>
      </c>
      <c r="AB74" s="4">
        <f t="shared" ca="1" si="33"/>
        <v>3.8093277051374219E-3</v>
      </c>
      <c r="AC74" s="4">
        <f t="shared" ca="1" si="34"/>
        <v>-4.3478260869564966E-3</v>
      </c>
      <c r="AD74" s="4"/>
      <c r="AE74" s="2" cm="1">
        <f t="array" aca="1" ref="AE74" ca="1">SUMPRODUCT(Q74:AB74,TRANSPOSE(Insights.!$H$4:$H$15))</f>
        <v>1.7118730227155263E-3</v>
      </c>
      <c r="AG74" s="10" vm="1182">
        <f ca="1"/>
        <v>45758</v>
      </c>
      <c r="AH74" s="1" vm="1194">
        <f ca="1"/>
        <v>89.754000000000005</v>
      </c>
      <c r="AI74" s="2">
        <f t="shared" ca="1" si="30"/>
        <v>2.9859393453217642E-3</v>
      </c>
      <c r="AJ74" s="1" vm="1195">
        <f ca="1"/>
        <v>87.805000000000007</v>
      </c>
      <c r="AK74" s="2">
        <f t="shared" ca="1" si="35"/>
        <v>2.8870793235009407E-2</v>
      </c>
      <c r="AL74" s="1" vm="1196">
        <f ca="1"/>
        <v>48.734999999999999</v>
      </c>
      <c r="AM74" s="2">
        <f t="shared" ca="1" si="36"/>
        <v>8.8232276597928205E-3</v>
      </c>
      <c r="AO74" s="9">
        <f t="shared" ca="1" si="37"/>
        <v>84.081264922170774</v>
      </c>
      <c r="AP74">
        <f t="shared" ca="1" si="38"/>
        <v>83.228857566765541</v>
      </c>
      <c r="AQ74">
        <f t="shared" ca="1" si="39"/>
        <v>83.385565052231783</v>
      </c>
      <c r="AR74">
        <f t="shared" ca="1" si="40"/>
        <v>99.367927413599773</v>
      </c>
      <c r="AT74" s="21">
        <f ca="1">MAX($AO$3:AO75)</f>
        <v>106.96839029133979</v>
      </c>
      <c r="AU74" s="2">
        <f t="shared" ca="1" si="41"/>
        <v>-0.21396157600234511</v>
      </c>
    </row>
    <row r="75" spans="1:47" x14ac:dyDescent="0.25">
      <c r="A75" vm="1197">
        <f ca="1"/>
        <v>45761</v>
      </c>
      <c r="B75" vm="1198">
        <f ca="1"/>
        <v>97.49</v>
      </c>
      <c r="C75" vm="1199">
        <f ca="1"/>
        <v>137.4</v>
      </c>
      <c r="D75" vm="1200">
        <f ca="1"/>
        <v>297</v>
      </c>
      <c r="E75" vm="1201">
        <f ca="1"/>
        <v>225.15</v>
      </c>
      <c r="F75" vm="1202">
        <f ca="1"/>
        <v>160.68</v>
      </c>
      <c r="G75" vm="1203">
        <f ca="1"/>
        <v>98.08</v>
      </c>
      <c r="H75" vm="1204">
        <f ca="1"/>
        <v>342.6</v>
      </c>
      <c r="I75" vm="1205">
        <f ca="1"/>
        <v>149.52000000000001</v>
      </c>
      <c r="J75" vm="1206">
        <f ca="1"/>
        <v>416.25</v>
      </c>
      <c r="K75" vm="1207">
        <f ca="1"/>
        <v>19.600000000000001</v>
      </c>
      <c r="L75" vm="1208">
        <f ca="1"/>
        <v>157.19999999999999</v>
      </c>
      <c r="M75" vm="606">
        <f ca="1"/>
        <v>207.35</v>
      </c>
      <c r="N75" vm="1209">
        <f ca="1"/>
        <v>17.559999999999999</v>
      </c>
      <c r="O75" vm="1210">
        <f ca="1"/>
        <v>487.5</v>
      </c>
      <c r="Q75" s="4">
        <f t="shared" ca="1" si="21"/>
        <v>-4.6127562642368947E-2</v>
      </c>
      <c r="R75" s="4">
        <f t="shared" ca="1" si="22"/>
        <v>5.5518543193426861E-3</v>
      </c>
      <c r="S75" s="4">
        <f t="shared" ca="1" si="23"/>
        <v>3.7928221859706346E-2</v>
      </c>
      <c r="T75" s="4">
        <f t="shared" ca="1" si="31"/>
        <v>2.5414660246121379E-3</v>
      </c>
      <c r="U75" s="4">
        <f t="shared" ca="1" si="32"/>
        <v>3.2432432432432101E-3</v>
      </c>
      <c r="V75" s="4">
        <f t="shared" ca="1" si="24"/>
        <v>2.0514924607652141E-2</v>
      </c>
      <c r="W75" s="4">
        <f t="shared" ca="1" si="25"/>
        <v>-1.2322628827483362E-2</v>
      </c>
      <c r="X75" s="4">
        <f t="shared" ca="1" si="26"/>
        <v>1.4468290330360567E-3</v>
      </c>
      <c r="Y75" s="4">
        <f t="shared" ca="1" si="27"/>
        <v>2.525252525252597E-3</v>
      </c>
      <c r="Z75" s="4">
        <f t="shared" ca="1" si="28"/>
        <v>1.8066157760814328E-2</v>
      </c>
      <c r="AA75" s="4">
        <f t="shared" ca="1" si="29"/>
        <v>-1.6053706946876911E-3</v>
      </c>
      <c r="AB75" s="4">
        <f t="shared" ca="1" si="33"/>
        <v>4.1025641025641102E-2</v>
      </c>
      <c r="AC75" s="4">
        <f t="shared" ca="1" si="34"/>
        <v>1.1644832605531175E-2</v>
      </c>
      <c r="AD75" s="4"/>
      <c r="AE75" s="2" cm="1">
        <f t="array" aca="1" ref="AE75" ca="1">SUMPRODUCT(Q75:AB75,TRANSPOSE(Insights.!$H$4:$H$15))</f>
        <v>5.6414851546191507E-3</v>
      </c>
      <c r="AG75" s="10" vm="1197">
        <f ca="1"/>
        <v>45761</v>
      </c>
      <c r="AH75" s="1" vm="1211">
        <f ca="1"/>
        <v>90.022000000000006</v>
      </c>
      <c r="AI75" s="2">
        <f t="shared" ca="1" si="30"/>
        <v>6.8649885583522696E-3</v>
      </c>
      <c r="AJ75" s="1" vm="1212">
        <f ca="1"/>
        <v>90.34</v>
      </c>
      <c r="AK75" s="2">
        <f t="shared" ca="1" si="35"/>
        <v>9.851671463360745E-3</v>
      </c>
      <c r="AL75" s="1" vm="1213">
        <f ca="1"/>
        <v>49.164999999999999</v>
      </c>
      <c r="AM75" s="2">
        <f t="shared" ca="1" si="36"/>
        <v>1.6576833112986744E-2</v>
      </c>
      <c r="AO75" s="9">
        <f t="shared" ca="1" si="37"/>
        <v>84.225201371306838</v>
      </c>
      <c r="AP75">
        <f t="shared" ca="1" si="38"/>
        <v>83.477373887240333</v>
      </c>
      <c r="AQ75">
        <f t="shared" ca="1" si="39"/>
        <v>85.792972459639188</v>
      </c>
      <c r="AR75">
        <f t="shared" ca="1" si="40"/>
        <v>100.24467325925173</v>
      </c>
      <c r="AT75" s="21">
        <f ca="1">MAX($AO$3:AO76)</f>
        <v>106.96839029133979</v>
      </c>
      <c r="AU75" s="2">
        <f t="shared" ca="1" si="41"/>
        <v>-0.21261597802948573</v>
      </c>
    </row>
    <row r="76" spans="1:47" x14ac:dyDescent="0.25">
      <c r="A76" vm="1214">
        <f ca="1"/>
        <v>45762</v>
      </c>
      <c r="B76" vm="1215">
        <f ca="1"/>
        <v>99.49</v>
      </c>
      <c r="C76" vm="1216">
        <f ca="1"/>
        <v>139</v>
      </c>
      <c r="D76" vm="1217">
        <f ca="1"/>
        <v>297.75</v>
      </c>
      <c r="E76" vm="1218">
        <f ca="1"/>
        <v>226.4</v>
      </c>
      <c r="F76" vm="241">
        <f ca="1"/>
        <v>158.69999999999999</v>
      </c>
      <c r="G76" vm="1219">
        <f ca="1"/>
        <v>101.8</v>
      </c>
      <c r="H76" vm="1220">
        <f ca="1"/>
        <v>342.05</v>
      </c>
      <c r="I76" vm="1221">
        <f ca="1"/>
        <v>149.9</v>
      </c>
      <c r="J76" vm="1222">
        <f ca="1"/>
        <v>417.6</v>
      </c>
      <c r="K76" vm="1092">
        <f ca="1"/>
        <v>18.600000000000001</v>
      </c>
      <c r="L76" vm="1223">
        <f ca="1"/>
        <v>160.04</v>
      </c>
      <c r="M76" vm="1224">
        <f ca="1"/>
        <v>207.65</v>
      </c>
      <c r="N76" vm="1225">
        <f ca="1"/>
        <v>16.75</v>
      </c>
      <c r="O76" vm="1226">
        <f ca="1"/>
        <v>507.5</v>
      </c>
      <c r="Q76" s="4">
        <f t="shared" ca="1" si="21"/>
        <v>-2.3283582089552279E-2</v>
      </c>
      <c r="R76" s="4">
        <f t="shared" ca="1" si="22"/>
        <v>-2.8710247349823304E-2</v>
      </c>
      <c r="S76" s="4">
        <f t="shared" ca="1" si="23"/>
        <v>-3.9292730844793677E-2</v>
      </c>
      <c r="T76" s="4">
        <f t="shared" ca="1" si="31"/>
        <v>-2.6017344896597794E-2</v>
      </c>
      <c r="U76" s="4">
        <f t="shared" ca="1" si="32"/>
        <v>-1.0775862068965525E-2</v>
      </c>
      <c r="V76" s="4">
        <f t="shared" ca="1" si="24"/>
        <v>-8.0209066237812765E-2</v>
      </c>
      <c r="W76" s="4">
        <f t="shared" ca="1" si="25"/>
        <v>-4.2470069313169434E-2</v>
      </c>
      <c r="X76" s="4">
        <f t="shared" ca="1" si="26"/>
        <v>-3.6840837948471039E-2</v>
      </c>
      <c r="Y76" s="4">
        <f t="shared" ca="1" si="27"/>
        <v>-1.9983207388748925E-2</v>
      </c>
      <c r="Z76" s="4">
        <f t="shared" ca="1" si="28"/>
        <v>-3.5866033491626981E-2</v>
      </c>
      <c r="AA76" s="4">
        <f t="shared" ca="1" si="29"/>
        <v>-4.6776787019441546E-2</v>
      </c>
      <c r="AB76" s="4">
        <f t="shared" ca="1" si="33"/>
        <v>-9.8522167487684609E-3</v>
      </c>
      <c r="AC76" s="4">
        <f t="shared" ca="1" si="34"/>
        <v>-4.0287769784172589E-2</v>
      </c>
      <c r="AD76" s="4"/>
      <c r="AE76" s="2" cm="1">
        <f t="array" aca="1" ref="AE76" ca="1">SUMPRODUCT(Q76:AB76,TRANSPOSE(Insights.!$H$4:$H$15))</f>
        <v>-2.8775506988809658E-2</v>
      </c>
      <c r="AG76" s="10" vm="1214">
        <f ca="1"/>
        <v>45762</v>
      </c>
      <c r="AH76" s="1" vm="1227">
        <f ca="1"/>
        <v>90.64</v>
      </c>
      <c r="AI76" s="2">
        <f t="shared" ca="1" si="30"/>
        <v>-3.5745807590467749E-2</v>
      </c>
      <c r="AJ76" s="1" vm="1228">
        <f ca="1"/>
        <v>91.23</v>
      </c>
      <c r="AK76" s="2">
        <f t="shared" ca="1" si="35"/>
        <v>-1.211224377945852E-2</v>
      </c>
      <c r="AL76" s="1" vm="135">
        <f ca="1"/>
        <v>49.98</v>
      </c>
      <c r="AM76" s="2">
        <f t="shared" ca="1" si="36"/>
        <v>-8.1032412965185152E-3</v>
      </c>
      <c r="AO76" s="9">
        <f t="shared" ca="1" si="37"/>
        <v>84.700356594487872</v>
      </c>
      <c r="AP76">
        <f t="shared" ca="1" si="38"/>
        <v>84.050445103857527</v>
      </c>
      <c r="AQ76">
        <f t="shared" ca="1" si="39"/>
        <v>86.638176638176716</v>
      </c>
      <c r="AR76">
        <f t="shared" ca="1" si="40"/>
        <v>101.90641247833622</v>
      </c>
      <c r="AT76" s="21">
        <f ca="1">MAX($AO$3:AO77)</f>
        <v>106.96839029133979</v>
      </c>
      <c r="AU76" s="2">
        <f t="shared" ca="1" si="41"/>
        <v>-0.20817396275855471</v>
      </c>
    </row>
    <row r="77" spans="1:47" x14ac:dyDescent="0.25">
      <c r="A77" vm="1229">
        <f ca="1"/>
        <v>45763</v>
      </c>
      <c r="B77" vm="1230">
        <f ca="1"/>
        <v>91.51</v>
      </c>
      <c r="C77" vm="1231">
        <f ca="1"/>
        <v>133.4</v>
      </c>
      <c r="D77" vm="1232">
        <f ca="1"/>
        <v>291.8</v>
      </c>
      <c r="E77" vm="1233">
        <f ca="1"/>
        <v>219.9</v>
      </c>
      <c r="F77" vm="1234">
        <f ca="1"/>
        <v>151.96</v>
      </c>
      <c r="G77" vm="1235">
        <f ca="1"/>
        <v>97.8</v>
      </c>
      <c r="H77" vm="738">
        <f ca="1"/>
        <v>326.05</v>
      </c>
      <c r="I77" vm="1236">
        <f ca="1"/>
        <v>146</v>
      </c>
      <c r="J77" vm="177">
        <f ca="1"/>
        <v>413.1</v>
      </c>
      <c r="K77" vm="1237">
        <f ca="1"/>
        <v>17.899999999999999</v>
      </c>
      <c r="L77" vm="907">
        <f ca="1"/>
        <v>154.30000000000001</v>
      </c>
      <c r="M77" vm="401">
        <f ca="1"/>
        <v>200</v>
      </c>
      <c r="N77" vm="1238">
        <f ca="1"/>
        <v>16.36</v>
      </c>
      <c r="O77" vm="1239">
        <f ca="1"/>
        <v>502.5</v>
      </c>
      <c r="Q77" s="4">
        <f t="shared" ca="1" si="21"/>
        <v>-9.1687041564790794E-3</v>
      </c>
      <c r="R77" s="4">
        <f t="shared" ca="1" si="22"/>
        <v>-9.5497953615278908E-3</v>
      </c>
      <c r="S77" s="4">
        <f t="shared" ca="1" si="23"/>
        <v>5.2658486707566565E-2</v>
      </c>
      <c r="T77" s="4">
        <f t="shared" ca="1" si="31"/>
        <v>2.9452054794520732E-2</v>
      </c>
      <c r="U77" s="4">
        <f t="shared" ca="1" si="32"/>
        <v>-5.4466230936819349E-3</v>
      </c>
      <c r="V77" s="4">
        <f t="shared" ca="1" si="24"/>
        <v>-2.8302917713911135E-2</v>
      </c>
      <c r="W77" s="4">
        <f t="shared" ca="1" si="25"/>
        <v>-1.7109765727824078E-3</v>
      </c>
      <c r="X77" s="4">
        <f t="shared" ca="1" si="26"/>
        <v>2.8000000000000025E-2</v>
      </c>
      <c r="Y77" s="4">
        <f t="shared" ca="1" si="27"/>
        <v>4.1124057573680428E-3</v>
      </c>
      <c r="Z77" s="4">
        <f t="shared" ca="1" si="28"/>
        <v>-2.4756966947504955E-2</v>
      </c>
      <c r="AA77" s="4">
        <f t="shared" ca="1" si="29"/>
        <v>-9.507744211010638E-3</v>
      </c>
      <c r="AB77" s="4">
        <f t="shared" ca="1" si="33"/>
        <v>-8.3582089552238781E-3</v>
      </c>
      <c r="AC77" s="4">
        <f t="shared" ca="1" si="34"/>
        <v>4.4977511244377322E-3</v>
      </c>
      <c r="AD77" s="4"/>
      <c r="AE77" s="2" cm="1">
        <f t="array" aca="1" ref="AE77" ca="1">SUMPRODUCT(Q77:AB77,TRANSPOSE(Insights.!$H$4:$H$15))</f>
        <v>1.0411064145508029E-3</v>
      </c>
      <c r="AG77" s="10" vm="1229">
        <f ca="1"/>
        <v>45763</v>
      </c>
      <c r="AH77" s="1" vm="1240">
        <f ca="1"/>
        <v>87.4</v>
      </c>
      <c r="AI77" s="2">
        <f t="shared" ca="1" si="30"/>
        <v>6.6590389016016882E-3</v>
      </c>
      <c r="AJ77" s="1" vm="1241">
        <f ca="1"/>
        <v>90.125</v>
      </c>
      <c r="AK77" s="2">
        <f t="shared" ca="1" si="35"/>
        <v>-9.4868238557559437E-3</v>
      </c>
      <c r="AL77" s="1" vm="1242">
        <f ca="1"/>
        <v>49.575000000000003</v>
      </c>
      <c r="AM77" s="2">
        <f t="shared" ca="1" si="36"/>
        <v>1.1195158850226816E-2</v>
      </c>
      <c r="AO77" s="9">
        <f t="shared" ca="1" si="37"/>
        <v>82.263060891348516</v>
      </c>
      <c r="AP77">
        <f t="shared" ca="1" si="38"/>
        <v>81.04599406528186</v>
      </c>
      <c r="AQ77">
        <f t="shared" ca="1" si="39"/>
        <v>85.588793922127337</v>
      </c>
      <c r="AR77">
        <f t="shared" ca="1" si="40"/>
        <v>101.08064022836172</v>
      </c>
      <c r="AT77" s="21">
        <f ca="1">MAX($AO$3:AO78)</f>
        <v>106.96839029133979</v>
      </c>
      <c r="AU77" s="2">
        <f t="shared" ca="1" si="41"/>
        <v>-0.23095915842711734</v>
      </c>
    </row>
    <row r="78" spans="1:47" x14ac:dyDescent="0.25">
      <c r="A78" vm="1243">
        <f ca="1"/>
        <v>45764</v>
      </c>
      <c r="B78" vm="1244">
        <f ca="1"/>
        <v>88.92</v>
      </c>
      <c r="C78" vm="1167">
        <f ca="1"/>
        <v>134</v>
      </c>
      <c r="D78" vm="1245">
        <f ca="1"/>
        <v>293</v>
      </c>
      <c r="E78" vm="1246">
        <f ca="1"/>
        <v>217.8</v>
      </c>
      <c r="F78" vm="1247">
        <f ca="1"/>
        <v>151.69999999999999</v>
      </c>
      <c r="G78" vm="1248">
        <f ca="1"/>
        <v>102.95</v>
      </c>
      <c r="H78" vm="1249">
        <f ca="1"/>
        <v>322.95</v>
      </c>
      <c r="I78" vm="1250">
        <f ca="1"/>
        <v>150.30000000000001</v>
      </c>
      <c r="J78" vm="1251">
        <f ca="1"/>
        <v>410.85</v>
      </c>
      <c r="K78" vm="1092">
        <f ca="1"/>
        <v>18.600000000000001</v>
      </c>
      <c r="L78" vm="1252">
        <f ca="1"/>
        <v>150.47999999999999</v>
      </c>
      <c r="M78" vm="1253">
        <f ca="1"/>
        <v>205.6</v>
      </c>
      <c r="N78" vm="1254">
        <f ca="1"/>
        <v>16.21</v>
      </c>
      <c r="O78" vm="1255">
        <f ca="1"/>
        <v>498.3</v>
      </c>
      <c r="Q78" s="4">
        <f t="shared" ca="1" si="21"/>
        <v>7.4028377544723689E-3</v>
      </c>
      <c r="R78" s="4">
        <f t="shared" ca="1" si="22"/>
        <v>-2.9384756657483968E-2</v>
      </c>
      <c r="S78" s="4">
        <f t="shared" ca="1" si="23"/>
        <v>-3.9922292374939272E-2</v>
      </c>
      <c r="T78" s="4">
        <f t="shared" ca="1" si="31"/>
        <v>-2.3952095808383422E-2</v>
      </c>
      <c r="U78" s="4">
        <f t="shared" ca="1" si="32"/>
        <v>-2.1784106121455649E-2</v>
      </c>
      <c r="V78" s="4">
        <f t="shared" ca="1" si="24"/>
        <v>-3.0026990553306376E-2</v>
      </c>
      <c r="W78" s="4">
        <f t="shared" ca="1" si="25"/>
        <v>9.2287409360580774E-4</v>
      </c>
      <c r="X78" s="4">
        <f t="shared" ca="1" si="26"/>
        <v>-8.7548638132295409E-3</v>
      </c>
      <c r="Y78" s="4">
        <f t="shared" ca="1" si="27"/>
        <v>-3.1399317406143323E-2</v>
      </c>
      <c r="Z78" s="4">
        <f t="shared" ca="1" si="28"/>
        <v>-2.7113237639553311E-2</v>
      </c>
      <c r="AA78" s="4">
        <f t="shared" ca="1" si="29"/>
        <v>-6.0380863910821647E-3</v>
      </c>
      <c r="AB78" s="4">
        <f t="shared" ca="1" si="33"/>
        <v>3.8932370058197829E-2</v>
      </c>
      <c r="AC78" s="4">
        <f t="shared" ca="1" si="34"/>
        <v>-1.3432835820895606E-2</v>
      </c>
      <c r="AD78" s="4"/>
      <c r="AE78" s="2" cm="1">
        <f t="array" aca="1" ref="AE78" ca="1">SUMPRODUCT(Q78:AB78,TRANSPOSE(Insights.!$H$4:$H$15))</f>
        <v>-1.3164945113413803E-2</v>
      </c>
      <c r="AG78" s="10" vm="1243">
        <f ca="1"/>
        <v>45764</v>
      </c>
      <c r="AH78" s="1" vm="1256">
        <f ca="1"/>
        <v>87.981999999999999</v>
      </c>
      <c r="AI78" s="2">
        <f t="shared" ca="1" si="30"/>
        <v>-6.9787001886749689E-3</v>
      </c>
      <c r="AJ78" s="1" vm="1257">
        <f ca="1"/>
        <v>89.27</v>
      </c>
      <c r="AK78" s="2">
        <f t="shared" ca="1" si="35"/>
        <v>-8.2894589447741751E-3</v>
      </c>
      <c r="AL78" s="1" vm="1258">
        <f ca="1"/>
        <v>50.13</v>
      </c>
      <c r="AM78" s="2">
        <f t="shared" ca="1" si="36"/>
        <v>6.1839218033112875E-3</v>
      </c>
      <c r="AO78" s="9">
        <f t="shared" ca="1" si="37"/>
        <v>82.348705491723081</v>
      </c>
      <c r="AP78">
        <f t="shared" ca="1" si="38"/>
        <v>81.585682492581554</v>
      </c>
      <c r="AQ78">
        <f t="shared" ca="1" si="39"/>
        <v>84.776828110161517</v>
      </c>
      <c r="AR78">
        <f t="shared" ca="1" si="40"/>
        <v>102.21225405240085</v>
      </c>
      <c r="AT78" s="21">
        <f ca="1">MAX($AO$3:AO79)</f>
        <v>106.96839029133979</v>
      </c>
      <c r="AU78" s="2">
        <f t="shared" ca="1" si="41"/>
        <v>-0.23015850507390434</v>
      </c>
    </row>
    <row r="79" spans="1:47" x14ac:dyDescent="0.25">
      <c r="A79" vm="1259">
        <f ca="1"/>
        <v>45769</v>
      </c>
      <c r="B79" vm="1260">
        <f ca="1"/>
        <v>86.25</v>
      </c>
      <c r="C79" vm="1261">
        <f ca="1"/>
        <v>132.19999999999999</v>
      </c>
      <c r="D79" vm="1262">
        <f ca="1"/>
        <v>283.8</v>
      </c>
      <c r="E79" vm="1263">
        <f ca="1"/>
        <v>211.4</v>
      </c>
      <c r="F79" vm="1264">
        <f ca="1"/>
        <v>151.84</v>
      </c>
      <c r="G79" vm="1265">
        <f ca="1"/>
        <v>98.84</v>
      </c>
      <c r="H79" vm="270">
        <f ca="1"/>
        <v>321</v>
      </c>
      <c r="I79" vm="1173">
        <f ca="1"/>
        <v>146.69999999999999</v>
      </c>
      <c r="J79" vm="1266">
        <f ca="1"/>
        <v>401.9</v>
      </c>
      <c r="K79" vm="1190">
        <f ca="1"/>
        <v>18.3</v>
      </c>
      <c r="L79" vm="1267">
        <f ca="1"/>
        <v>146.4</v>
      </c>
      <c r="M79" vm="1268">
        <f ca="1"/>
        <v>203.8</v>
      </c>
      <c r="N79" vm="1269">
        <f ca="1"/>
        <v>16.329999999999998</v>
      </c>
      <c r="O79" vm="1270">
        <f ca="1"/>
        <v>517.70000000000005</v>
      </c>
      <c r="Q79" s="4">
        <f t="shared" ca="1" si="21"/>
        <v>3.6129822412737544E-2</v>
      </c>
      <c r="R79" s="4">
        <f t="shared" ca="1" si="22"/>
        <v>4.8722800378429465E-2</v>
      </c>
      <c r="S79" s="4">
        <f t="shared" ca="1" si="23"/>
        <v>9.7733711048158645E-2</v>
      </c>
      <c r="T79" s="4">
        <f t="shared" ca="1" si="31"/>
        <v>-1.1588275391956282E-2</v>
      </c>
      <c r="U79" s="4">
        <f t="shared" ca="1" si="32"/>
        <v>4.1677034088081655E-2</v>
      </c>
      <c r="V79" s="4">
        <f t="shared" ca="1" si="24"/>
        <v>5.1826086956521689E-2</v>
      </c>
      <c r="W79" s="4">
        <f t="shared" ca="1" si="25"/>
        <v>5.6902002107481531E-2</v>
      </c>
      <c r="X79" s="4">
        <f t="shared" ca="1" si="26"/>
        <v>4.4896957801766391E-2</v>
      </c>
      <c r="Y79" s="4">
        <f t="shared" ca="1" si="27"/>
        <v>4.5454545454545414E-2</v>
      </c>
      <c r="Z79" s="4">
        <f t="shared" ca="1" si="28"/>
        <v>6.9808743169399001E-2</v>
      </c>
      <c r="AA79" s="4">
        <f t="shared" ca="1" si="29"/>
        <v>2.9127725856697984E-2</v>
      </c>
      <c r="AB79" s="4">
        <f t="shared" ca="1" si="33"/>
        <v>1.7191423604403955E-2</v>
      </c>
      <c r="AC79" s="4">
        <f t="shared" ca="1" si="34"/>
        <v>5.2950075642965277E-2</v>
      </c>
      <c r="AD79" s="4"/>
      <c r="AE79" s="2" cm="1">
        <f t="array" aca="1" ref="AE79" ca="1">SUMPRODUCT(Q79:AB79,TRANSPOSE(Insights.!$H$4:$H$15))</f>
        <v>4.132575817980369E-2</v>
      </c>
      <c r="AG79" s="10" vm="1259">
        <f ca="1"/>
        <v>45769</v>
      </c>
      <c r="AH79" s="1" vm="1271">
        <f ca="1"/>
        <v>87.367999999999995</v>
      </c>
      <c r="AI79" s="2">
        <f t="shared" ca="1" si="30"/>
        <v>3.2918230931233472E-2</v>
      </c>
      <c r="AJ79" s="1" vm="1272">
        <f ca="1"/>
        <v>88.53</v>
      </c>
      <c r="AK79" s="2">
        <f t="shared" ca="1" si="35"/>
        <v>3.0780526375239869E-2</v>
      </c>
      <c r="AL79" s="1" vm="101">
        <f ca="1"/>
        <v>50.44</v>
      </c>
      <c r="AM79" s="2">
        <f t="shared" ca="1" si="36"/>
        <v>1.883425852498033E-2</v>
      </c>
      <c r="AO79" s="9">
        <f t="shared" ca="1" si="37"/>
        <v>81.26458930376387</v>
      </c>
      <c r="AP79">
        <f t="shared" ca="1" si="38"/>
        <v>81.016320474777402</v>
      </c>
      <c r="AQ79">
        <f t="shared" ca="1" si="39"/>
        <v>84.074074074074161</v>
      </c>
      <c r="AR79">
        <f t="shared" ca="1" si="40"/>
        <v>102.84432663880109</v>
      </c>
      <c r="AT79" s="21">
        <f ca="1">MAX($AO$3:AO80)</f>
        <v>106.96839029133979</v>
      </c>
      <c r="AU79" s="2">
        <f t="shared" ca="1" si="41"/>
        <v>-0.24029342610063475</v>
      </c>
    </row>
    <row r="80" spans="1:47" x14ac:dyDescent="0.25">
      <c r="A80" vm="1273">
        <f ca="1"/>
        <v>45770</v>
      </c>
      <c r="B80" vm="1274">
        <f ca="1"/>
        <v>90.72</v>
      </c>
      <c r="C80" vm="1275">
        <f ca="1"/>
        <v>139.19999999999999</v>
      </c>
      <c r="D80" vm="1276">
        <f ca="1"/>
        <v>296.7</v>
      </c>
      <c r="E80" vm="1277">
        <f ca="1"/>
        <v>221.7</v>
      </c>
      <c r="F80" vm="1278">
        <f ca="1"/>
        <v>160.47999999999999</v>
      </c>
      <c r="G80" vm="1279">
        <f ca="1"/>
        <v>108.5</v>
      </c>
      <c r="H80" vm="1280">
        <f ca="1"/>
        <v>330.35</v>
      </c>
      <c r="I80" vm="1149">
        <f ca="1"/>
        <v>145</v>
      </c>
      <c r="J80" vm="1281">
        <f ca="1"/>
        <v>418.65</v>
      </c>
      <c r="K80" vm="764">
        <f ca="1"/>
        <v>20.399999999999999</v>
      </c>
      <c r="L80" vm="1282">
        <f ca="1"/>
        <v>156.62</v>
      </c>
      <c r="M80" vm="1283">
        <f ca="1"/>
        <v>212.95</v>
      </c>
      <c r="N80" vm="1284">
        <f ca="1"/>
        <v>16.920000000000002</v>
      </c>
      <c r="O80" vm="1285">
        <f ca="1"/>
        <v>526.6</v>
      </c>
      <c r="Q80" s="4">
        <f t="shared" ca="1" si="21"/>
        <v>7.6832151300236795E-3</v>
      </c>
      <c r="R80" s="4">
        <f t="shared" ca="1" si="22"/>
        <v>5.0969778980604508E-2</v>
      </c>
      <c r="S80" s="4">
        <f t="shared" ca="1" si="23"/>
        <v>1.3824884792628112E-3</v>
      </c>
      <c r="T80" s="4">
        <f t="shared" ca="1" si="31"/>
        <v>-3.489655172413797E-2</v>
      </c>
      <c r="U80" s="4">
        <f t="shared" ca="1" si="32"/>
        <v>-1.6003821808192931E-2</v>
      </c>
      <c r="V80" s="4">
        <f t="shared" ca="1" si="24"/>
        <v>3.0533509700176431E-2</v>
      </c>
      <c r="W80" s="4">
        <f t="shared" ca="1" si="25"/>
        <v>1.8195413758723911E-2</v>
      </c>
      <c r="X80" s="4">
        <f t="shared" ca="1" si="26"/>
        <v>1.8783752054474245E-3</v>
      </c>
      <c r="Y80" s="4">
        <f t="shared" ca="1" si="27"/>
        <v>-7.414897202561499E-3</v>
      </c>
      <c r="Z80" s="4">
        <f t="shared" ca="1" si="28"/>
        <v>4.1501723917762634E-2</v>
      </c>
      <c r="AA80" s="4">
        <f t="shared" ca="1" si="29"/>
        <v>2.6032995308006512E-2</v>
      </c>
      <c r="AB80" s="4">
        <f t="shared" ca="1" si="33"/>
        <v>1.0824154956323495E-2</v>
      </c>
      <c r="AC80" s="4">
        <f t="shared" ca="1" si="34"/>
        <v>2.8735632183908066E-2</v>
      </c>
      <c r="AD80" s="4"/>
      <c r="AE80" s="2" cm="1">
        <f t="array" aca="1" ref="AE80" ca="1">SUMPRODUCT(Q80:AB80,TRANSPOSE(Insights.!$H$4:$H$15))</f>
        <v>1.1668454806010382E-2</v>
      </c>
      <c r="AG80" s="10" vm="1273">
        <f ca="1"/>
        <v>45770</v>
      </c>
      <c r="AH80" s="1" vm="1286">
        <f ca="1"/>
        <v>90.244</v>
      </c>
      <c r="AI80" s="2">
        <f t="shared" ca="1" si="30"/>
        <v>9.7513408093612419E-3</v>
      </c>
      <c r="AJ80" s="1" vm="1287">
        <f ca="1"/>
        <v>91.254999999999995</v>
      </c>
      <c r="AK80" s="2">
        <f t="shared" ca="1" si="35"/>
        <v>7.2324804120322828E-3</v>
      </c>
      <c r="AL80" s="1" vm="1288">
        <f ca="1"/>
        <v>51.39</v>
      </c>
      <c r="AM80" s="2">
        <f t="shared" ca="1" si="36"/>
        <v>8.17279626386469E-3</v>
      </c>
      <c r="AO80" s="9">
        <f t="shared" ca="1" si="37"/>
        <v>84.62291006991228</v>
      </c>
      <c r="AP80">
        <f t="shared" ca="1" si="38"/>
        <v>83.683234421364944</v>
      </c>
      <c r="AQ80">
        <f t="shared" ca="1" si="39"/>
        <v>86.661918328585074</v>
      </c>
      <c r="AR80">
        <f t="shared" ca="1" si="40"/>
        <v>104.78132327454379</v>
      </c>
      <c r="AT80" s="21">
        <f ca="1">MAX($AO$3:AO81)</f>
        <v>106.96839029133979</v>
      </c>
      <c r="AU80" s="2">
        <f t="shared" ca="1" si="41"/>
        <v>-0.20889797594006243</v>
      </c>
    </row>
    <row r="81" spans="1:47" x14ac:dyDescent="0.25">
      <c r="A81" vm="1289">
        <f ca="1"/>
        <v>45771</v>
      </c>
      <c r="B81" vm="1290">
        <f ca="1"/>
        <v>93.49</v>
      </c>
      <c r="C81" vm="1291">
        <f ca="1"/>
        <v>143.19999999999999</v>
      </c>
      <c r="D81" vm="1292">
        <f ca="1"/>
        <v>294.5</v>
      </c>
      <c r="E81" vm="1293">
        <f ca="1"/>
        <v>233</v>
      </c>
      <c r="F81" vm="919">
        <f ca="1"/>
        <v>163.4</v>
      </c>
      <c r="G81" vm="1294">
        <f ca="1"/>
        <v>108.65</v>
      </c>
      <c r="H81" vm="1295">
        <f ca="1"/>
        <v>338.95</v>
      </c>
      <c r="I81" vm="1296">
        <f ca="1"/>
        <v>139.94</v>
      </c>
      <c r="J81" vm="1297">
        <f ca="1"/>
        <v>411.95</v>
      </c>
      <c r="K81" vm="1139">
        <f ca="1"/>
        <v>20</v>
      </c>
      <c r="L81" vm="1298">
        <f ca="1"/>
        <v>163.12</v>
      </c>
      <c r="M81" vm="1299">
        <f ca="1"/>
        <v>213.35</v>
      </c>
      <c r="N81" vm="1300">
        <f ca="1"/>
        <v>17.05</v>
      </c>
      <c r="O81" vm="1301">
        <f ca="1"/>
        <v>532.29999999999995</v>
      </c>
      <c r="Q81" s="4">
        <f t="shared" ca="1" si="21"/>
        <v>-6.7448680351906987E-3</v>
      </c>
      <c r="R81" s="4">
        <f t="shared" ca="1" si="22"/>
        <v>1.0729613733905685E-2</v>
      </c>
      <c r="S81" s="4">
        <f t="shared" ca="1" si="23"/>
        <v>2.0248504371836118E-2</v>
      </c>
      <c r="T81" s="4">
        <f t="shared" ca="1" si="31"/>
        <v>1.2576818636558462E-2</v>
      </c>
      <c r="U81" s="4">
        <f t="shared" ca="1" si="32"/>
        <v>2.8037383177570208E-2</v>
      </c>
      <c r="V81" s="4">
        <f t="shared" ca="1" si="24"/>
        <v>4.2999251256818916E-2</v>
      </c>
      <c r="W81" s="4">
        <f t="shared" ca="1" si="25"/>
        <v>2.0195838433292534E-2</v>
      </c>
      <c r="X81" s="4">
        <f t="shared" ca="1" si="26"/>
        <v>4.687133817671274E-4</v>
      </c>
      <c r="Y81" s="4">
        <f t="shared" ca="1" si="27"/>
        <v>2.5466893039050031E-3</v>
      </c>
      <c r="Z81" s="4">
        <f t="shared" ca="1" si="28"/>
        <v>1.4835703776360898E-2</v>
      </c>
      <c r="AA81" s="4">
        <f t="shared" ca="1" si="29"/>
        <v>1.4898952647883101E-2</v>
      </c>
      <c r="AB81" s="4">
        <f t="shared" ca="1" si="33"/>
        <v>4.6965996618448802E-3</v>
      </c>
      <c r="AC81" s="4">
        <f t="shared" ca="1" si="34"/>
        <v>1.1173184357541999E-2</v>
      </c>
      <c r="AD81" s="4"/>
      <c r="AE81" s="2" cm="1">
        <f t="array" aca="1" ref="AE81" ca="1">SUMPRODUCT(Q81:AB81,TRANSPOSE(Insights.!$H$4:$H$15))</f>
        <v>1.1622286165125737E-2</v>
      </c>
      <c r="AG81" s="10" vm="1289">
        <f ca="1"/>
        <v>45771</v>
      </c>
      <c r="AH81" s="1" vm="1302">
        <f ca="1"/>
        <v>91.123999999999995</v>
      </c>
      <c r="AI81" s="2">
        <f t="shared" ca="1" si="30"/>
        <v>9.7230147930293942E-3</v>
      </c>
      <c r="AJ81" s="1" vm="1303">
        <f ca="1"/>
        <v>91.915000000000006</v>
      </c>
      <c r="AK81" s="2">
        <f t="shared" ca="1" si="35"/>
        <v>5.3854104335526731E-3</v>
      </c>
      <c r="AL81" s="1" vm="216">
        <f ca="1"/>
        <v>51.81</v>
      </c>
      <c r="AM81" s="2">
        <f t="shared" ca="1" si="36"/>
        <v>1.119475004825321E-2</v>
      </c>
      <c r="AO81" s="9">
        <f t="shared" ca="1" si="37"/>
        <v>85.610328671616131</v>
      </c>
      <c r="AP81">
        <f t="shared" ca="1" si="38"/>
        <v>84.499258160237346</v>
      </c>
      <c r="AQ81">
        <f t="shared" ca="1" si="39"/>
        <v>87.288698955365703</v>
      </c>
      <c r="AR81">
        <f t="shared" ca="1" si="40"/>
        <v>105.63767968192478</v>
      </c>
      <c r="AT81" s="21">
        <f ca="1">MAX($AO$3:AO82)</f>
        <v>106.96839029133979</v>
      </c>
      <c r="AU81" s="2">
        <f t="shared" ca="1" si="41"/>
        <v>-0.19966703772537575</v>
      </c>
    </row>
    <row r="82" spans="1:47" x14ac:dyDescent="0.25">
      <c r="A82" vm="1304">
        <f ca="1"/>
        <v>45772</v>
      </c>
      <c r="B82" vm="1305">
        <f ca="1"/>
        <v>97.51</v>
      </c>
      <c r="C82" vm="1306">
        <f ca="1"/>
        <v>144.80000000000001</v>
      </c>
      <c r="D82" vm="1307">
        <f ca="1"/>
        <v>295.25</v>
      </c>
      <c r="E82" vm="1308">
        <f ca="1"/>
        <v>235.5</v>
      </c>
      <c r="F82" vm="1309">
        <f ca="1"/>
        <v>166.7</v>
      </c>
      <c r="G82" vm="1310">
        <f ca="1"/>
        <v>110.85</v>
      </c>
      <c r="H82" vm="1311">
        <f ca="1"/>
        <v>344</v>
      </c>
      <c r="I82" vm="1312">
        <f ca="1"/>
        <v>141.69999999999999</v>
      </c>
      <c r="J82" vm="1313">
        <f ca="1"/>
        <v>423.5</v>
      </c>
      <c r="K82" vm="1157">
        <f ca="1"/>
        <v>21.2</v>
      </c>
      <c r="L82" vm="1314">
        <f ca="1"/>
        <v>165.54</v>
      </c>
      <c r="M82" vm="1315">
        <f ca="1"/>
        <v>213.45</v>
      </c>
      <c r="N82" vm="1316">
        <f ca="1"/>
        <v>16.934999999999999</v>
      </c>
      <c r="O82" vm="881">
        <f ca="1"/>
        <v>534.79999999999995</v>
      </c>
      <c r="Q82" s="4">
        <f t="shared" ca="1" si="21"/>
        <v>-7.3811632713315367E-3</v>
      </c>
      <c r="R82" s="4">
        <f t="shared" ca="1" si="22"/>
        <v>2.1231422505318953E-4</v>
      </c>
      <c r="S82" s="4">
        <f t="shared" ca="1" si="23"/>
        <v>-1.3531799729362692E-3</v>
      </c>
      <c r="T82" s="4">
        <f t="shared" ca="1" si="31"/>
        <v>2.8228652081874195E-4</v>
      </c>
      <c r="U82" s="4">
        <f t="shared" ca="1" si="32"/>
        <v>6.1393152302244847E-3</v>
      </c>
      <c r="V82" s="4">
        <f t="shared" ca="1" si="24"/>
        <v>-2.8304789252384444E-2</v>
      </c>
      <c r="W82" s="4">
        <f t="shared" ca="1" si="25"/>
        <v>-1.3797240551889467E-2</v>
      </c>
      <c r="X82" s="4">
        <f t="shared" ca="1" si="26"/>
        <v>4.6849379245728073E-4</v>
      </c>
      <c r="Y82" s="4">
        <f t="shared" ca="1" si="27"/>
        <v>4.7417442845045787E-3</v>
      </c>
      <c r="Z82" s="4">
        <f t="shared" ca="1" si="28"/>
        <v>4.8326688413680152E-4</v>
      </c>
      <c r="AA82" s="4">
        <f t="shared" ca="1" si="29"/>
        <v>-4.3604651162790775E-3</v>
      </c>
      <c r="AB82" s="4">
        <f t="shared" ca="1" si="33"/>
        <v>-1.2341062079281762E-2</v>
      </c>
      <c r="AC82" s="4">
        <f t="shared" ca="1" si="34"/>
        <v>-1.1049723756906271E-2</v>
      </c>
      <c r="AD82" s="4"/>
      <c r="AE82" s="2" cm="1">
        <f t="array" aca="1" ref="AE82" ca="1">SUMPRODUCT(Q82:AB82,TRANSPOSE(Insights.!$H$4:$H$15))</f>
        <v>-2.9885746277810892E-3</v>
      </c>
      <c r="AG82" s="10" vm="1304">
        <f ca="1"/>
        <v>45772</v>
      </c>
      <c r="AH82" s="1" vm="1317">
        <f ca="1"/>
        <v>92.01</v>
      </c>
      <c r="AI82" s="2">
        <f t="shared" ca="1" si="30"/>
        <v>-1.1911748722964965E-2</v>
      </c>
      <c r="AJ82" s="1" vm="1318">
        <f ca="1"/>
        <v>92.41</v>
      </c>
      <c r="AK82" s="2">
        <f t="shared" ca="1" si="35"/>
        <v>1.5690942538686414E-3</v>
      </c>
      <c r="AL82" s="1" vm="1319">
        <f ca="1"/>
        <v>52.39</v>
      </c>
      <c r="AM82" s="2">
        <f t="shared" ca="1" si="36"/>
        <v>-4.7719030349303582E-3</v>
      </c>
      <c r="AO82" s="9">
        <f t="shared" ca="1" si="37"/>
        <v>86.605316410128125</v>
      </c>
      <c r="AP82">
        <f t="shared" ca="1" si="38"/>
        <v>85.320845697329347</v>
      </c>
      <c r="AQ82">
        <f t="shared" ca="1" si="39"/>
        <v>87.758784425451168</v>
      </c>
      <c r="AR82">
        <f t="shared" ca="1" si="40"/>
        <v>106.82026710164136</v>
      </c>
      <c r="AT82" s="21">
        <f ca="1">MAX($AO$3:AO83)</f>
        <v>106.96839029133979</v>
      </c>
      <c r="AU82" s="2">
        <f t="shared" ca="1" si="41"/>
        <v>-0.19036533901043728</v>
      </c>
    </row>
    <row r="83" spans="1:47" x14ac:dyDescent="0.25">
      <c r="A83" vm="1320">
        <f ca="1"/>
        <v>45775</v>
      </c>
      <c r="B83" vm="1321">
        <f ca="1"/>
        <v>94.75</v>
      </c>
      <c r="C83" vm="1291">
        <f ca="1"/>
        <v>143.19999999999999</v>
      </c>
      <c r="D83" vm="1322">
        <f ca="1"/>
        <v>296.64999999999998</v>
      </c>
      <c r="E83" vm="1323">
        <f ca="1"/>
        <v>235.55</v>
      </c>
      <c r="F83" vm="1324">
        <f ca="1"/>
        <v>164.4</v>
      </c>
      <c r="G83" vm="1325">
        <f ca="1"/>
        <v>110.7</v>
      </c>
      <c r="H83" vm="1326">
        <f ca="1"/>
        <v>342.5</v>
      </c>
      <c r="I83" vm="1327">
        <f ca="1"/>
        <v>141.74</v>
      </c>
      <c r="J83" vm="1328">
        <f ca="1"/>
        <v>426.1</v>
      </c>
      <c r="K83" vm="1329">
        <f ca="1"/>
        <v>20.8</v>
      </c>
      <c r="L83" vm="1330">
        <f ca="1"/>
        <v>165.62</v>
      </c>
      <c r="M83" vm="1331">
        <f ca="1"/>
        <v>213.55</v>
      </c>
      <c r="N83" vm="1332">
        <f ca="1"/>
        <v>16.809999999999999</v>
      </c>
      <c r="O83" vm="1333">
        <f ca="1"/>
        <v>528.20000000000005</v>
      </c>
      <c r="Q83" s="4">
        <f t="shared" ca="1" si="21"/>
        <v>-1.1897679952409534E-3</v>
      </c>
      <c r="R83" s="4">
        <f t="shared" ca="1" si="22"/>
        <v>-9.7643812354065718E-3</v>
      </c>
      <c r="S83" s="4">
        <f t="shared" ca="1" si="23"/>
        <v>2.3938572719060414E-2</v>
      </c>
      <c r="T83" s="4">
        <f t="shared" ca="1" si="31"/>
        <v>5.3619302949061698E-3</v>
      </c>
      <c r="U83" s="4">
        <f t="shared" ca="1" si="32"/>
        <v>-4.9284205585543583E-3</v>
      </c>
      <c r="V83" s="4">
        <f t="shared" ca="1" si="24"/>
        <v>1.0870712401055416E-2</v>
      </c>
      <c r="W83" s="4">
        <f t="shared" ca="1" si="25"/>
        <v>1.7031630170316614E-3</v>
      </c>
      <c r="X83" s="4">
        <f t="shared" ca="1" si="26"/>
        <v>7.0241161320534484E-3</v>
      </c>
      <c r="Y83" s="4">
        <f t="shared" ca="1" si="27"/>
        <v>1.1966964436204375E-2</v>
      </c>
      <c r="Z83" s="4">
        <f t="shared" ca="1" si="28"/>
        <v>1.1472044439077456E-2</v>
      </c>
      <c r="AA83" s="4">
        <f t="shared" ca="1" si="29"/>
        <v>1.3868613138686037E-2</v>
      </c>
      <c r="AB83" s="4">
        <f t="shared" ca="1" si="33"/>
        <v>-6.9575918212798293E-2</v>
      </c>
      <c r="AC83" s="4">
        <f t="shared" ca="1" si="34"/>
        <v>8.379888268156499E-3</v>
      </c>
      <c r="AD83" s="4"/>
      <c r="AE83" s="2" cm="1">
        <f t="array" aca="1" ref="AE83" ca="1">SUMPRODUCT(Q83:AB83,TRANSPOSE(Insights.!$H$4:$H$15))</f>
        <v>-7.9564029499706954E-4</v>
      </c>
      <c r="AG83" s="10" vm="1320">
        <f ca="1"/>
        <v>45775</v>
      </c>
      <c r="AH83" s="1" vm="1334">
        <f ca="1"/>
        <v>90.914000000000001</v>
      </c>
      <c r="AI83" s="2">
        <f t="shared" ca="1" si="30"/>
        <v>1.4123237345183171E-2</v>
      </c>
      <c r="AJ83" s="1" vm="1335">
        <f ca="1"/>
        <v>92.555000000000007</v>
      </c>
      <c r="AK83" s="2">
        <f t="shared" ca="1" si="35"/>
        <v>4.6999081627139283E-3</v>
      </c>
      <c r="AL83" s="1" vm="1336">
        <f ca="1"/>
        <v>52.14</v>
      </c>
      <c r="AM83" s="2">
        <f t="shared" ca="1" si="36"/>
        <v>3.260452627541266E-3</v>
      </c>
      <c r="AO83" s="9">
        <f t="shared" ca="1" si="37"/>
        <v>86.34648995887386</v>
      </c>
      <c r="AP83">
        <f t="shared" ca="1" si="38"/>
        <v>84.304525222551888</v>
      </c>
      <c r="AQ83">
        <f t="shared" ca="1" si="39"/>
        <v>87.896486229819644</v>
      </c>
      <c r="AR83">
        <f t="shared" ca="1" si="40"/>
        <v>106.31053114486697</v>
      </c>
      <c r="AT83" s="21">
        <f ca="1">MAX($AO$3:AO84)</f>
        <v>106.96839029133979</v>
      </c>
      <c r="AU83" s="2">
        <f t="shared" ca="1" si="41"/>
        <v>-0.19278499261604276</v>
      </c>
    </row>
    <row r="84" spans="1:47" x14ac:dyDescent="0.25">
      <c r="A84" vm="1337">
        <f ca="1"/>
        <v>45776</v>
      </c>
      <c r="B84" vm="1338">
        <f ca="1"/>
        <v>95.78</v>
      </c>
      <c r="C84" vm="1339">
        <f ca="1"/>
        <v>144.4</v>
      </c>
      <c r="D84" vm="1340">
        <f ca="1"/>
        <v>300.2</v>
      </c>
      <c r="E84" vm="1084">
        <f ca="1"/>
        <v>233.25</v>
      </c>
      <c r="F84" vm="1341">
        <f ca="1"/>
        <v>164.68</v>
      </c>
      <c r="G84" vm="1342">
        <f ca="1"/>
        <v>113.35</v>
      </c>
      <c r="H84" vm="1343">
        <f ca="1"/>
        <v>347.25</v>
      </c>
      <c r="I84" vm="1344">
        <f ca="1"/>
        <v>142.5</v>
      </c>
      <c r="J84" vm="1345">
        <f ca="1"/>
        <v>424</v>
      </c>
      <c r="K84" vm="1056">
        <f ca="1"/>
        <v>21</v>
      </c>
      <c r="L84" vm="1346">
        <f ca="1"/>
        <v>167.52</v>
      </c>
      <c r="M84" vm="1159">
        <f ca="1"/>
        <v>215.05</v>
      </c>
      <c r="N84" vm="1347">
        <f ca="1"/>
        <v>16.79</v>
      </c>
      <c r="O84" vm="1348">
        <f ca="1"/>
        <v>491.45</v>
      </c>
      <c r="Q84" s="4">
        <f t="shared" ca="1" si="21"/>
        <v>8.9338892197732278E-4</v>
      </c>
      <c r="R84" s="4">
        <f t="shared" ca="1" si="22"/>
        <v>1.5005359056805556E-3</v>
      </c>
      <c r="S84" s="4">
        <f t="shared" ca="1" si="23"/>
        <v>-2.6466696074106677E-3</v>
      </c>
      <c r="T84" s="4">
        <f t="shared" ca="1" si="31"/>
        <v>1.6842105263159546E-3</v>
      </c>
      <c r="U84" s="4">
        <f t="shared" ca="1" si="32"/>
        <v>1.1910377358490543E-2</v>
      </c>
      <c r="V84" s="4">
        <f t="shared" ca="1" si="24"/>
        <v>2.2969304656503819E-3</v>
      </c>
      <c r="W84" s="4">
        <f t="shared" ca="1" si="25"/>
        <v>-2.4775321836288611E-2</v>
      </c>
      <c r="X84" s="4">
        <f t="shared" ca="1" si="26"/>
        <v>-6.0451057893513571E-3</v>
      </c>
      <c r="Y84" s="4">
        <f t="shared" ca="1" si="27"/>
        <v>1.6822118587608292E-2</v>
      </c>
      <c r="Z84" s="4">
        <f t="shared" ca="1" si="28"/>
        <v>-1.4326647564470996E-3</v>
      </c>
      <c r="AA84" s="4">
        <f t="shared" ca="1" si="29"/>
        <v>-9.0712742980560979E-3</v>
      </c>
      <c r="AB84" s="4">
        <f t="shared" ca="1" si="33"/>
        <v>7.5796113541560795E-2</v>
      </c>
      <c r="AC84" s="4">
        <f t="shared" ca="1" si="34"/>
        <v>1.6620498614958512E-2</v>
      </c>
      <c r="AD84" s="4"/>
      <c r="AE84" s="2" cm="1">
        <f t="array" aca="1" ref="AE84" ca="1">SUMPRODUCT(Q84:AB84,TRANSPOSE(Insights.!$H$4:$H$15))</f>
        <v>5.4802226966364428E-3</v>
      </c>
      <c r="AG84" s="10" vm="1337">
        <f ca="1"/>
        <v>45776</v>
      </c>
      <c r="AH84" s="1" vm="1349">
        <f ca="1"/>
        <v>92.197999999999993</v>
      </c>
      <c r="AI84" s="2">
        <f t="shared" ca="1" si="30"/>
        <v>-1.4750862274669485E-3</v>
      </c>
      <c r="AJ84" s="1" vm="1350">
        <f ca="1"/>
        <v>92.99</v>
      </c>
      <c r="AK84" s="2">
        <f t="shared" ca="1" si="35"/>
        <v>3.6563071297990302E-3</v>
      </c>
      <c r="AL84" s="1" vm="1351">
        <f ca="1"/>
        <v>52.31</v>
      </c>
      <c r="AM84" s="2">
        <f t="shared" ca="1" si="36"/>
        <v>-1.9116803670438109E-4</v>
      </c>
      <c r="AO84" s="9">
        <f t="shared" ca="1" si="37"/>
        <v>86.277789212131012</v>
      </c>
      <c r="AP84">
        <f t="shared" ca="1" si="38"/>
        <v>85.495178041542971</v>
      </c>
      <c r="AQ84">
        <f t="shared" ca="1" si="39"/>
        <v>88.309591642925042</v>
      </c>
      <c r="AR84">
        <f t="shared" ca="1" si="40"/>
        <v>106.65715159547356</v>
      </c>
      <c r="AT84" s="21">
        <f ca="1">MAX($AO$3:AO85)</f>
        <v>106.96839029133979</v>
      </c>
      <c r="AU84" s="2">
        <f t="shared" ca="1" si="41"/>
        <v>-0.19342724540264389</v>
      </c>
    </row>
    <row r="85" spans="1:47" x14ac:dyDescent="0.25">
      <c r="A85" vm="1352">
        <f ca="1"/>
        <v>45777</v>
      </c>
      <c r="B85" vm="1166">
        <f ca="1"/>
        <v>96</v>
      </c>
      <c r="C85" vm="1353">
        <f ca="1"/>
        <v>146.80000000000001</v>
      </c>
      <c r="D85" vm="1354">
        <f ca="1"/>
        <v>305.25</v>
      </c>
      <c r="E85" vm="747">
        <f ca="1"/>
        <v>233.6</v>
      </c>
      <c r="F85" vm="1355">
        <f ca="1"/>
        <v>160.6</v>
      </c>
      <c r="G85" vm="1356">
        <f ca="1"/>
        <v>113.05</v>
      </c>
      <c r="H85" vm="1357">
        <f ca="1"/>
        <v>344.1</v>
      </c>
      <c r="I85" vm="1358">
        <f ca="1"/>
        <v>142.74</v>
      </c>
      <c r="J85" vm="1359">
        <f ca="1"/>
        <v>429.05</v>
      </c>
      <c r="K85" vm="993">
        <f ca="1"/>
        <v>19.5</v>
      </c>
      <c r="L85" vm="991">
        <f ca="1"/>
        <v>167.28</v>
      </c>
      <c r="M85" vm="1360">
        <f ca="1"/>
        <v>213.75</v>
      </c>
      <c r="N85" vm="1361">
        <f ca="1"/>
        <v>16.805</v>
      </c>
      <c r="O85" vm="1362">
        <f ca="1"/>
        <v>528.70000000000005</v>
      </c>
      <c r="Q85" s="4">
        <f t="shared" ca="1" si="21"/>
        <v>3.7191312109491115E-2</v>
      </c>
      <c r="R85" s="4">
        <f t="shared" ca="1" si="22"/>
        <v>2.6969178082191902E-2</v>
      </c>
      <c r="S85" s="4">
        <f t="shared" ca="1" si="23"/>
        <v>8.8014153029633002E-2</v>
      </c>
      <c r="T85" s="4">
        <f t="shared" ca="1" si="31"/>
        <v>-4.904021297464034E-3</v>
      </c>
      <c r="U85" s="4">
        <f t="shared" ca="1" si="32"/>
        <v>3.7641300547721634E-2</v>
      </c>
      <c r="V85" s="4">
        <f t="shared" ca="1" si="24"/>
        <v>5.3541666666666599E-2</v>
      </c>
      <c r="W85" s="4">
        <f t="shared" ca="1" si="25"/>
        <v>5.0186799501868107E-2</v>
      </c>
      <c r="X85" s="4">
        <f t="shared" ca="1" si="26"/>
        <v>3.8830409356725104E-2</v>
      </c>
      <c r="Y85" s="4">
        <f t="shared" ca="1" si="27"/>
        <v>6.3882063882063633E-3</v>
      </c>
      <c r="Z85" s="4">
        <f t="shared" ca="1" si="28"/>
        <v>7.4007651841224265E-2</v>
      </c>
      <c r="AA85" s="4">
        <f t="shared" ca="1" si="29"/>
        <v>0.11915140947399006</v>
      </c>
      <c r="AB85" s="4">
        <f t="shared" ca="1" si="33"/>
        <v>7.8872706638925427E-2</v>
      </c>
      <c r="AC85" s="4">
        <f t="shared" ca="1" si="34"/>
        <v>7.629427792915533E-2</v>
      </c>
      <c r="AD85" s="4"/>
      <c r="AE85" s="2" cm="1">
        <f t="array" aca="1" ref="AE85" ca="1">SUMPRODUCT(Q85:AB85,TRANSPOSE(Insights.!$H$4:$H$15))</f>
        <v>4.5930660956952696E-2</v>
      </c>
      <c r="AG85" s="10" vm="1352">
        <f ca="1"/>
        <v>45777</v>
      </c>
      <c r="AH85" s="1" vm="1363">
        <f ca="1"/>
        <v>92.061999999999998</v>
      </c>
      <c r="AI85" s="2">
        <f t="shared" ca="1" si="30"/>
        <v>3.6757837109773872E-2</v>
      </c>
      <c r="AJ85" s="1" vm="1364">
        <f ca="1"/>
        <v>93.33</v>
      </c>
      <c r="AK85" s="2">
        <f t="shared" ca="1" si="35"/>
        <v>2.4483017250616079E-2</v>
      </c>
      <c r="AL85" s="1" vm="315">
        <f ca="1"/>
        <v>52.3</v>
      </c>
      <c r="AM85" s="2">
        <f t="shared" ca="1" si="36"/>
        <v>2.4282982791587138E-2</v>
      </c>
      <c r="AO85" s="9">
        <f t="shared" ca="1" si="37"/>
        <v>86.750610710786944</v>
      </c>
      <c r="AP85">
        <f t="shared" ca="1" si="38"/>
        <v>85.369065281899054</v>
      </c>
      <c r="AQ85">
        <f t="shared" ca="1" si="39"/>
        <v>88.632478632478708</v>
      </c>
      <c r="AR85">
        <f t="shared" ca="1" si="40"/>
        <v>106.63676215720258</v>
      </c>
      <c r="AT85" s="21">
        <f ca="1">MAX($AO$3:AO86)</f>
        <v>106.96839029133979</v>
      </c>
      <c r="AU85" s="2">
        <f t="shared" ca="1" si="41"/>
        <v>-0.18900704708641092</v>
      </c>
    </row>
    <row r="86" spans="1:47" x14ac:dyDescent="0.25">
      <c r="A86" vm="1365">
        <f ca="1"/>
        <v>45779</v>
      </c>
      <c r="B86" vm="1366">
        <f ca="1"/>
        <v>101.14</v>
      </c>
      <c r="C86" vm="93">
        <f ca="1"/>
        <v>158</v>
      </c>
      <c r="D86" vm="1367">
        <f ca="1"/>
        <v>307.2</v>
      </c>
      <c r="E86" vm="1368">
        <f ca="1"/>
        <v>239.9</v>
      </c>
      <c r="F86" vm="1369">
        <f ca="1"/>
        <v>168.66</v>
      </c>
      <c r="G86" vm="1370">
        <f ca="1"/>
        <v>123</v>
      </c>
      <c r="H86" vm="1371">
        <f ca="1"/>
        <v>385.1</v>
      </c>
      <c r="I86" vm="1372">
        <f ca="1"/>
        <v>142.04</v>
      </c>
      <c r="J86" vm="1373">
        <f ca="1"/>
        <v>445.2</v>
      </c>
      <c r="K86" vm="1073">
        <f ca="1"/>
        <v>22.4</v>
      </c>
      <c r="L86" vm="922">
        <f ca="1"/>
        <v>179.66</v>
      </c>
      <c r="M86" vm="1374">
        <f ca="1"/>
        <v>222.05</v>
      </c>
      <c r="N86" vm="1375">
        <f ca="1"/>
        <v>17.43</v>
      </c>
      <c r="O86" vm="1376">
        <f ca="1"/>
        <v>570.4</v>
      </c>
      <c r="Q86" s="4">
        <f t="shared" ca="1" si="21"/>
        <v>1.1474469305794432E-3</v>
      </c>
      <c r="R86" s="4">
        <f t="shared" ca="1" si="22"/>
        <v>1.4589412255106238E-2</v>
      </c>
      <c r="S86" s="4">
        <f t="shared" ca="1" si="23"/>
        <v>9.3495934959351157E-3</v>
      </c>
      <c r="T86" s="4">
        <f t="shared" ca="1" si="31"/>
        <v>-1.5488594762038788E-2</v>
      </c>
      <c r="U86" s="4">
        <f t="shared" ca="1" si="32"/>
        <v>1.123090745732247E-3</v>
      </c>
      <c r="V86" s="4">
        <f t="shared" ca="1" si="24"/>
        <v>-2.3729483883725422E-3</v>
      </c>
      <c r="W86" s="4">
        <f t="shared" ca="1" si="25"/>
        <v>-2.2767698327997188E-2</v>
      </c>
      <c r="X86" s="4">
        <f t="shared" ca="1" si="26"/>
        <v>1.2609772573744626E-2</v>
      </c>
      <c r="Y86" s="4">
        <f t="shared" ca="1" si="27"/>
        <v>5.6966145833332593E-3</v>
      </c>
      <c r="Z86" s="4">
        <f t="shared" ca="1" si="28"/>
        <v>-6.9019258599577471E-3</v>
      </c>
      <c r="AA86" s="4">
        <f t="shared" ca="1" si="29"/>
        <v>2.5967281225636185E-4</v>
      </c>
      <c r="AB86" s="4">
        <f t="shared" ca="1" si="33"/>
        <v>-9.6423562412342179E-3</v>
      </c>
      <c r="AC86" s="4">
        <f t="shared" ca="1" si="34"/>
        <v>-8.8607594936709333E-3</v>
      </c>
      <c r="AD86" s="4"/>
      <c r="AE86" s="2" cm="1">
        <f t="array" aca="1" ref="AE86" ca="1">SUMPRODUCT(Q86:AB86,TRANSPOSE(Insights.!$H$4:$H$15))</f>
        <v>7.7400076430489937E-4</v>
      </c>
      <c r="AG86" s="10" vm="1365">
        <f ca="1"/>
        <v>45779</v>
      </c>
      <c r="AH86" s="1" vm="1377">
        <f ca="1"/>
        <v>95.445999999999998</v>
      </c>
      <c r="AI86" s="2">
        <f t="shared" ca="1" si="30"/>
        <v>-3.3526810971648002E-3</v>
      </c>
      <c r="AJ86" s="1" vm="1378">
        <f ca="1"/>
        <v>95.614999999999995</v>
      </c>
      <c r="AK86" s="2">
        <f t="shared" ca="1" si="35"/>
        <v>1.4642054071014599E-3</v>
      </c>
      <c r="AL86" s="1" vm="1379">
        <f ca="1"/>
        <v>53.57</v>
      </c>
      <c r="AM86" s="2">
        <f t="shared" ca="1" si="36"/>
        <v>2.6134030240807515E-3</v>
      </c>
      <c r="AO86" s="9">
        <f t="shared" ca="1" si="37"/>
        <v>90.735123599152686</v>
      </c>
      <c r="AP86">
        <f t="shared" ca="1" si="38"/>
        <v>88.507047477744749</v>
      </c>
      <c r="AQ86">
        <f t="shared" ca="1" si="39"/>
        <v>90.802469135802539</v>
      </c>
      <c r="AR86">
        <f t="shared" ca="1" si="40"/>
        <v>109.22622081761651</v>
      </c>
      <c r="AT86" s="21">
        <f ca="1">MAX($AO$3:AO87)</f>
        <v>106.96839029133979</v>
      </c>
      <c r="AU86" s="2">
        <f t="shared" ca="1" si="41"/>
        <v>-0.15175760472765898</v>
      </c>
    </row>
    <row r="87" spans="1:47" x14ac:dyDescent="0.25">
      <c r="A87" vm="1380">
        <f ca="1"/>
        <v>45782</v>
      </c>
      <c r="B87" vm="1381">
        <f ca="1"/>
        <v>100.9</v>
      </c>
      <c r="C87" vm="1000">
        <f ca="1"/>
        <v>156.6</v>
      </c>
      <c r="D87" vm="1382">
        <f ca="1"/>
        <v>308.95</v>
      </c>
      <c r="E87" vm="1383">
        <f ca="1"/>
        <v>243.4</v>
      </c>
      <c r="F87" vm="1384">
        <f ca="1"/>
        <v>164.82</v>
      </c>
      <c r="G87" vm="1385">
        <f ca="1"/>
        <v>124.15</v>
      </c>
      <c r="H87" vm="1386">
        <f ca="1"/>
        <v>385.2</v>
      </c>
      <c r="I87" vm="1387">
        <f ca="1"/>
        <v>139.84</v>
      </c>
      <c r="J87" vm="1388">
        <f ca="1"/>
        <v>445.7</v>
      </c>
      <c r="K87" vm="1056">
        <f ca="1"/>
        <v>21</v>
      </c>
      <c r="L87" vm="1389">
        <f ca="1"/>
        <v>178.42</v>
      </c>
      <c r="M87" vm="1390">
        <f ca="1"/>
        <v>224.85</v>
      </c>
      <c r="N87" vm="1391">
        <f ca="1"/>
        <v>17.45</v>
      </c>
      <c r="O87" vm="1392">
        <f ca="1"/>
        <v>564.9</v>
      </c>
      <c r="Q87" s="4">
        <f t="shared" ca="1" si="21"/>
        <v>6.2464183381088834E-2</v>
      </c>
      <c r="R87" s="4">
        <f t="shared" ca="1" si="22"/>
        <v>-2.526705012325392E-2</v>
      </c>
      <c r="S87" s="4">
        <f t="shared" ca="1" si="23"/>
        <v>1.4901329037454669E-2</v>
      </c>
      <c r="T87" s="4">
        <f t="shared" ca="1" si="31"/>
        <v>1.2871853546911893E-3</v>
      </c>
      <c r="U87" s="4">
        <f t="shared" ca="1" si="32"/>
        <v>-4.1507740632711343E-3</v>
      </c>
      <c r="V87" s="4">
        <f t="shared" ca="1" si="24"/>
        <v>-1.0901883052527372E-2</v>
      </c>
      <c r="W87" s="4">
        <f t="shared" ca="1" si="25"/>
        <v>-9.7075597621647525E-3</v>
      </c>
      <c r="X87" s="4">
        <f t="shared" ca="1" si="26"/>
        <v>-1.28974872136981E-2</v>
      </c>
      <c r="Y87" s="4">
        <f t="shared" ca="1" si="27"/>
        <v>-9.0629551707396283E-3</v>
      </c>
      <c r="Z87" s="4">
        <f t="shared" ca="1" si="28"/>
        <v>-8.5192243022081948E-3</v>
      </c>
      <c r="AA87" s="4">
        <f t="shared" ca="1" si="29"/>
        <v>-8.3073727933540287E-3</v>
      </c>
      <c r="AB87" s="4">
        <f t="shared" ca="1" si="33"/>
        <v>-3.1864046733934837E-3</v>
      </c>
      <c r="AC87" s="4">
        <f t="shared" ca="1" si="34"/>
        <v>-2.5542784163473775E-2</v>
      </c>
      <c r="AD87" s="4"/>
      <c r="AE87" s="2" cm="1">
        <f t="array" aca="1" ref="AE87" ca="1">SUMPRODUCT(Q87:AB87,TRANSPOSE(Insights.!$H$4:$H$15))</f>
        <v>-2.7226220806576265E-3</v>
      </c>
      <c r="AG87" s="10" vm="1380">
        <f ca="1"/>
        <v>45782</v>
      </c>
      <c r="AH87" s="1" vm="1393">
        <f ca="1"/>
        <v>95.126000000000005</v>
      </c>
      <c r="AI87" s="2">
        <f t="shared" ca="1" si="30"/>
        <v>-1.6252128755545381E-2</v>
      </c>
      <c r="AJ87" s="1" vm="1394">
        <f ca="1"/>
        <v>95.754999999999995</v>
      </c>
      <c r="AK87" s="2">
        <f t="shared" ca="1" si="35"/>
        <v>-4.8561432823349682E-3</v>
      </c>
      <c r="AL87" s="1" vm="1395">
        <f ca="1"/>
        <v>53.71</v>
      </c>
      <c r="AM87" s="2">
        <f t="shared" ca="1" si="36"/>
        <v>-7.0750325823869531E-3</v>
      </c>
      <c r="AO87" s="9">
        <f t="shared" ca="1" si="37"/>
        <v>90.805352654167734</v>
      </c>
      <c r="AP87">
        <f t="shared" ca="1" si="38"/>
        <v>88.210311572700249</v>
      </c>
      <c r="AQ87">
        <f t="shared" ca="1" si="39"/>
        <v>90.935422602089346</v>
      </c>
      <c r="AR87">
        <f t="shared" ca="1" si="40"/>
        <v>109.51167295341018</v>
      </c>
      <c r="AT87" s="21">
        <f ca="1">MAX($AO$3:AO88)</f>
        <v>106.96839029133979</v>
      </c>
      <c r="AU87" s="2">
        <f t="shared" ca="1" si="41"/>
        <v>-0.15110106446540239</v>
      </c>
    </row>
    <row r="88" spans="1:47" x14ac:dyDescent="0.25">
      <c r="A88" vm="1396">
        <f ca="1"/>
        <v>45783</v>
      </c>
      <c r="B88" vm="1397">
        <f ca="1"/>
        <v>99.8</v>
      </c>
      <c r="C88" vm="1018">
        <f ca="1"/>
        <v>152.6</v>
      </c>
      <c r="D88" vm="1398">
        <f ca="1"/>
        <v>306.14999999999998</v>
      </c>
      <c r="E88" vm="1399">
        <f ca="1"/>
        <v>237.25</v>
      </c>
      <c r="F88" vm="1400">
        <f ca="1"/>
        <v>163.22</v>
      </c>
      <c r="G88" vm="1401">
        <f ca="1"/>
        <v>126</v>
      </c>
      <c r="H88" vm="1402">
        <f ca="1"/>
        <v>382</v>
      </c>
      <c r="I88" vm="1403">
        <f ca="1"/>
        <v>140.02000000000001</v>
      </c>
      <c r="J88" vm="1404">
        <f ca="1"/>
        <v>443.85</v>
      </c>
      <c r="K88" vm="764">
        <f ca="1"/>
        <v>20.399999999999999</v>
      </c>
      <c r="L88" vm="1405">
        <f ca="1"/>
        <v>176.9</v>
      </c>
      <c r="M88" vm="1406">
        <f ca="1"/>
        <v>221.95</v>
      </c>
      <c r="N88" vm="1407">
        <f ca="1"/>
        <v>18.54</v>
      </c>
      <c r="O88" vm="1408">
        <f ca="1"/>
        <v>563.1</v>
      </c>
      <c r="Q88" s="4">
        <f t="shared" ca="1" si="21"/>
        <v>2.7508090614886793E-2</v>
      </c>
      <c r="R88" s="4">
        <f t="shared" ca="1" si="22"/>
        <v>3.3719704952581697E-2</v>
      </c>
      <c r="S88" s="4">
        <f t="shared" ca="1" si="23"/>
        <v>-4.087301587301595E-2</v>
      </c>
      <c r="T88" s="4">
        <f t="shared" ca="1" si="31"/>
        <v>4.9992858163119269E-3</v>
      </c>
      <c r="U88" s="4">
        <f t="shared" ca="1" si="32"/>
        <v>2.8162667567872557E-3</v>
      </c>
      <c r="V88" s="4">
        <f t="shared" ca="1" si="24"/>
        <v>3.8677354709418799E-2</v>
      </c>
      <c r="W88" s="4">
        <f t="shared" ca="1" si="25"/>
        <v>2.4261732630805E-2</v>
      </c>
      <c r="X88" s="4">
        <f t="shared" ca="1" si="26"/>
        <v>-2.252759630546608E-4</v>
      </c>
      <c r="Y88" s="4">
        <f t="shared" ca="1" si="27"/>
        <v>8.4925690021231404E-3</v>
      </c>
      <c r="Z88" s="4">
        <f t="shared" ca="1" si="28"/>
        <v>6.1051441492367964E-3</v>
      </c>
      <c r="AA88" s="4">
        <f t="shared" ca="1" si="29"/>
        <v>5.7591623036647999E-3</v>
      </c>
      <c r="AB88" s="4">
        <f t="shared" ca="1" si="33"/>
        <v>1.9357130172260595E-2</v>
      </c>
      <c r="AC88" s="4">
        <f t="shared" ca="1" si="34"/>
        <v>1.0484927916120546E-2</v>
      </c>
      <c r="AD88" s="4"/>
      <c r="AE88" s="2" cm="1">
        <f t="array" aca="1" ref="AE88" ca="1">SUMPRODUCT(Q88:AB88,TRANSPOSE(Insights.!$H$4:$H$15))</f>
        <v>9.7709628680176953E-3</v>
      </c>
      <c r="AG88" s="10" vm="1396">
        <f ca="1"/>
        <v>45783</v>
      </c>
      <c r="AH88" s="1" vm="1409">
        <f ca="1"/>
        <v>93.58</v>
      </c>
      <c r="AI88" s="2">
        <f t="shared" ca="1" si="30"/>
        <v>3.1416969437914055E-3</v>
      </c>
      <c r="AJ88" s="1" vm="1410">
        <f ca="1"/>
        <v>95.29</v>
      </c>
      <c r="AK88" s="2">
        <f t="shared" ca="1" si="35"/>
        <v>-5.19466890544662E-3</v>
      </c>
      <c r="AL88" s="1" vm="1411">
        <f ca="1"/>
        <v>53.33</v>
      </c>
      <c r="AM88" s="2">
        <f t="shared" ca="1" si="36"/>
        <v>-2.250140633789588E-3</v>
      </c>
      <c r="AO88" s="9">
        <f t="shared" ca="1" si="37"/>
        <v>90.55812399598959</v>
      </c>
      <c r="AP88">
        <f t="shared" ca="1" si="38"/>
        <v>86.776706231453943</v>
      </c>
      <c r="AQ88">
        <f t="shared" ca="1" si="39"/>
        <v>90.493827160493922</v>
      </c>
      <c r="AR88">
        <f t="shared" ca="1" si="40"/>
        <v>108.7368742991131</v>
      </c>
      <c r="AT88" s="21">
        <f ca="1">MAX($AO$3:AO89)</f>
        <v>106.96839029133979</v>
      </c>
      <c r="AU88" s="2">
        <f t="shared" ca="1" si="41"/>
        <v>-0.15341229545153567</v>
      </c>
    </row>
    <row r="89" spans="1:47" x14ac:dyDescent="0.25">
      <c r="A89" vm="1412">
        <f ca="1"/>
        <v>45784</v>
      </c>
      <c r="B89" vm="1413">
        <f ca="1"/>
        <v>103.66</v>
      </c>
      <c r="C89" vm="1414">
        <f ca="1"/>
        <v>154.19999999999999</v>
      </c>
      <c r="D89" vm="1415">
        <f ca="1"/>
        <v>308.75</v>
      </c>
      <c r="E89" vm="1416">
        <f ca="1"/>
        <v>245.25</v>
      </c>
      <c r="F89" vm="1417">
        <f ca="1"/>
        <v>167.18</v>
      </c>
      <c r="G89" vm="1418">
        <f ca="1"/>
        <v>120.85</v>
      </c>
      <c r="H89" vm="1419">
        <f ca="1"/>
        <v>384.2</v>
      </c>
      <c r="I89" vm="1420">
        <f ca="1"/>
        <v>140.72</v>
      </c>
      <c r="J89" vm="1421">
        <f ca="1"/>
        <v>445.1</v>
      </c>
      <c r="K89" vm="990">
        <f ca="1"/>
        <v>23.2</v>
      </c>
      <c r="L89" vm="1422">
        <f ca="1"/>
        <v>177.98</v>
      </c>
      <c r="M89" vm="546">
        <f ca="1"/>
        <v>221.9</v>
      </c>
      <c r="N89" vm="1423">
        <f ca="1"/>
        <v>19.05</v>
      </c>
      <c r="O89" vm="1424">
        <f ca="1"/>
        <v>574</v>
      </c>
      <c r="Q89" s="4">
        <f t="shared" ca="1" si="21"/>
        <v>4.4619422572178546E-3</v>
      </c>
      <c r="R89" s="4">
        <f t="shared" ca="1" si="22"/>
        <v>2.4668705402650426E-2</v>
      </c>
      <c r="S89" s="4">
        <f t="shared" ca="1" si="23"/>
        <v>4.261481175010351E-2</v>
      </c>
      <c r="T89" s="4">
        <f t="shared" ca="1" si="31"/>
        <v>6.3956793632746756E-3</v>
      </c>
      <c r="U89" s="4">
        <f t="shared" ca="1" si="32"/>
        <v>3.4823635138170328E-3</v>
      </c>
      <c r="V89" s="4">
        <f t="shared" ca="1" si="24"/>
        <v>1.2926876326451842E-2</v>
      </c>
      <c r="W89" s="4">
        <f t="shared" ca="1" si="25"/>
        <v>2.5361885392989558E-2</v>
      </c>
      <c r="X89" s="4">
        <f t="shared" ca="1" si="26"/>
        <v>2.7489860297431168E-2</v>
      </c>
      <c r="Y89" s="4">
        <f t="shared" ca="1" si="27"/>
        <v>2.3319838056680142E-2</v>
      </c>
      <c r="Z89" s="4">
        <f t="shared" ca="1" si="28"/>
        <v>2.6295089335880428E-2</v>
      </c>
      <c r="AA89" s="4">
        <f t="shared" ca="1" si="29"/>
        <v>2.6678813118167666E-2</v>
      </c>
      <c r="AB89" s="4">
        <f t="shared" ca="1" si="33"/>
        <v>8.5365853658536661E-3</v>
      </c>
      <c r="AC89" s="4">
        <f t="shared" ca="1" si="34"/>
        <v>1.4267185473411326E-2</v>
      </c>
      <c r="AD89" s="4"/>
      <c r="AE89" s="2" cm="1">
        <f t="array" aca="1" ref="AE89" ca="1">SUMPRODUCT(Q89:AB89,TRANSPOSE(Insights.!$H$4:$H$15))</f>
        <v>1.8170484390103978E-2</v>
      </c>
      <c r="AG89" s="10" vm="1412">
        <f ca="1"/>
        <v>45784</v>
      </c>
      <c r="AH89" s="1" vm="1425">
        <f ca="1"/>
        <v>93.873999999999995</v>
      </c>
      <c r="AI89" s="2">
        <f t="shared" ca="1" si="30"/>
        <v>2.6546221530988401E-2</v>
      </c>
      <c r="AJ89" s="1" vm="1426">
        <f ca="1"/>
        <v>94.795000000000002</v>
      </c>
      <c r="AK89" s="2">
        <f t="shared" ca="1" si="35"/>
        <v>1.6456564164776699E-2</v>
      </c>
      <c r="AL89" s="1" vm="1427">
        <f ca="1"/>
        <v>53.21</v>
      </c>
      <c r="AM89" s="2">
        <f t="shared" ca="1" si="36"/>
        <v>1.3907160308212818E-2</v>
      </c>
      <c r="AO89" s="9">
        <f t="shared" ca="1" si="37"/>
        <v>91.442964062951731</v>
      </c>
      <c r="AP89">
        <f t="shared" ca="1" si="38"/>
        <v>87.049332344213582</v>
      </c>
      <c r="AQ89">
        <f t="shared" ca="1" si="39"/>
        <v>90.023741690408443</v>
      </c>
      <c r="AR89">
        <f t="shared" ca="1" si="40"/>
        <v>108.4922010398614</v>
      </c>
      <c r="AT89" s="21">
        <f ca="1">MAX($AO$3:AO90)</f>
        <v>106.96839029133979</v>
      </c>
      <c r="AU89" s="2">
        <f t="shared" ca="1" si="41"/>
        <v>-0.14514031842587238</v>
      </c>
    </row>
    <row r="90" spans="1:47" x14ac:dyDescent="0.25">
      <c r="A90" vm="1428">
        <f ca="1"/>
        <v>45785</v>
      </c>
      <c r="B90" vm="649">
        <f ca="1"/>
        <v>105</v>
      </c>
      <c r="C90" vm="1429">
        <f ca="1"/>
        <v>156.4</v>
      </c>
      <c r="D90" vm="1430">
        <f ca="1"/>
        <v>315.95</v>
      </c>
      <c r="E90" vm="1431">
        <f ca="1"/>
        <v>251.3</v>
      </c>
      <c r="F90" vm="1432">
        <f ca="1"/>
        <v>171.42</v>
      </c>
      <c r="G90" vm="1401">
        <f ca="1"/>
        <v>126</v>
      </c>
      <c r="H90" vm="1433">
        <f ca="1"/>
        <v>394.45</v>
      </c>
      <c r="I90" vm="1434">
        <f ca="1"/>
        <v>141.62</v>
      </c>
      <c r="J90" vm="1435">
        <f ca="1"/>
        <v>446.65</v>
      </c>
      <c r="K90" vm="829">
        <f ca="1"/>
        <v>25</v>
      </c>
      <c r="L90" vm="1436">
        <f ca="1"/>
        <v>182.66</v>
      </c>
      <c r="M90" vm="1437">
        <f ca="1"/>
        <v>228</v>
      </c>
      <c r="N90" vm="1438">
        <f ca="1"/>
        <v>19.135000000000002</v>
      </c>
      <c r="O90" vm="1439">
        <f ca="1"/>
        <v>578.9</v>
      </c>
      <c r="Q90" s="4">
        <f t="shared" ca="1" si="21"/>
        <v>-2.2733211392735986E-2</v>
      </c>
      <c r="R90" s="4">
        <f t="shared" ca="1" si="22"/>
        <v>-2.5467568643056104E-2</v>
      </c>
      <c r="S90" s="4">
        <f t="shared" ca="1" si="23"/>
        <v>-5.5158730158730185E-2</v>
      </c>
      <c r="T90" s="4">
        <f t="shared" ca="1" si="31"/>
        <v>-1.1156616297133271E-2</v>
      </c>
      <c r="U90" s="4">
        <f t="shared" ca="1" si="32"/>
        <v>3.2463897906638284E-3</v>
      </c>
      <c r="V90" s="4">
        <f t="shared" ca="1" si="24"/>
        <v>-1.2571428571428456E-2</v>
      </c>
      <c r="W90" s="4">
        <f t="shared" ca="1" si="25"/>
        <v>1.9834325049585821E-3</v>
      </c>
      <c r="X90" s="4">
        <f t="shared" ca="1" si="26"/>
        <v>-6.359649122806954E-3</v>
      </c>
      <c r="Y90" s="4">
        <f t="shared" ca="1" si="27"/>
        <v>-1.1077702168064585E-2</v>
      </c>
      <c r="Z90" s="4">
        <f t="shared" ca="1" si="28"/>
        <v>1.0839811671958799E-2</v>
      </c>
      <c r="AA90" s="4">
        <f t="shared" ca="1" si="29"/>
        <v>-1.0774496133857281E-2</v>
      </c>
      <c r="AB90" s="4">
        <f t="shared" ca="1" si="33"/>
        <v>-1.0537225773017855E-2</v>
      </c>
      <c r="AC90" s="4">
        <f t="shared" ca="1" si="34"/>
        <v>1.4066496163682718E-2</v>
      </c>
      <c r="AD90" s="4"/>
      <c r="AE90" s="2" cm="1">
        <f t="array" aca="1" ref="AE90" ca="1">SUMPRODUCT(Q90:AB90,TRANSPOSE(Insights.!$H$4:$H$15))</f>
        <v>-1.0935119978394393E-2</v>
      </c>
      <c r="AG90" s="10" vm="1428">
        <f ca="1"/>
        <v>45785</v>
      </c>
      <c r="AH90" s="1" vm="1440">
        <f ca="1"/>
        <v>96.366</v>
      </c>
      <c r="AI90" s="2">
        <f t="shared" ca="1" si="30"/>
        <v>-1.2473278957308542E-2</v>
      </c>
      <c r="AJ90" s="1" vm="1441">
        <f ca="1"/>
        <v>96.355000000000004</v>
      </c>
      <c r="AK90" s="2">
        <f t="shared" ca="1" si="35"/>
        <v>-7.2648020341448127E-4</v>
      </c>
      <c r="AL90" s="1" vm="1442">
        <f ca="1"/>
        <v>53.95</v>
      </c>
      <c r="AM90" s="2">
        <f t="shared" ca="1" si="36"/>
        <v>1.1121408711769476E-3</v>
      </c>
      <c r="AO90" s="9">
        <f t="shared" ca="1" si="37"/>
        <v>93.104527014042446</v>
      </c>
      <c r="AP90">
        <f t="shared" ca="1" si="38"/>
        <v>89.360163204747707</v>
      </c>
      <c r="AQ90">
        <f t="shared" ca="1" si="39"/>
        <v>91.505223171889938</v>
      </c>
      <c r="AR90">
        <f t="shared" ca="1" si="40"/>
        <v>110.00101947191361</v>
      </c>
      <c r="AT90" s="21">
        <f ca="1">MAX($AO$3:AO91)</f>
        <v>106.96839029133979</v>
      </c>
      <c r="AU90" s="2">
        <f t="shared" ca="1" si="41"/>
        <v>-0.12960710392610031</v>
      </c>
    </row>
    <row r="91" spans="1:47" x14ac:dyDescent="0.25">
      <c r="A91" vm="1443">
        <f ca="1"/>
        <v>45786</v>
      </c>
      <c r="B91" vm="1444">
        <f ca="1"/>
        <v>103.68</v>
      </c>
      <c r="C91" vm="836">
        <f ca="1"/>
        <v>158.6</v>
      </c>
      <c r="D91" vm="1445">
        <f ca="1"/>
        <v>312.45</v>
      </c>
      <c r="E91" vm="1446">
        <f ca="1"/>
        <v>244.9</v>
      </c>
      <c r="F91" vm="1447">
        <f ca="1"/>
        <v>171.76</v>
      </c>
      <c r="G91" vm="1448">
        <f ca="1"/>
        <v>119.05</v>
      </c>
      <c r="H91" vm="1449">
        <f ca="1"/>
        <v>390.2</v>
      </c>
      <c r="I91" vm="1450">
        <f ca="1"/>
        <v>140.04</v>
      </c>
      <c r="J91" vm="1451">
        <f ca="1"/>
        <v>448.1</v>
      </c>
      <c r="K91" vm="894">
        <f ca="1"/>
        <v>24.8</v>
      </c>
      <c r="L91" vm="1452">
        <f ca="1"/>
        <v>184.64</v>
      </c>
      <c r="M91" vm="337">
        <f ca="1"/>
        <v>226.55</v>
      </c>
      <c r="N91" vm="1453">
        <f ca="1"/>
        <v>18.7</v>
      </c>
      <c r="O91" vm="1454">
        <f ca="1"/>
        <v>572.79999999999995</v>
      </c>
      <c r="Q91" s="4">
        <f t="shared" ca="1" si="21"/>
        <v>3.1283422459893018E-2</v>
      </c>
      <c r="R91" s="4">
        <f t="shared" ca="1" si="22"/>
        <v>6.267864434463033E-2</v>
      </c>
      <c r="S91" s="4">
        <f t="shared" ca="1" si="23"/>
        <v>0.10499790004199938</v>
      </c>
      <c r="T91" s="4">
        <f t="shared" ca="1" si="31"/>
        <v>3.6275349900028564E-2</v>
      </c>
      <c r="U91" s="4">
        <f t="shared" ca="1" si="32"/>
        <v>5.2555233206873275E-2</v>
      </c>
      <c r="V91" s="4">
        <f t="shared" ca="1" si="24"/>
        <v>6.7901234567901092E-2</v>
      </c>
      <c r="W91" s="4">
        <f t="shared" ca="1" si="25"/>
        <v>9.4434094084769438E-2</v>
      </c>
      <c r="X91" s="4">
        <f t="shared" ca="1" si="26"/>
        <v>3.5091591260207444E-2</v>
      </c>
      <c r="Y91" s="4">
        <f t="shared" ca="1" si="27"/>
        <v>2.4643943030884907E-2</v>
      </c>
      <c r="Z91" s="4">
        <f t="shared" ca="1" si="28"/>
        <v>5.9575389948006929E-2</v>
      </c>
      <c r="AA91" s="4">
        <f t="shared" ca="1" si="29"/>
        <v>3.4085084572014424E-2</v>
      </c>
      <c r="AB91" s="4">
        <f t="shared" ca="1" si="33"/>
        <v>-2.2695530726256963E-2</v>
      </c>
      <c r="AC91" s="4">
        <f t="shared" ca="1" si="34"/>
        <v>6.1790668348045363E-2</v>
      </c>
      <c r="AD91" s="4"/>
      <c r="AE91" s="2" cm="1">
        <f t="array" aca="1" ref="AE91" ca="1">SUMPRODUCT(Q91:AB91,TRANSPOSE(Insights.!$H$4:$H$15))</f>
        <v>4.3161556886664385E-2</v>
      </c>
      <c r="AG91" s="10" vm="1443">
        <f ca="1"/>
        <v>45786</v>
      </c>
      <c r="AH91" s="1" vm="1455">
        <f ca="1"/>
        <v>95.164000000000001</v>
      </c>
      <c r="AI91" s="2">
        <f t="shared" ca="1" si="30"/>
        <v>4.8589802866630283E-2</v>
      </c>
      <c r="AJ91" s="1" vm="1456">
        <f ca="1"/>
        <v>96.284999999999997</v>
      </c>
      <c r="AK91" s="2">
        <f t="shared" ca="1" si="35"/>
        <v>3.2871163732668629E-2</v>
      </c>
      <c r="AL91" s="1" vm="1457">
        <f ca="1"/>
        <v>54.01</v>
      </c>
      <c r="AM91" s="2">
        <f t="shared" ca="1" si="36"/>
        <v>1.9255693390112905E-2</v>
      </c>
      <c r="AO91" s="9">
        <f t="shared" ca="1" si="37"/>
        <v>92.086417840612228</v>
      </c>
      <c r="AP91">
        <f t="shared" ca="1" si="38"/>
        <v>88.245548961424277</v>
      </c>
      <c r="AQ91">
        <f t="shared" ca="1" si="39"/>
        <v>91.438746438746534</v>
      </c>
      <c r="AR91">
        <f t="shared" ca="1" si="40"/>
        <v>110.12335610153946</v>
      </c>
      <c r="AT91" s="21">
        <f ca="1">MAX($AO$3:AO92)</f>
        <v>106.96839029133979</v>
      </c>
      <c r="AU91" s="2">
        <f t="shared" ca="1" si="41"/>
        <v>-0.13912495467301067</v>
      </c>
    </row>
    <row r="92" spans="1:47" x14ac:dyDescent="0.25">
      <c r="A92" vm="1458">
        <f ca="1"/>
        <v>45789</v>
      </c>
      <c r="B92" vm="1459">
        <f ca="1"/>
        <v>110.72</v>
      </c>
      <c r="C92" vm="1460">
        <f ca="1"/>
        <v>168.4</v>
      </c>
      <c r="D92" vm="1461">
        <f ca="1"/>
        <v>320.14999999999998</v>
      </c>
      <c r="E92" vm="1462">
        <f ca="1"/>
        <v>260.25</v>
      </c>
      <c r="F92" vm="1463">
        <f ca="1"/>
        <v>187.98</v>
      </c>
      <c r="G92" vm="1464">
        <f ca="1"/>
        <v>131.55000000000001</v>
      </c>
      <c r="H92" vm="1465">
        <f ca="1"/>
        <v>403.5</v>
      </c>
      <c r="I92" vm="1466">
        <f ca="1"/>
        <v>145.12</v>
      </c>
      <c r="J92" vm="1467">
        <f ca="1"/>
        <v>471.65</v>
      </c>
      <c r="K92" vm="1468">
        <f ca="1"/>
        <v>30.6</v>
      </c>
      <c r="L92" vm="1469">
        <f ca="1"/>
        <v>195.64</v>
      </c>
      <c r="M92" vm="1470">
        <f ca="1"/>
        <v>234.5</v>
      </c>
      <c r="N92" vm="1471">
        <f ca="1"/>
        <v>19.285</v>
      </c>
      <c r="O92" vm="1472">
        <f ca="1"/>
        <v>559.79999999999995</v>
      </c>
      <c r="Q92" s="4">
        <f t="shared" ca="1" si="21"/>
        <v>3.422348975888001E-2</v>
      </c>
      <c r="R92" s="4">
        <f t="shared" ca="1" si="22"/>
        <v>-3.4582132564840995E-3</v>
      </c>
      <c r="S92" s="4">
        <f t="shared" ca="1" si="23"/>
        <v>3.382744203724819E-2</v>
      </c>
      <c r="T92" s="4">
        <f t="shared" ca="1" si="31"/>
        <v>-2.1637265711135667E-2</v>
      </c>
      <c r="U92" s="4">
        <f t="shared" ca="1" si="32"/>
        <v>-1.441747058199927E-2</v>
      </c>
      <c r="V92" s="4">
        <f t="shared" ca="1" si="24"/>
        <v>4.8952312138728304E-2</v>
      </c>
      <c r="W92" s="4">
        <f t="shared" ca="1" si="25"/>
        <v>1.0533035429301174E-2</v>
      </c>
      <c r="X92" s="4">
        <f t="shared" ca="1" si="26"/>
        <v>1.9189765458422769E-3</v>
      </c>
      <c r="Y92" s="4">
        <f t="shared" ca="1" si="27"/>
        <v>-1.874121505544224E-3</v>
      </c>
      <c r="Z92" s="4">
        <f t="shared" ca="1" si="28"/>
        <v>5.8321406665303721E-2</v>
      </c>
      <c r="AA92" s="4">
        <f t="shared" ca="1" si="29"/>
        <v>-3.0978934324659146E-3</v>
      </c>
      <c r="AB92" s="4">
        <f t="shared" ca="1" si="33"/>
        <v>9.1103965702037382E-3</v>
      </c>
      <c r="AC92" s="4">
        <f t="shared" ca="1" si="34"/>
        <v>3.0878859857482066E-2</v>
      </c>
      <c r="AD92" s="4"/>
      <c r="AE92" s="2" cm="1">
        <f t="array" aca="1" ref="AE92" ca="1">SUMPRODUCT(Q92:AB92,TRANSPOSE(Insights.!$H$4:$H$15))</f>
        <v>1.0348392801966961E-2</v>
      </c>
      <c r="AG92" s="10" vm="1458">
        <f ca="1"/>
        <v>45789</v>
      </c>
      <c r="AH92" s="1" vm="1473">
        <f ca="1"/>
        <v>99.787999999999997</v>
      </c>
      <c r="AI92" s="2">
        <f t="shared" ca="1" si="30"/>
        <v>3.4272658035034986E-3</v>
      </c>
      <c r="AJ92" s="1" vm="1474">
        <f ca="1"/>
        <v>99.45</v>
      </c>
      <c r="AK92" s="2">
        <f t="shared" ca="1" si="35"/>
        <v>6.6365007541477894E-3</v>
      </c>
      <c r="AL92" s="1" vm="1475">
        <f ca="1"/>
        <v>55.05</v>
      </c>
      <c r="AM92" s="2">
        <f t="shared" ca="1" si="36"/>
        <v>3.2697547683924189E-3</v>
      </c>
      <c r="AO92" s="9">
        <f t="shared" ca="1" si="37"/>
        <v>96.061011002728961</v>
      </c>
      <c r="AP92">
        <f t="shared" ca="1" si="38"/>
        <v>92.533382789317457</v>
      </c>
      <c r="AQ92">
        <f t="shared" ca="1" si="39"/>
        <v>94.444444444444542</v>
      </c>
      <c r="AR92">
        <f t="shared" ca="1" si="40"/>
        <v>112.24385768172093</v>
      </c>
      <c r="AT92" s="21">
        <f ca="1">MAX($AO$3:AO93)</f>
        <v>106.96839029133979</v>
      </c>
      <c r="AU92" s="2">
        <f t="shared" ca="1" si="41"/>
        <v>-0.10196824743181998</v>
      </c>
    </row>
    <row r="93" spans="1:47" x14ac:dyDescent="0.25">
      <c r="A93" vm="1476">
        <f ca="1"/>
        <v>45790</v>
      </c>
      <c r="B93" vm="1477">
        <f ca="1"/>
        <v>116.14</v>
      </c>
      <c r="C93" vm="1478">
        <f ca="1"/>
        <v>173.6</v>
      </c>
      <c r="D93" vm="952">
        <f ca="1"/>
        <v>319.55</v>
      </c>
      <c r="E93" vm="1479">
        <f ca="1"/>
        <v>259.35000000000002</v>
      </c>
      <c r="F93" vm="1480">
        <f ca="1"/>
        <v>189.96</v>
      </c>
      <c r="G93" vm="1481">
        <f ca="1"/>
        <v>136</v>
      </c>
      <c r="H93" vm="1482">
        <f ca="1"/>
        <v>402.25</v>
      </c>
      <c r="I93" vm="1483">
        <f ca="1"/>
        <v>141.97999999999999</v>
      </c>
      <c r="J93" vm="1484">
        <f ca="1"/>
        <v>464.85</v>
      </c>
      <c r="K93" vm="1485">
        <f ca="1"/>
        <v>32</v>
      </c>
      <c r="L93" vm="1486">
        <f ca="1"/>
        <v>207.05</v>
      </c>
      <c r="M93" vm="1487">
        <f ca="1"/>
        <v>234.95</v>
      </c>
      <c r="N93" vm="1488">
        <f ca="1"/>
        <v>19.945</v>
      </c>
      <c r="O93" vm="1392">
        <f ca="1"/>
        <v>564.9</v>
      </c>
      <c r="Q93" s="4">
        <f t="shared" ca="1" si="21"/>
        <v>2.5068939583849925E-4</v>
      </c>
      <c r="R93" s="4">
        <f t="shared" ca="1" si="22"/>
        <v>6.5548486601116895E-3</v>
      </c>
      <c r="S93" s="4">
        <f t="shared" ca="1" si="23"/>
        <v>1.6176470588235237E-2</v>
      </c>
      <c r="T93" s="4">
        <f t="shared" ca="1" si="31"/>
        <v>-1.6903789266092817E-3</v>
      </c>
      <c r="U93" s="4">
        <f t="shared" ca="1" si="32"/>
        <v>-1.4305690007529348E-2</v>
      </c>
      <c r="V93" s="4">
        <f t="shared" ca="1" si="24"/>
        <v>3.9779576373342618E-2</v>
      </c>
      <c r="W93" s="4">
        <f t="shared" ca="1" si="25"/>
        <v>-1.0949673615498035E-2</v>
      </c>
      <c r="X93" s="4">
        <f t="shared" ca="1" si="26"/>
        <v>-2.7665460736325809E-3</v>
      </c>
      <c r="Y93" s="4">
        <f t="shared" ca="1" si="27"/>
        <v>-3.4423407917384408E-3</v>
      </c>
      <c r="Z93" s="4">
        <f t="shared" ca="1" si="28"/>
        <v>2.1733880705143704E-3</v>
      </c>
      <c r="AA93" s="4">
        <f t="shared" ca="1" si="29"/>
        <v>7.209446861404567E-3</v>
      </c>
      <c r="AB93" s="4">
        <f t="shared" ca="1" si="33"/>
        <v>9.559214020180562E-3</v>
      </c>
      <c r="AC93" s="4">
        <f t="shared" ca="1" si="34"/>
        <v>3.4562211981565838E-3</v>
      </c>
      <c r="AD93" s="4"/>
      <c r="AE93" s="2" cm="1">
        <f t="array" aca="1" ref="AE93" ca="1">SUMPRODUCT(Q93:AB93,TRANSPOSE(Insights.!$H$4:$H$15))</f>
        <v>2.6122499734322125E-3</v>
      </c>
      <c r="AG93" s="10" vm="1476">
        <f ca="1"/>
        <v>45790</v>
      </c>
      <c r="AH93" s="1" vm="1489">
        <f ca="1"/>
        <v>100.13</v>
      </c>
      <c r="AI93" s="2">
        <f t="shared" ca="1" si="30"/>
        <v>-3.9149106161988634E-3</v>
      </c>
      <c r="AJ93" s="1" vm="1013">
        <f ca="1"/>
        <v>100.11</v>
      </c>
      <c r="AK93" s="2">
        <f t="shared" ca="1" si="35"/>
        <v>-2.7969233842772834E-3</v>
      </c>
      <c r="AL93" s="1" vm="1490">
        <f ca="1"/>
        <v>55.23</v>
      </c>
      <c r="AM93" s="2">
        <f t="shared" ca="1" si="36"/>
        <v>-3.9833423863842032E-3</v>
      </c>
      <c r="AO93" s="9">
        <f t="shared" ca="1" si="37"/>
        <v>97.055088077539267</v>
      </c>
      <c r="AP93">
        <f t="shared" ca="1" si="38"/>
        <v>92.850519287833791</v>
      </c>
      <c r="AQ93">
        <f t="shared" ca="1" si="39"/>
        <v>95.071225071225172</v>
      </c>
      <c r="AR93">
        <f t="shared" ca="1" si="40"/>
        <v>112.61086757059849</v>
      </c>
      <c r="AT93" s="21">
        <f ca="1">MAX($AO$3:AO94)</f>
        <v>106.96839029133979</v>
      </c>
      <c r="AU93" s="2">
        <f t="shared" ca="1" si="41"/>
        <v>-9.2675062107605677E-2</v>
      </c>
    </row>
    <row r="94" spans="1:47" x14ac:dyDescent="0.25">
      <c r="A94" vm="1491">
        <f ca="1"/>
        <v>45791</v>
      </c>
      <c r="B94" vm="1492">
        <f ca="1"/>
        <v>120.76</v>
      </c>
      <c r="C94" vm="1493">
        <f ca="1"/>
        <v>174.2</v>
      </c>
      <c r="D94" vm="1494">
        <f ca="1"/>
        <v>318.45</v>
      </c>
      <c r="E94" vm="1495">
        <f ca="1"/>
        <v>261.05</v>
      </c>
      <c r="F94" vm="1496">
        <f ca="1"/>
        <v>187.88</v>
      </c>
      <c r="G94" vm="1497">
        <f ca="1"/>
        <v>138.19999999999999</v>
      </c>
      <c r="H94" vm="1498">
        <f ca="1"/>
        <v>405.15</v>
      </c>
      <c r="I94" vm="1327">
        <f ca="1"/>
        <v>141.74</v>
      </c>
      <c r="J94" vm="1499">
        <f ca="1"/>
        <v>458.2</v>
      </c>
      <c r="K94" vm="392">
        <f ca="1"/>
        <v>32.4</v>
      </c>
      <c r="L94" vm="1500">
        <f ca="1"/>
        <v>207.5</v>
      </c>
      <c r="M94" vm="1501">
        <f ca="1"/>
        <v>234.3</v>
      </c>
      <c r="N94" vm="880">
        <f ca="1"/>
        <v>19.95</v>
      </c>
      <c r="O94" vm="1502">
        <f ca="1"/>
        <v>570.29999999999995</v>
      </c>
      <c r="Q94" s="4">
        <f t="shared" ca="1" si="21"/>
        <v>-1.4786967418546237E-2</v>
      </c>
      <c r="R94" s="4">
        <f t="shared" ca="1" si="22"/>
        <v>-5.1714230990232979E-3</v>
      </c>
      <c r="S94" s="4">
        <f t="shared" ca="1" si="23"/>
        <v>-3.9797395079593789E-3</v>
      </c>
      <c r="T94" s="4">
        <f t="shared" ca="1" si="31"/>
        <v>2.5257513757584116E-2</v>
      </c>
      <c r="U94" s="4">
        <f t="shared" ca="1" si="32"/>
        <v>1.0475774770842383E-2</v>
      </c>
      <c r="V94" s="4">
        <f t="shared" ca="1" si="24"/>
        <v>-4.4716793640279251E-3</v>
      </c>
      <c r="W94" s="4">
        <f t="shared" ca="1" si="25"/>
        <v>-2.2886949116457278E-2</v>
      </c>
      <c r="X94" s="4">
        <f t="shared" ca="1" si="26"/>
        <v>1.664532650448125E-2</v>
      </c>
      <c r="Y94" s="4">
        <f t="shared" ca="1" si="27"/>
        <v>1.8370230805464072E-2</v>
      </c>
      <c r="Z94" s="4">
        <f t="shared" ca="1" si="28"/>
        <v>-1.4457831325301873E-3</v>
      </c>
      <c r="AA94" s="4">
        <f t="shared" ca="1" si="29"/>
        <v>-2.468221646303892E-3</v>
      </c>
      <c r="AB94" s="4">
        <f t="shared" ca="1" si="33"/>
        <v>-1.0520778537610465E-3</v>
      </c>
      <c r="AC94" s="4">
        <f t="shared" ca="1" si="34"/>
        <v>-6.8886337543053733E-3</v>
      </c>
      <c r="AD94" s="4"/>
      <c r="AE94" s="2" cm="1">
        <f t="array" aca="1" ref="AE94" ca="1">SUMPRODUCT(Q94:AB94,TRANSPOSE(Insights.!$H$4:$H$15))</f>
        <v>1.5524316369764921E-3</v>
      </c>
      <c r="AG94" s="10" vm="1491">
        <f ca="1"/>
        <v>45791</v>
      </c>
      <c r="AH94" s="1" vm="1503">
        <f ca="1"/>
        <v>99.738</v>
      </c>
      <c r="AI94" s="2">
        <f t="shared" ca="1" si="30"/>
        <v>6.6373899616998244E-3</v>
      </c>
      <c r="AJ94" s="1" vm="1504">
        <f ca="1"/>
        <v>99.83</v>
      </c>
      <c r="AK94" s="2">
        <f t="shared" ca="1" si="35"/>
        <v>3.8565561454473318E-3</v>
      </c>
      <c r="AL94" s="1" vm="601">
        <f ca="1"/>
        <v>55.01</v>
      </c>
      <c r="AM94" s="2">
        <f t="shared" ca="1" si="36"/>
        <v>4.7264133793856189E-3</v>
      </c>
      <c r="AO94" s="9">
        <f t="shared" ca="1" si="37"/>
        <v>97.308620228791284</v>
      </c>
      <c r="AP94">
        <f t="shared" ca="1" si="38"/>
        <v>92.487017804154277</v>
      </c>
      <c r="AQ94">
        <f t="shared" ca="1" si="39"/>
        <v>94.805318138651572</v>
      </c>
      <c r="AR94">
        <f t="shared" ca="1" si="40"/>
        <v>112.16229992863703</v>
      </c>
      <c r="AT94" s="21">
        <f ca="1">MAX($AO$3:AO95)</f>
        <v>106.96839029133979</v>
      </c>
      <c r="AU94" s="2">
        <f t="shared" ca="1" si="41"/>
        <v>-9.030490256270185E-2</v>
      </c>
    </row>
    <row r="95" spans="1:47" x14ac:dyDescent="0.25">
      <c r="A95" vm="1505">
        <f ca="1"/>
        <v>45792</v>
      </c>
      <c r="B95" vm="1506">
        <f ca="1"/>
        <v>120.22</v>
      </c>
      <c r="C95" vm="1507">
        <f ca="1"/>
        <v>173</v>
      </c>
      <c r="D95" vm="1508">
        <f ca="1"/>
        <v>324.3</v>
      </c>
      <c r="E95" vm="1509">
        <f ca="1"/>
        <v>259.7</v>
      </c>
      <c r="F95" vm="1510">
        <f ca="1"/>
        <v>183.58</v>
      </c>
      <c r="G95" vm="1511">
        <f ca="1"/>
        <v>137.65</v>
      </c>
      <c r="H95" vm="1512">
        <f ca="1"/>
        <v>404.15</v>
      </c>
      <c r="I95" vm="1513">
        <f ca="1"/>
        <v>145.32</v>
      </c>
      <c r="J95" vm="1514">
        <f ca="1"/>
        <v>463</v>
      </c>
      <c r="K95" vm="374">
        <f ca="1"/>
        <v>32.6</v>
      </c>
      <c r="L95" vm="1515">
        <f ca="1"/>
        <v>207.2</v>
      </c>
      <c r="M95" vm="730">
        <f ca="1"/>
        <v>238.2</v>
      </c>
      <c r="N95" vm="1516">
        <f ca="1"/>
        <v>19.655000000000001</v>
      </c>
      <c r="O95" vm="1517">
        <f ca="1"/>
        <v>569.70000000000005</v>
      </c>
      <c r="Q95" s="4">
        <f t="shared" ca="1" si="21"/>
        <v>1.2719409819383909E-3</v>
      </c>
      <c r="R95" s="4">
        <f t="shared" ca="1" si="22"/>
        <v>6.7385444743934819E-3</v>
      </c>
      <c r="S95" s="4">
        <f t="shared" ca="1" si="23"/>
        <v>1.3439883763167515E-2</v>
      </c>
      <c r="T95" s="4">
        <f t="shared" ca="1" si="31"/>
        <v>-1.3762730525735956E-3</v>
      </c>
      <c r="U95" s="4">
        <f t="shared" ca="1" si="32"/>
        <v>-5.3995680345572117E-3</v>
      </c>
      <c r="V95" s="4">
        <f t="shared" ca="1" si="24"/>
        <v>7.1535518216603311E-3</v>
      </c>
      <c r="W95" s="4">
        <f t="shared" ca="1" si="25"/>
        <v>5.4472164723828875E-4</v>
      </c>
      <c r="X95" s="4">
        <f t="shared" ca="1" si="26"/>
        <v>8.3963056255247359E-3</v>
      </c>
      <c r="Y95" s="4">
        <f t="shared" ca="1" si="27"/>
        <v>9.4048720320691892E-3</v>
      </c>
      <c r="Z95" s="4">
        <f t="shared" ca="1" si="28"/>
        <v>-6.0328185328185624E-3</v>
      </c>
      <c r="AA95" s="4">
        <f t="shared" ca="1" si="29"/>
        <v>4.453791908944682E-3</v>
      </c>
      <c r="AB95" s="4">
        <f t="shared" ca="1" si="33"/>
        <v>3.0015797788309539E-2</v>
      </c>
      <c r="AC95" s="4">
        <f t="shared" ca="1" si="34"/>
        <v>6.9364161849709838E-3</v>
      </c>
      <c r="AD95" s="4"/>
      <c r="AE95" s="2" cm="1">
        <f t="array" aca="1" ref="AE95" ca="1">SUMPRODUCT(Q95:AB95,TRANSPOSE(Insights.!$H$4:$H$15))</f>
        <v>5.2265780362266839E-3</v>
      </c>
      <c r="AG95" s="10" vm="1505">
        <f ca="1"/>
        <v>45792</v>
      </c>
      <c r="AH95" s="1" vm="1518">
        <f ca="1"/>
        <v>100.4</v>
      </c>
      <c r="AI95" s="2">
        <f t="shared" ca="1" si="30"/>
        <v>8.1673306772906962E-3</v>
      </c>
      <c r="AJ95" s="1" vm="1519">
        <f ca="1"/>
        <v>100.215</v>
      </c>
      <c r="AK95" s="2">
        <f t="shared" ca="1" si="35"/>
        <v>7.284338671855517E-3</v>
      </c>
      <c r="AL95" s="1" vm="1520">
        <f ca="1"/>
        <v>55.27</v>
      </c>
      <c r="AM95" s="2">
        <f t="shared" ca="1" si="36"/>
        <v>5.0660394427355371E-3</v>
      </c>
      <c r="AO95" s="9">
        <f t="shared" ca="1" si="37"/>
        <v>97.459685209384986</v>
      </c>
      <c r="AP95">
        <f t="shared" ca="1" si="38"/>
        <v>93.100890207715125</v>
      </c>
      <c r="AQ95">
        <f t="shared" ca="1" si="39"/>
        <v>95.170940170940284</v>
      </c>
      <c r="AR95">
        <f t="shared" ca="1" si="40"/>
        <v>112.6924253236824</v>
      </c>
      <c r="AT95" s="21">
        <f ca="1">MAX($AO$3:AO96)</f>
        <v>106.96839029133979</v>
      </c>
      <c r="AU95" s="2">
        <f t="shared" ca="1" si="41"/>
        <v>-8.8892663113437798E-2</v>
      </c>
    </row>
    <row r="96" spans="1:47" x14ac:dyDescent="0.25">
      <c r="A96" vm="1521">
        <f ca="1"/>
        <v>45793</v>
      </c>
      <c r="B96" vm="1522">
        <f ca="1"/>
        <v>121.08</v>
      </c>
      <c r="C96" vm="1493">
        <f ca="1"/>
        <v>174.2</v>
      </c>
      <c r="D96" vm="1523">
        <f ca="1"/>
        <v>327.35000000000002</v>
      </c>
      <c r="E96" vm="1524">
        <f ca="1"/>
        <v>261.45</v>
      </c>
      <c r="F96" vm="1525">
        <f ca="1"/>
        <v>183.68</v>
      </c>
      <c r="G96" vm="1526">
        <f ca="1"/>
        <v>139.5</v>
      </c>
      <c r="H96" vm="1527">
        <f ca="1"/>
        <v>405.95</v>
      </c>
      <c r="I96" vm="1466">
        <f ca="1"/>
        <v>145.12</v>
      </c>
      <c r="J96" vm="1528">
        <f ca="1"/>
        <v>460.5</v>
      </c>
      <c r="K96" vm="409">
        <f ca="1"/>
        <v>33.799999999999997</v>
      </c>
      <c r="L96" vm="1529">
        <f ca="1"/>
        <v>205.95</v>
      </c>
      <c r="M96" vm="1530">
        <f ca="1"/>
        <v>240.2</v>
      </c>
      <c r="N96" vm="1531">
        <f ca="1"/>
        <v>19.68</v>
      </c>
      <c r="O96" vm="1532">
        <f ca="1"/>
        <v>586.79999999999995</v>
      </c>
      <c r="Q96" s="4">
        <f t="shared" ca="1" si="21"/>
        <v>-1.7530487804877981E-2</v>
      </c>
      <c r="R96" s="4">
        <f t="shared" ca="1" si="22"/>
        <v>-1.7594186268884981E-2</v>
      </c>
      <c r="S96" s="4">
        <f t="shared" ca="1" si="23"/>
        <v>3.9426523297492189E-3</v>
      </c>
      <c r="T96" s="4">
        <f t="shared" ca="1" si="31"/>
        <v>1.1714443219404513E-2</v>
      </c>
      <c r="U96" s="4">
        <f t="shared" ca="1" si="32"/>
        <v>9.0119435396307512E-3</v>
      </c>
      <c r="V96" s="4">
        <f t="shared" ca="1" si="24"/>
        <v>-4.7902213412619465E-3</v>
      </c>
      <c r="W96" s="4">
        <f t="shared" ca="1" si="25"/>
        <v>-1.9599303135888757E-3</v>
      </c>
      <c r="X96" s="4">
        <f t="shared" ca="1" si="26"/>
        <v>-8.5345545378849863E-3</v>
      </c>
      <c r="Y96" s="4">
        <f t="shared" ca="1" si="27"/>
        <v>1.2219337100962679E-3</v>
      </c>
      <c r="Z96" s="4">
        <f t="shared" ca="1" si="28"/>
        <v>-1.4081087642631607E-2</v>
      </c>
      <c r="AA96" s="4">
        <f t="shared" ca="1" si="29"/>
        <v>5.0498829905161191E-3</v>
      </c>
      <c r="AB96" s="4">
        <f t="shared" ca="1" si="33"/>
        <v>-2.0449897750509649E-3</v>
      </c>
      <c r="AC96" s="4">
        <f t="shared" ca="1" si="34"/>
        <v>-1.8369690011481032E-2</v>
      </c>
      <c r="AD96" s="4"/>
      <c r="AE96" s="2" cm="1">
        <f t="array" aca="1" ref="AE96" ca="1">SUMPRODUCT(Q96:AB96,TRANSPOSE(Insights.!$H$4:$H$15))</f>
        <v>-3.6651531195870651E-3</v>
      </c>
      <c r="AG96" s="10" vm="1521">
        <f ca="1"/>
        <v>45793</v>
      </c>
      <c r="AH96" s="1" vm="1533">
        <f ca="1"/>
        <v>101.22</v>
      </c>
      <c r="AI96" s="2">
        <f t="shared" ca="1" si="30"/>
        <v>-6.816834617664469E-3</v>
      </c>
      <c r="AJ96" s="1" vm="1534">
        <f ca="1"/>
        <v>100.94499999999999</v>
      </c>
      <c r="AK96" s="2">
        <f t="shared" ca="1" si="35"/>
        <v>-5.8447669523006285E-3</v>
      </c>
      <c r="AL96" s="1" vm="1535">
        <f ca="1"/>
        <v>55.55</v>
      </c>
      <c r="AM96" s="2">
        <f t="shared" ca="1" si="36"/>
        <v>3.7803780378038443E-3</v>
      </c>
      <c r="AO96" s="9">
        <f t="shared" ca="1" si="37"/>
        <v>97.969065859517912</v>
      </c>
      <c r="AP96">
        <f t="shared" ca="1" si="38"/>
        <v>93.861275964391666</v>
      </c>
      <c r="AQ96">
        <f t="shared" ca="1" si="39"/>
        <v>95.864197530864317</v>
      </c>
      <c r="AR96">
        <f t="shared" ca="1" si="40"/>
        <v>113.26332959526971</v>
      </c>
      <c r="AT96" s="21">
        <f ca="1">MAX($AO$3:AO97)</f>
        <v>106.96839029133979</v>
      </c>
      <c r="AU96" s="2">
        <f t="shared" ca="1" si="41"/>
        <v>-8.4130689517821655E-2</v>
      </c>
    </row>
    <row r="97" spans="1:47" x14ac:dyDescent="0.25">
      <c r="A97" vm="1536">
        <f ca="1"/>
        <v>45796</v>
      </c>
      <c r="B97" vm="1537">
        <f ca="1"/>
        <v>120.5</v>
      </c>
      <c r="C97" vm="1538">
        <f ca="1"/>
        <v>171</v>
      </c>
      <c r="D97" vm="386">
        <f ca="1"/>
        <v>327.75</v>
      </c>
      <c r="E97" vm="1539">
        <f ca="1"/>
        <v>256.85000000000002</v>
      </c>
      <c r="F97" vm="1540">
        <f ca="1"/>
        <v>183.32</v>
      </c>
      <c r="G97" vm="1541">
        <f ca="1"/>
        <v>140.05000000000001</v>
      </c>
      <c r="H97" vm="1542">
        <f ca="1"/>
        <v>408</v>
      </c>
      <c r="I97" vm="1543">
        <f ca="1"/>
        <v>146.82</v>
      </c>
      <c r="J97" vm="1544">
        <f ca="1"/>
        <v>464.65</v>
      </c>
      <c r="K97" vm="1545">
        <f ca="1"/>
        <v>33.6</v>
      </c>
      <c r="L97" vm="1546">
        <f ca="1"/>
        <v>203.05</v>
      </c>
      <c r="M97" vm="1547">
        <f ca="1"/>
        <v>238.15</v>
      </c>
      <c r="N97" vm="1548">
        <f ca="1"/>
        <v>19.335000000000001</v>
      </c>
      <c r="O97" vm="1549">
        <f ca="1"/>
        <v>585.6</v>
      </c>
      <c r="Q97" s="4">
        <f t="shared" ca="1" si="21"/>
        <v>5.430566330488773E-3</v>
      </c>
      <c r="R97" s="4">
        <f t="shared" ca="1" si="22"/>
        <v>-1.1290636558302647E-2</v>
      </c>
      <c r="S97" s="4">
        <f t="shared" ca="1" si="23"/>
        <v>-2.0349875044627042E-2</v>
      </c>
      <c r="T97" s="4">
        <f t="shared" ca="1" si="31"/>
        <v>2.1795395722652433E-3</v>
      </c>
      <c r="U97" s="4">
        <f t="shared" ca="1" si="32"/>
        <v>-7.7477671365543399E-3</v>
      </c>
      <c r="V97" s="4">
        <f t="shared" ca="1" si="24"/>
        <v>-1.2448132780082943E-2</v>
      </c>
      <c r="W97" s="4">
        <f t="shared" ca="1" si="25"/>
        <v>-1.2873663539166413E-2</v>
      </c>
      <c r="X97" s="4">
        <f t="shared" ca="1" si="26"/>
        <v>-1.0077682133109445E-2</v>
      </c>
      <c r="Y97" s="4">
        <f t="shared" ca="1" si="27"/>
        <v>-7.7803203661327425E-3</v>
      </c>
      <c r="Z97" s="4">
        <f t="shared" ca="1" si="28"/>
        <v>3.9399162767790319E-3</v>
      </c>
      <c r="AA97" s="4">
        <f t="shared" ca="1" si="29"/>
        <v>-5.8823529411764497E-3</v>
      </c>
      <c r="AB97" s="4">
        <f t="shared" ca="1" si="33"/>
        <v>1.0245901639345245E-3</v>
      </c>
      <c r="AC97" s="4">
        <f t="shared" ca="1" si="34"/>
        <v>-2.3391812865497519E-3</v>
      </c>
      <c r="AD97" s="4"/>
      <c r="AE97" s="2" cm="1">
        <f t="array" aca="1" ref="AE97" ca="1">SUMPRODUCT(Q97:AB97,TRANSPOSE(Insights.!$H$4:$H$15))</f>
        <v>-5.9456021965254785E-3</v>
      </c>
      <c r="AG97" s="10" vm="1536">
        <f ca="1"/>
        <v>45796</v>
      </c>
      <c r="AH97" s="1" vm="1550">
        <f ca="1"/>
        <v>100.53</v>
      </c>
      <c r="AI97" s="2">
        <f t="shared" ca="1" si="30"/>
        <v>-7.7787725057196777E-3</v>
      </c>
      <c r="AJ97" s="1" vm="1551">
        <f ca="1"/>
        <v>100.355</v>
      </c>
      <c r="AK97" s="2">
        <f t="shared" ca="1" si="35"/>
        <v>2.2420407553185306E-3</v>
      </c>
      <c r="AL97" s="1" vm="1552">
        <f ca="1"/>
        <v>55.76</v>
      </c>
      <c r="AM97" s="2">
        <f t="shared" ca="1" si="36"/>
        <v>2.8694404591105283E-3</v>
      </c>
      <c r="AO97" s="9">
        <f t="shared" ca="1" si="37"/>
        <v>97.609994232159877</v>
      </c>
      <c r="AP97">
        <f t="shared" ca="1" si="38"/>
        <v>93.221439169139444</v>
      </c>
      <c r="AQ97">
        <f t="shared" ca="1" si="39"/>
        <v>95.303893637227105</v>
      </c>
      <c r="AR97">
        <f t="shared" ca="1" si="40"/>
        <v>113.6915077989602</v>
      </c>
      <c r="AT97" s="21">
        <f ca="1">MAX($AO$3:AO98)</f>
        <v>106.96839029133979</v>
      </c>
      <c r="AU97" s="2">
        <f t="shared" ca="1" si="41"/>
        <v>-8.7487490778269339E-2</v>
      </c>
    </row>
    <row r="98" spans="1:47" x14ac:dyDescent="0.25">
      <c r="A98" vm="1553">
        <f ca="1"/>
        <v>45797</v>
      </c>
      <c r="B98" vm="1554">
        <f ca="1"/>
        <v>119</v>
      </c>
      <c r="C98" vm="722">
        <f ca="1"/>
        <v>170.6</v>
      </c>
      <c r="D98" vm="1555">
        <f ca="1"/>
        <v>325.2</v>
      </c>
      <c r="E98" vm="1556">
        <f ca="1"/>
        <v>253.95</v>
      </c>
      <c r="F98" vm="1557">
        <f ca="1"/>
        <v>180.96</v>
      </c>
      <c r="G98" vm="1558">
        <f ca="1"/>
        <v>137.19999999999999</v>
      </c>
      <c r="H98" vm="1559">
        <f ca="1"/>
        <v>405.6</v>
      </c>
      <c r="I98" vm="1560">
        <f ca="1"/>
        <v>147.13999999999999</v>
      </c>
      <c r="J98" vm="1561">
        <f ca="1"/>
        <v>461.05</v>
      </c>
      <c r="K98" vm="1562">
        <f ca="1"/>
        <v>35.799999999999997</v>
      </c>
      <c r="L98" vm="1563">
        <f ca="1"/>
        <v>203.85</v>
      </c>
      <c r="M98" vm="1564">
        <f ca="1"/>
        <v>235.75</v>
      </c>
      <c r="N98" vm="1565">
        <f ca="1"/>
        <v>19.440000000000001</v>
      </c>
      <c r="O98" vm="1566">
        <f ca="1"/>
        <v>586.20000000000005</v>
      </c>
      <c r="Q98" s="4">
        <f t="shared" ca="1" si="21"/>
        <v>-1.1574074074074181E-2</v>
      </c>
      <c r="R98" s="4">
        <f t="shared" ca="1" si="22"/>
        <v>-1.6735577869659402E-2</v>
      </c>
      <c r="S98" s="4">
        <f t="shared" ca="1" si="23"/>
        <v>-2.2230320699708317E-2</v>
      </c>
      <c r="T98" s="4">
        <f t="shared" ca="1" si="31"/>
        <v>-7.4758733179284276E-3</v>
      </c>
      <c r="U98" s="4">
        <f t="shared" ca="1" si="32"/>
        <v>-1.3122221017243252E-2</v>
      </c>
      <c r="V98" s="4">
        <f t="shared" ca="1" si="24"/>
        <v>-2.1848739495798242E-2</v>
      </c>
      <c r="W98" s="4">
        <f t="shared" ca="1" si="25"/>
        <v>-1.6246684350132656E-2</v>
      </c>
      <c r="X98" s="4">
        <f t="shared" ca="1" si="26"/>
        <v>-2.4390243902439046E-2</v>
      </c>
      <c r="Y98" s="4">
        <f t="shared" ca="1" si="27"/>
        <v>-2.5830258302583009E-2</v>
      </c>
      <c r="Z98" s="4">
        <f t="shared" ca="1" si="28"/>
        <v>1.4471425067451582E-2</v>
      </c>
      <c r="AA98" s="4">
        <f t="shared" ca="1" si="29"/>
        <v>-1.4546351084812725E-2</v>
      </c>
      <c r="AB98" s="4">
        <f t="shared" ca="1" si="33"/>
        <v>-8.1883316274310447E-3</v>
      </c>
      <c r="AC98" s="4">
        <f t="shared" ca="1" si="34"/>
        <v>-8.2063305978898882E-3</v>
      </c>
      <c r="AD98" s="4"/>
      <c r="AE98" s="2" cm="1">
        <f t="array" aca="1" ref="AE98" ca="1">SUMPRODUCT(Q98:AB98,TRANSPOSE(Insights.!$H$4:$H$15))</f>
        <v>-1.2764790745060881E-2</v>
      </c>
      <c r="AG98" s="10" vm="1553">
        <f ca="1"/>
        <v>45797</v>
      </c>
      <c r="AH98" s="1" vm="1567">
        <f ca="1"/>
        <v>99.748000000000005</v>
      </c>
      <c r="AI98" s="2">
        <f t="shared" ca="1" si="30"/>
        <v>-1.2952640654449232E-2</v>
      </c>
      <c r="AJ98" s="1" vm="1568">
        <f ca="1"/>
        <v>100.58</v>
      </c>
      <c r="AK98" s="2">
        <f t="shared" ca="1" si="35"/>
        <v>-7.4070391727978357E-3</v>
      </c>
      <c r="AL98" s="1" vm="1569">
        <f ca="1"/>
        <v>55.92</v>
      </c>
      <c r="AM98" s="2">
        <f t="shared" ca="1" si="36"/>
        <v>-8.9413447782547006E-3</v>
      </c>
      <c r="AO98" s="9">
        <f t="shared" ca="1" si="37"/>
        <v>97.0296440360503</v>
      </c>
      <c r="AP98">
        <f t="shared" ca="1" si="38"/>
        <v>92.496290801186916</v>
      </c>
      <c r="AQ98">
        <f t="shared" ca="1" si="39"/>
        <v>95.517568850902308</v>
      </c>
      <c r="AR98">
        <f t="shared" ca="1" si="40"/>
        <v>114.01773881129581</v>
      </c>
      <c r="AT98" s="21">
        <f ca="1">MAX($AO$3:AO99)</f>
        <v>106.96839029133979</v>
      </c>
      <c r="AU98" s="2">
        <f t="shared" ca="1" si="41"/>
        <v>-9.2912927157455139E-2</v>
      </c>
    </row>
    <row r="99" spans="1:47" x14ac:dyDescent="0.25">
      <c r="A99" vm="1570">
        <f ca="1"/>
        <v>45798</v>
      </c>
      <c r="B99" vm="1571">
        <f ca="1"/>
        <v>116.4</v>
      </c>
      <c r="C99" vm="1572">
        <f ca="1"/>
        <v>169.2</v>
      </c>
      <c r="D99" vm="1067">
        <f ca="1"/>
        <v>316.8</v>
      </c>
      <c r="E99" vm="1573">
        <f ca="1"/>
        <v>249.7</v>
      </c>
      <c r="F99" vm="1574">
        <f ca="1"/>
        <v>178.02</v>
      </c>
      <c r="G99" vm="1575">
        <f ca="1"/>
        <v>134.15</v>
      </c>
      <c r="H99" vm="1576">
        <f ca="1"/>
        <v>399.7</v>
      </c>
      <c r="I99" vm="1577">
        <f ca="1"/>
        <v>146.04</v>
      </c>
      <c r="J99" vm="1578">
        <f ca="1"/>
        <v>455</v>
      </c>
      <c r="K99" vm="1579">
        <f ca="1"/>
        <v>35.200000000000003</v>
      </c>
      <c r="L99" vm="1580">
        <f ca="1"/>
        <v>206.8</v>
      </c>
      <c r="M99" vm="1010">
        <f ca="1"/>
        <v>230</v>
      </c>
      <c r="N99" vm="1581">
        <f ca="1"/>
        <v>19.215</v>
      </c>
      <c r="O99" vm="1582">
        <f ca="1"/>
        <v>581.4</v>
      </c>
      <c r="Q99" s="4">
        <f t="shared" ca="1" si="21"/>
        <v>3.3827738745773051E-3</v>
      </c>
      <c r="R99" s="4">
        <f t="shared" ca="1" si="22"/>
        <v>7.0084100921106174E-3</v>
      </c>
      <c r="S99" s="4">
        <f t="shared" ca="1" si="23"/>
        <v>-1.1181513231457441E-3</v>
      </c>
      <c r="T99" s="4">
        <f t="shared" ca="1" si="31"/>
        <v>6.0257463708572878E-3</v>
      </c>
      <c r="U99" s="4">
        <f t="shared" ca="1" si="32"/>
        <v>-4.7252747252747307E-3</v>
      </c>
      <c r="V99" s="4">
        <f t="shared" ca="1" si="24"/>
        <v>1.4432989690721598E-2</v>
      </c>
      <c r="W99" s="4">
        <f t="shared" ca="1" si="25"/>
        <v>1.5953263678238461E-2</v>
      </c>
      <c r="X99" s="4">
        <f t="shared" ca="1" si="26"/>
        <v>8.2608695652173214E-3</v>
      </c>
      <c r="Y99" s="4">
        <f t="shared" ca="1" si="27"/>
        <v>5.3661616161615466E-3</v>
      </c>
      <c r="Z99" s="4">
        <f t="shared" ca="1" si="28"/>
        <v>-3.8684719535784229E-3</v>
      </c>
      <c r="AA99" s="4">
        <f t="shared" ca="1" si="29"/>
        <v>1.2259194395797035E-2</v>
      </c>
      <c r="AB99" s="4">
        <f t="shared" ca="1" si="33"/>
        <v>-2.1327829377364993E-2</v>
      </c>
      <c r="AC99" s="4">
        <f t="shared" ca="1" si="34"/>
        <v>2.8368794326241176E-2</v>
      </c>
      <c r="AD99" s="4"/>
      <c r="AE99" s="2" cm="1">
        <f t="array" aca="1" ref="AE99" ca="1">SUMPRODUCT(Q99:AB99,TRANSPOSE(Insights.!$H$4:$H$15))</f>
        <v>2.655649734679061E-3</v>
      </c>
      <c r="AG99" s="10" vm="1570">
        <f ca="1"/>
        <v>45798</v>
      </c>
      <c r="AH99" s="1" vm="1583">
        <f ca="1"/>
        <v>98.456000000000003</v>
      </c>
      <c r="AI99" s="2">
        <f t="shared" ca="1" si="30"/>
        <v>2.2345006906638876E-3</v>
      </c>
      <c r="AJ99" s="1" vm="1584">
        <f ca="1"/>
        <v>99.834999999999994</v>
      </c>
      <c r="AK99" s="2">
        <f t="shared" ca="1" si="35"/>
        <v>-8.0132218159963964E-3</v>
      </c>
      <c r="AL99" s="1" vm="1585">
        <f ca="1"/>
        <v>55.42</v>
      </c>
      <c r="AM99" s="2">
        <f t="shared" ca="1" si="36"/>
        <v>3.6088054853842255E-3</v>
      </c>
      <c r="AO99" s="9">
        <f t="shared" ca="1" si="37"/>
        <v>95.791080933862375</v>
      </c>
      <c r="AP99">
        <f t="shared" ca="1" si="38"/>
        <v>91.298219584569708</v>
      </c>
      <c r="AQ99">
        <f t="shared" ca="1" si="39"/>
        <v>94.810066476733255</v>
      </c>
      <c r="AR99">
        <f t="shared" ca="1" si="40"/>
        <v>112.99826689774703</v>
      </c>
      <c r="AT99" s="21">
        <f ca="1">MAX($AO$3:AO100)</f>
        <v>106.96839029133979</v>
      </c>
      <c r="AU99" s="2">
        <f t="shared" ca="1" si="41"/>
        <v>-0.10449170382984008</v>
      </c>
    </row>
    <row r="100" spans="1:47" x14ac:dyDescent="0.25">
      <c r="A100" vm="1586">
        <f ca="1"/>
        <v>45799</v>
      </c>
      <c r="B100" vm="1587">
        <f ca="1"/>
        <v>118.08</v>
      </c>
      <c r="C100" vm="670">
        <f ca="1"/>
        <v>174</v>
      </c>
      <c r="D100" vm="1588">
        <f ca="1"/>
        <v>318.5</v>
      </c>
      <c r="E100" vm="1589">
        <f ca="1"/>
        <v>251.45</v>
      </c>
      <c r="F100" vm="1590">
        <f ca="1"/>
        <v>180.86</v>
      </c>
      <c r="G100" vm="1167">
        <f ca="1"/>
        <v>134</v>
      </c>
      <c r="H100" vm="1591">
        <f ca="1"/>
        <v>404.6</v>
      </c>
      <c r="I100" vm="1592">
        <f ca="1"/>
        <v>146.91999999999999</v>
      </c>
      <c r="J100" vm="1593">
        <f ca="1"/>
        <v>452.85</v>
      </c>
      <c r="K100" vm="1594">
        <f ca="1"/>
        <v>34.200000000000003</v>
      </c>
      <c r="L100" vm="1595">
        <f ca="1"/>
        <v>206</v>
      </c>
      <c r="M100" vm="1596">
        <f ca="1"/>
        <v>231.9</v>
      </c>
      <c r="N100" vm="1597">
        <f ca="1"/>
        <v>19.28</v>
      </c>
      <c r="O100" vm="1598">
        <f ca="1"/>
        <v>569</v>
      </c>
      <c r="Q100" s="4">
        <f t="shared" ca="1" si="21"/>
        <v>2.5933609958506132E-4</v>
      </c>
      <c r="R100" s="4">
        <f t="shared" ca="1" si="22"/>
        <v>-4.1558958043348526E-2</v>
      </c>
      <c r="S100" s="4">
        <f t="shared" ca="1" si="23"/>
        <v>3.0223880597014974E-2</v>
      </c>
      <c r="T100" s="4">
        <f t="shared" ca="1" si="31"/>
        <v>-6.8064252654506108E-3</v>
      </c>
      <c r="U100" s="4">
        <f t="shared" ca="1" si="32"/>
        <v>-1.3580655846306744E-2</v>
      </c>
      <c r="V100" s="4">
        <f t="shared" ca="1" si="24"/>
        <v>-2.0494579945799507E-2</v>
      </c>
      <c r="W100" s="4">
        <f t="shared" ca="1" si="25"/>
        <v>-1.6808581223045516E-2</v>
      </c>
      <c r="X100" s="4">
        <f t="shared" ca="1" si="26"/>
        <v>-7.5463561880120267E-3</v>
      </c>
      <c r="Y100" s="4">
        <f t="shared" ca="1" si="27"/>
        <v>-2.1664050235478682E-2</v>
      </c>
      <c r="Z100" s="4">
        <f t="shared" ca="1" si="28"/>
        <v>-1.9174757281553378E-2</v>
      </c>
      <c r="AA100" s="4">
        <f t="shared" ca="1" si="29"/>
        <v>-1.8783984181908076E-2</v>
      </c>
      <c r="AB100" s="4">
        <f t="shared" ca="1" si="33"/>
        <v>5.4481546572935358E-3</v>
      </c>
      <c r="AC100" s="4">
        <f t="shared" ca="1" si="34"/>
        <v>-3.2183908045976928E-2</v>
      </c>
      <c r="AD100" s="4"/>
      <c r="AE100" s="2" cm="1">
        <f t="array" aca="1" ref="AE100" ca="1">SUMPRODUCT(Q100:AB100,TRANSPOSE(Insights.!$H$4:$H$15))</f>
        <v>-1.1256067021132096E-2</v>
      </c>
      <c r="AG100" s="10" vm="1586">
        <f ca="1"/>
        <v>45799</v>
      </c>
      <c r="AH100" s="1" vm="1599">
        <f ca="1"/>
        <v>98.676000000000002</v>
      </c>
      <c r="AI100" s="2">
        <f t="shared" ca="1" si="30"/>
        <v>-1.5403948275163115E-2</v>
      </c>
      <c r="AJ100" s="1" vm="1600">
        <f ca="1"/>
        <v>99.034999999999997</v>
      </c>
      <c r="AK100" s="2">
        <f t="shared" ca="1" si="35"/>
        <v>-1.0501337910839514E-2</v>
      </c>
      <c r="AL100" s="1" vm="552">
        <f ca="1"/>
        <v>55.62</v>
      </c>
      <c r="AM100" s="2">
        <f t="shared" ca="1" si="36"/>
        <v>-1.8878101402373226E-2</v>
      </c>
      <c r="AO100" s="9">
        <f t="shared" ca="1" si="37"/>
        <v>96.045468492528997</v>
      </c>
      <c r="AP100">
        <f t="shared" ca="1" si="38"/>
        <v>91.502225519287819</v>
      </c>
      <c r="AQ100">
        <f t="shared" ca="1" si="39"/>
        <v>94.050332383665832</v>
      </c>
      <c r="AR100">
        <f t="shared" ca="1" si="40"/>
        <v>113.40605566316653</v>
      </c>
      <c r="AT100" s="21">
        <f ca="1">MAX($AO$3:AO101)</f>
        <v>106.96839029133979</v>
      </c>
      <c r="AU100" s="2">
        <f t="shared" ca="1" si="41"/>
        <v>-0.10211354746071288</v>
      </c>
    </row>
    <row r="101" spans="1:47" x14ac:dyDescent="0.25">
      <c r="A101" vm="1601">
        <f ca="1"/>
        <v>45800</v>
      </c>
      <c r="B101" vm="1602">
        <f ca="1"/>
        <v>115.66</v>
      </c>
      <c r="C101" vm="1460">
        <f ca="1"/>
        <v>168.4</v>
      </c>
      <c r="D101" vm="1603">
        <f ca="1"/>
        <v>311.60000000000002</v>
      </c>
      <c r="E101" vm="1151">
        <f ca="1"/>
        <v>241</v>
      </c>
      <c r="F101" vm="1604">
        <f ca="1"/>
        <v>177.82</v>
      </c>
      <c r="G101" vm="1605">
        <f ca="1"/>
        <v>138.05000000000001</v>
      </c>
      <c r="H101" vm="1606">
        <f ca="1"/>
        <v>397</v>
      </c>
      <c r="I101" vm="1607">
        <f ca="1"/>
        <v>145.91999999999999</v>
      </c>
      <c r="J101" vm="1608">
        <f ca="1"/>
        <v>446.7</v>
      </c>
      <c r="K101" vm="1609">
        <f ca="1"/>
        <v>34.6</v>
      </c>
      <c r="L101" vm="1610">
        <f ca="1"/>
        <v>202.05</v>
      </c>
      <c r="M101" vm="1611">
        <f ca="1"/>
        <v>230.15</v>
      </c>
      <c r="N101" vm="1471">
        <f ca="1"/>
        <v>19.285</v>
      </c>
      <c r="O101" vm="1612">
        <f ca="1"/>
        <v>572.1</v>
      </c>
      <c r="Q101" s="4">
        <f t="shared" ca="1" si="21"/>
        <v>7.7780658542907499E-3</v>
      </c>
      <c r="R101" s="4">
        <f t="shared" ca="1" si="22"/>
        <v>1.1410788381742698E-2</v>
      </c>
      <c r="S101" s="4">
        <f t="shared" ca="1" si="23"/>
        <v>3.5856573705179251E-2</v>
      </c>
      <c r="T101" s="4">
        <f t="shared" ca="1" si="31"/>
        <v>2.4671052631579649E-3</v>
      </c>
      <c r="U101" s="4">
        <f t="shared" ca="1" si="32"/>
        <v>4.7011417058429039E-3</v>
      </c>
      <c r="V101" s="4">
        <f t="shared" ca="1" si="24"/>
        <v>2.0058793014006593E-2</v>
      </c>
      <c r="W101" s="4">
        <f t="shared" ca="1" si="25"/>
        <v>5.5111910921157303E-3</v>
      </c>
      <c r="X101" s="4">
        <f t="shared" ca="1" si="26"/>
        <v>-1.5207473386921189E-3</v>
      </c>
      <c r="Y101" s="4">
        <f t="shared" ca="1" si="27"/>
        <v>6.0975609756097615E-3</v>
      </c>
      <c r="Z101" s="4">
        <f t="shared" ca="1" si="28"/>
        <v>1.5342736946300395E-2</v>
      </c>
      <c r="AA101" s="4">
        <f t="shared" ca="1" si="29"/>
        <v>7.304785894206578E-3</v>
      </c>
      <c r="AB101" s="4">
        <f t="shared" ca="1" si="33"/>
        <v>1.7654256248907485E-2</v>
      </c>
      <c r="AC101" s="4">
        <f t="shared" ca="1" si="34"/>
        <v>2.3752969121140222E-2</v>
      </c>
      <c r="AD101" s="4"/>
      <c r="AE101" s="2" cm="1">
        <f t="array" aca="1" ref="AE101" ca="1">SUMPRODUCT(Q101:AB101,TRANSPOSE(Insights.!$H$4:$H$15))</f>
        <v>9.5314637937283925E-3</v>
      </c>
      <c r="AG101" s="10" vm="1601">
        <f ca="1"/>
        <v>45800</v>
      </c>
      <c r="AH101" s="1" vm="1613">
        <f ca="1"/>
        <v>97.156000000000006</v>
      </c>
      <c r="AI101" s="2">
        <f t="shared" ca="1" si="30"/>
        <v>8.2341800815184385E-3</v>
      </c>
      <c r="AJ101" s="1" vm="1614">
        <f ca="1"/>
        <v>97.995000000000005</v>
      </c>
      <c r="AK101" s="2">
        <f t="shared" ca="1" si="35"/>
        <v>9.1331190366854553E-3</v>
      </c>
      <c r="AL101" s="1" vm="1615">
        <f ca="1"/>
        <v>54.57</v>
      </c>
      <c r="AM101" s="2">
        <f t="shared" ca="1" si="36"/>
        <v>1.3010811801356104E-2</v>
      </c>
      <c r="AO101" s="9">
        <f t="shared" ca="1" si="37"/>
        <v>94.96437426210106</v>
      </c>
      <c r="AP101">
        <f t="shared" ca="1" si="38"/>
        <v>90.092729970326403</v>
      </c>
      <c r="AQ101">
        <f t="shared" ca="1" si="39"/>
        <v>93.062678062678188</v>
      </c>
      <c r="AR101">
        <f t="shared" ca="1" si="40"/>
        <v>111.26516464471409</v>
      </c>
      <c r="AT101" s="21">
        <f ca="1">MAX($AO$3:AO102)</f>
        <v>106.96839029133979</v>
      </c>
      <c r="AU101" s="2">
        <f t="shared" ca="1" si="41"/>
        <v>-0.11222021754786171</v>
      </c>
    </row>
    <row r="102" spans="1:47" x14ac:dyDescent="0.25">
      <c r="A102" vm="1616">
        <f ca="1"/>
        <v>45803</v>
      </c>
      <c r="B102" vm="1617">
        <f ca="1"/>
        <v>117.98</v>
      </c>
      <c r="C102" vm="1618">
        <f ca="1"/>
        <v>172.4</v>
      </c>
      <c r="D102" vm="1619">
        <f ca="1"/>
        <v>313.5</v>
      </c>
      <c r="E102" vm="1620">
        <f ca="1"/>
        <v>243.75</v>
      </c>
      <c r="F102" vm="1621">
        <f ca="1"/>
        <v>178.8</v>
      </c>
      <c r="G102" vm="1622">
        <f ca="1"/>
        <v>143</v>
      </c>
      <c r="H102" vm="1623">
        <f ca="1"/>
        <v>399.9</v>
      </c>
      <c r="I102" vm="1624">
        <f ca="1"/>
        <v>146.28</v>
      </c>
      <c r="J102" vm="1625">
        <f ca="1"/>
        <v>448.8</v>
      </c>
      <c r="K102" vm="1626">
        <f ca="1"/>
        <v>35</v>
      </c>
      <c r="L102" vm="1627">
        <f ca="1"/>
        <v>205.15</v>
      </c>
      <c r="M102" vm="1628">
        <f ca="1"/>
        <v>229.8</v>
      </c>
      <c r="N102" vm="1629">
        <f ca="1"/>
        <v>19.434999999999999</v>
      </c>
      <c r="O102" vm="1630">
        <f ca="1"/>
        <v>582.20000000000005</v>
      </c>
      <c r="Q102" s="4">
        <f t="shared" ca="1" si="21"/>
        <v>2.5984049395420872E-2</v>
      </c>
      <c r="R102" s="4">
        <f t="shared" ca="1" si="22"/>
        <v>-6.9743589743589407E-3</v>
      </c>
      <c r="S102" s="4">
        <f t="shared" ca="1" si="23"/>
        <v>-1.0489510489510856E-3</v>
      </c>
      <c r="T102" s="4">
        <f t="shared" ca="1" si="31"/>
        <v>1.2031719989062051E-2</v>
      </c>
      <c r="U102" s="4">
        <f t="shared" ca="1" si="32"/>
        <v>1.3034759358288683E-2</v>
      </c>
      <c r="V102" s="4">
        <f t="shared" ca="1" si="24"/>
        <v>1.0340735717918381E-2</v>
      </c>
      <c r="W102" s="4">
        <f t="shared" ca="1" si="25"/>
        <v>1.4093959731543482E-2</v>
      </c>
      <c r="X102" s="4">
        <f t="shared" ca="1" si="26"/>
        <v>9.5735422106177914E-3</v>
      </c>
      <c r="Y102" s="4">
        <f t="shared" ca="1" si="27"/>
        <v>1.0685805422647521E-2</v>
      </c>
      <c r="Z102" s="4">
        <f t="shared" ca="1" si="28"/>
        <v>7.3117231294175244E-3</v>
      </c>
      <c r="AA102" s="4">
        <f t="shared" ca="1" si="29"/>
        <v>1.6254063515878991E-2</v>
      </c>
      <c r="AB102" s="4">
        <f t="shared" ca="1" si="33"/>
        <v>2.4046719340431455E-3</v>
      </c>
      <c r="AC102" s="4">
        <f t="shared" ca="1" si="34"/>
        <v>9.2807424593968069E-3</v>
      </c>
      <c r="AD102" s="4"/>
      <c r="AE102" s="2" cm="1">
        <f t="array" aca="1" ref="AE102" ca="1">SUMPRODUCT(Q102:AB102,TRANSPOSE(Insights.!$H$4:$H$15))</f>
        <v>7.8460452292177952E-3</v>
      </c>
      <c r="AG102" s="10" vm="1616">
        <f ca="1"/>
        <v>45803</v>
      </c>
      <c r="AH102" s="1" vm="1631">
        <f ca="1"/>
        <v>97.956000000000003</v>
      </c>
      <c r="AI102" s="2">
        <f t="shared" ca="1" si="30"/>
        <v>1.049450773816818E-2</v>
      </c>
      <c r="AJ102" s="1" vm="1632">
        <f ca="1"/>
        <v>98.89</v>
      </c>
      <c r="AK102" s="2">
        <f t="shared" ca="1" si="35"/>
        <v>7.4830619880674742E-3</v>
      </c>
      <c r="AL102" s="1" vm="1633">
        <f ca="1"/>
        <v>55.28</v>
      </c>
      <c r="AM102" s="2">
        <f t="shared" ca="1" si="36"/>
        <v>4.1606367583211235E-3</v>
      </c>
      <c r="AO102" s="9">
        <f t="shared" ca="1" si="37"/>
        <v>95.869523757074361</v>
      </c>
      <c r="AP102">
        <f t="shared" ca="1" si="38"/>
        <v>90.83456973293768</v>
      </c>
      <c r="AQ102">
        <f t="shared" ca="1" si="39"/>
        <v>93.912630579297371</v>
      </c>
      <c r="AR102">
        <f t="shared" ca="1" si="40"/>
        <v>112.71281476195337</v>
      </c>
      <c r="AT102" s="21">
        <f ca="1">MAX($AO$3:AO103)</f>
        <v>106.96839029133979</v>
      </c>
      <c r="AU102" s="2">
        <f t="shared" ca="1" si="41"/>
        <v>-0.10375837669461496</v>
      </c>
    </row>
    <row r="103" spans="1:47" x14ac:dyDescent="0.25">
      <c r="A103" vm="1634">
        <f ca="1"/>
        <v>45804</v>
      </c>
      <c r="B103" vm="1635">
        <f ca="1"/>
        <v>119.2</v>
      </c>
      <c r="C103" vm="670">
        <f ca="1"/>
        <v>174</v>
      </c>
      <c r="D103" vm="1636">
        <f ca="1"/>
        <v>316.85000000000002</v>
      </c>
      <c r="E103" vm="1637">
        <f ca="1"/>
        <v>242.05</v>
      </c>
      <c r="F103" vm="1638">
        <f ca="1"/>
        <v>181.32</v>
      </c>
      <c r="G103" vm="1639">
        <f ca="1"/>
        <v>142.85</v>
      </c>
      <c r="H103" vm="1640">
        <f ca="1"/>
        <v>406.4</v>
      </c>
      <c r="I103" vm="1641">
        <f ca="1"/>
        <v>148.04</v>
      </c>
      <c r="J103" vm="1642">
        <f ca="1"/>
        <v>454.65</v>
      </c>
      <c r="K103" vm="1643">
        <f ca="1"/>
        <v>35.6</v>
      </c>
      <c r="L103" vm="1644">
        <f ca="1"/>
        <v>206.65</v>
      </c>
      <c r="M103" vm="1645">
        <f ca="1"/>
        <v>232</v>
      </c>
      <c r="N103" vm="1646">
        <f ca="1"/>
        <v>19.940000000000001</v>
      </c>
      <c r="O103" vm="1647">
        <f ca="1"/>
        <v>583.6</v>
      </c>
      <c r="Q103" s="4">
        <f t="shared" ca="1" si="21"/>
        <v>1.5045135406217547E-3</v>
      </c>
      <c r="R103" s="4">
        <f t="shared" ca="1" si="22"/>
        <v>9.2956000826276419E-3</v>
      </c>
      <c r="S103" s="4">
        <f t="shared" ca="1" si="23"/>
        <v>7.700385019250966E-3</v>
      </c>
      <c r="T103" s="4">
        <f t="shared" ca="1" si="31"/>
        <v>1.6211834639288103E-3</v>
      </c>
      <c r="U103" s="4">
        <f t="shared" ca="1" si="32"/>
        <v>-5.8286594083359899E-3</v>
      </c>
      <c r="V103" s="4">
        <f t="shared" ca="1" si="24"/>
        <v>4.0268456375838202E-3</v>
      </c>
      <c r="W103" s="4">
        <f t="shared" ca="1" si="25"/>
        <v>2.7575557026251474E-3</v>
      </c>
      <c r="X103" s="4">
        <f t="shared" ca="1" si="26"/>
        <v>8.4051724137930162E-3</v>
      </c>
      <c r="Y103" s="4">
        <f t="shared" ca="1" si="27"/>
        <v>1.7358371469147205E-3</v>
      </c>
      <c r="Z103" s="4">
        <f t="shared" ca="1" si="28"/>
        <v>9.4362448584561776E-3</v>
      </c>
      <c r="AA103" s="4">
        <f t="shared" ca="1" si="29"/>
        <v>-3.8139763779526659E-3</v>
      </c>
      <c r="AB103" s="4">
        <f t="shared" ca="1" si="33"/>
        <v>2.9129540781356322E-3</v>
      </c>
      <c r="AC103" s="4">
        <f t="shared" ca="1" si="34"/>
        <v>-2.2988505747126853E-3</v>
      </c>
      <c r="AD103" s="4"/>
      <c r="AE103" s="2" cm="1">
        <f t="array" aca="1" ref="AE103" ca="1">SUMPRODUCT(Q103:AB103,TRANSPOSE(Insights.!$H$4:$H$15))</f>
        <v>3.321491846966449E-3</v>
      </c>
      <c r="AG103" s="10" vm="1634">
        <f ca="1"/>
        <v>45804</v>
      </c>
      <c r="AH103" s="1" vm="1648">
        <f ca="1"/>
        <v>98.983999999999995</v>
      </c>
      <c r="AI103" s="2">
        <f t="shared" ca="1" si="30"/>
        <v>3.1520245696274873E-3</v>
      </c>
      <c r="AJ103" s="1" vm="1649">
        <f ca="1"/>
        <v>99.63</v>
      </c>
      <c r="AK103" s="2">
        <f t="shared" ca="1" si="35"/>
        <v>1.304827863093605E-3</v>
      </c>
      <c r="AL103" s="1" vm="1650">
        <f ca="1"/>
        <v>55.51</v>
      </c>
      <c r="AM103" s="2">
        <f t="shared" ca="1" si="36"/>
        <v>-5.4044316339397769E-3</v>
      </c>
      <c r="AO103" s="9">
        <f t="shared" ca="1" si="37"/>
        <v>96.621720376575936</v>
      </c>
      <c r="AP103">
        <f t="shared" ca="1" si="38"/>
        <v>91.787833827893166</v>
      </c>
      <c r="AQ103">
        <f t="shared" ca="1" si="39"/>
        <v>94.615384615384741</v>
      </c>
      <c r="AR103">
        <f t="shared" ca="1" si="40"/>
        <v>113.1817718421858</v>
      </c>
      <c r="AT103" s="21">
        <f ca="1">MAX($AO$3:AO104)</f>
        <v>106.96839029133979</v>
      </c>
      <c r="AU103" s="2">
        <f t="shared" ca="1" si="41"/>
        <v>-9.6726424381853304E-2</v>
      </c>
    </row>
    <row r="104" spans="1:47" x14ac:dyDescent="0.25">
      <c r="A104" vm="1651">
        <f ca="1"/>
        <v>45805</v>
      </c>
      <c r="B104" vm="1652">
        <f ca="1"/>
        <v>119.68</v>
      </c>
      <c r="C104" vm="1478">
        <f ca="1"/>
        <v>173.6</v>
      </c>
      <c r="D104" vm="1653">
        <f ca="1"/>
        <v>317.39999999999998</v>
      </c>
      <c r="E104" vm="1654">
        <f ca="1"/>
        <v>244.3</v>
      </c>
      <c r="F104" vm="1655">
        <f ca="1"/>
        <v>181.82</v>
      </c>
      <c r="G104" vm="1656">
        <f ca="1"/>
        <v>143.94999999999999</v>
      </c>
      <c r="H104" vm="1657">
        <f ca="1"/>
        <v>404.85</v>
      </c>
      <c r="I104" vm="1658">
        <f ca="1"/>
        <v>148.28</v>
      </c>
      <c r="J104" vm="1659">
        <f ca="1"/>
        <v>452</v>
      </c>
      <c r="K104" vm="1660">
        <f ca="1"/>
        <v>36.200000000000003</v>
      </c>
      <c r="L104" vm="1661">
        <f ca="1"/>
        <v>208.6</v>
      </c>
      <c r="M104" vm="1662">
        <f ca="1"/>
        <v>233.95</v>
      </c>
      <c r="N104" vm="1663">
        <f ca="1"/>
        <v>19.97</v>
      </c>
      <c r="O104" vm="1664">
        <f ca="1"/>
        <v>585.29999999999995</v>
      </c>
      <c r="Q104" s="4">
        <f t="shared" ca="1" si="21"/>
        <v>1.1016524787180959E-2</v>
      </c>
      <c r="R104" s="4">
        <f t="shared" ca="1" si="22"/>
        <v>-5.7715923045436046E-2</v>
      </c>
      <c r="S104" s="4">
        <f t="shared" ca="1" si="23"/>
        <v>-2.7440083362278544E-2</v>
      </c>
      <c r="T104" s="4">
        <f t="shared" ca="1" si="31"/>
        <v>-2.6975991367672592E-4</v>
      </c>
      <c r="U104" s="4">
        <f t="shared" ca="1" si="32"/>
        <v>-5.6415929203540438E-3</v>
      </c>
      <c r="V104" s="4">
        <f t="shared" ca="1" si="24"/>
        <v>1.9385026737967825E-2</v>
      </c>
      <c r="W104" s="4">
        <f t="shared" ca="1" si="25"/>
        <v>-4.9499505004950706E-3</v>
      </c>
      <c r="X104" s="4">
        <f t="shared" ca="1" si="26"/>
        <v>-9.8311605043811534E-3</v>
      </c>
      <c r="Y104" s="4">
        <f t="shared" ca="1" si="27"/>
        <v>2.9930686830499376E-3</v>
      </c>
      <c r="Z104" s="4">
        <f t="shared" ca="1" si="28"/>
        <v>1.5819750719079595E-2</v>
      </c>
      <c r="AA104" s="4">
        <f t="shared" ca="1" si="29"/>
        <v>-2.4700506360380015E-3</v>
      </c>
      <c r="AB104" s="4">
        <f t="shared" ca="1" si="33"/>
        <v>-2.0502306509482371E-2</v>
      </c>
      <c r="AC104" s="4">
        <f t="shared" ca="1" si="34"/>
        <v>1.1520737327190833E-3</v>
      </c>
      <c r="AD104" s="4"/>
      <c r="AE104" s="2" cm="1">
        <f t="array" aca="1" ref="AE104" ca="1">SUMPRODUCT(Q104:AB104,TRANSPOSE(Insights.!$H$4:$H$15))</f>
        <v>-8.6533617288709792E-3</v>
      </c>
      <c r="AG104" s="10" vm="1651">
        <f ca="1"/>
        <v>45805</v>
      </c>
      <c r="AH104" s="1" vm="1665">
        <f ca="1"/>
        <v>99.296000000000006</v>
      </c>
      <c r="AI104" s="2">
        <f t="shared" ca="1" si="30"/>
        <v>-7.4121817595875772E-3</v>
      </c>
      <c r="AJ104" s="1" vm="1666">
        <f ca="1"/>
        <v>99.76</v>
      </c>
      <c r="AK104" s="2">
        <f t="shared" ca="1" si="35"/>
        <v>-4.9117882919006428E-3</v>
      </c>
      <c r="AL104" s="1" vm="1667">
        <f ca="1"/>
        <v>55.21</v>
      </c>
      <c r="AM104" s="2">
        <f t="shared" ca="1" si="36"/>
        <v>-4.3470385799674327E-3</v>
      </c>
      <c r="AO104" s="9">
        <f t="shared" ca="1" si="37"/>
        <v>96.942648633046602</v>
      </c>
      <c r="AP104">
        <f t="shared" ca="1" si="38"/>
        <v>92.077151335311569</v>
      </c>
      <c r="AQ104">
        <f t="shared" ca="1" si="39"/>
        <v>94.738841405508211</v>
      </c>
      <c r="AR104">
        <f t="shared" ca="1" si="40"/>
        <v>112.57008869405654</v>
      </c>
      <c r="AT104" s="21">
        <f ca="1">MAX($AO$3:AO105)</f>
        <v>106.96839029133979</v>
      </c>
      <c r="AU104" s="2">
        <f t="shared" ca="1" si="41"/>
        <v>-9.3726208564857472E-2</v>
      </c>
    </row>
    <row r="105" spans="1:47" x14ac:dyDescent="0.25">
      <c r="A105" vm="1668">
        <f ca="1"/>
        <v>45806</v>
      </c>
      <c r="B105" vm="1669">
        <f ca="1"/>
        <v>122</v>
      </c>
      <c r="C105" vm="1670">
        <f ca="1"/>
        <v>173.8</v>
      </c>
      <c r="D105" vm="1671">
        <f ca="1"/>
        <v>318.35000000000002</v>
      </c>
      <c r="E105" vm="1672">
        <f ca="1"/>
        <v>230.2</v>
      </c>
      <c r="F105" vm="1673">
        <f ca="1"/>
        <v>180.92</v>
      </c>
      <c r="G105" vm="1674">
        <f ca="1"/>
        <v>140</v>
      </c>
      <c r="H105" vm="1675">
        <f ca="1"/>
        <v>403.85</v>
      </c>
      <c r="I105" vm="1676">
        <f ca="1"/>
        <v>148.24</v>
      </c>
      <c r="J105" vm="1677">
        <f ca="1"/>
        <v>449.45</v>
      </c>
      <c r="K105" vm="1678">
        <f ca="1"/>
        <v>34</v>
      </c>
      <c r="L105" vm="1679">
        <f ca="1"/>
        <v>211.9</v>
      </c>
      <c r="M105" vm="1680">
        <f ca="1"/>
        <v>231.65</v>
      </c>
      <c r="N105" vm="1681">
        <f ca="1"/>
        <v>20.190000000000001</v>
      </c>
      <c r="O105" vm="1682">
        <f ca="1"/>
        <v>573.29999999999995</v>
      </c>
      <c r="Q105" s="4">
        <f t="shared" ca="1" si="21"/>
        <v>1.9811788013868181E-3</v>
      </c>
      <c r="R105" s="4">
        <f t="shared" ca="1" si="22"/>
        <v>-8.6880973066894018E-4</v>
      </c>
      <c r="S105" s="4">
        <f t="shared" ca="1" si="23"/>
        <v>-9.6428571428570642E-3</v>
      </c>
      <c r="T105" s="4">
        <f t="shared" ca="1" si="31"/>
        <v>1.1872638963842386E-2</v>
      </c>
      <c r="U105" s="4">
        <f t="shared" ca="1" si="32"/>
        <v>1.1792190455000684E-2</v>
      </c>
      <c r="V105" s="4">
        <f t="shared" ca="1" si="24"/>
        <v>-2.4590163934426257E-2</v>
      </c>
      <c r="W105" s="4">
        <f t="shared" ca="1" si="25"/>
        <v>-6.3011275701967406E-3</v>
      </c>
      <c r="X105" s="4">
        <f t="shared" ca="1" si="26"/>
        <v>6.906971724584432E-3</v>
      </c>
      <c r="Y105" s="4">
        <f t="shared" ca="1" si="27"/>
        <v>1.3035966703313973E-2</v>
      </c>
      <c r="Z105" s="4">
        <f t="shared" ca="1" si="28"/>
        <v>-9.438414346391033E-4</v>
      </c>
      <c r="AA105" s="4">
        <f t="shared" ca="1" si="29"/>
        <v>6.5618422681688049E-3</v>
      </c>
      <c r="AB105" s="4">
        <f t="shared" ca="1" si="33"/>
        <v>-3.3141461712890008E-3</v>
      </c>
      <c r="AC105" s="4">
        <f t="shared" ca="1" si="34"/>
        <v>-1.9562715765247485E-2</v>
      </c>
      <c r="AD105" s="4"/>
      <c r="AE105" s="2" cm="1">
        <f t="array" aca="1" ref="AE105" ca="1">SUMPRODUCT(Q105:AB105,TRANSPOSE(Insights.!$H$4:$H$15))</f>
        <v>1.3303088648685727E-3</v>
      </c>
      <c r="AG105" s="10" vm="1668">
        <f ca="1"/>
        <v>45806</v>
      </c>
      <c r="AH105" s="1" vm="1683">
        <f ca="1"/>
        <v>98.56</v>
      </c>
      <c r="AI105" s="2">
        <f t="shared" ca="1" si="30"/>
        <v>-5.3368506493506329E-3</v>
      </c>
      <c r="AJ105" s="1" vm="1684">
        <f ca="1"/>
        <v>99.27</v>
      </c>
      <c r="AK105" s="2">
        <f t="shared" ca="1" si="35"/>
        <v>5.0367684093943765E-5</v>
      </c>
      <c r="AL105" s="1" vm="1685">
        <f ca="1"/>
        <v>54.97</v>
      </c>
      <c r="AM105" s="2">
        <f t="shared" ca="1" si="36"/>
        <v>-3.8202655994178381E-3</v>
      </c>
      <c r="AO105" s="9">
        <f t="shared" ca="1" si="37"/>
        <v>96.103768827470006</v>
      </c>
      <c r="AP105">
        <f t="shared" ca="1" si="38"/>
        <v>91.394658753709194</v>
      </c>
      <c r="AQ105">
        <f t="shared" ca="1" si="39"/>
        <v>94.2735042735044</v>
      </c>
      <c r="AR105">
        <f t="shared" ca="1" si="40"/>
        <v>112.08074217555311</v>
      </c>
      <c r="AT105" s="21">
        <f ca="1">MAX($AO$3:AO106)</f>
        <v>106.96839029133979</v>
      </c>
      <c r="AU105" s="2">
        <f t="shared" ca="1" si="41"/>
        <v>-0.1015685235075412</v>
      </c>
    </row>
    <row r="106" spans="1:47" x14ac:dyDescent="0.25">
      <c r="A106" vm="1686">
        <f ca="1"/>
        <v>45807</v>
      </c>
      <c r="B106" vm="1554">
        <f ca="1"/>
        <v>119</v>
      </c>
      <c r="C106" vm="737">
        <f ca="1"/>
        <v>170.4</v>
      </c>
      <c r="D106" vm="1687">
        <f ca="1"/>
        <v>322.5</v>
      </c>
      <c r="E106" vm="1010">
        <f ca="1"/>
        <v>230</v>
      </c>
      <c r="F106" vm="1688">
        <f ca="1"/>
        <v>179.78</v>
      </c>
      <c r="G106" vm="1689">
        <f ca="1"/>
        <v>138.65</v>
      </c>
      <c r="H106" vm="1690">
        <f ca="1"/>
        <v>406.5</v>
      </c>
      <c r="I106" vm="1691">
        <f ca="1"/>
        <v>150</v>
      </c>
      <c r="J106" vm="1692">
        <f ca="1"/>
        <v>454.75</v>
      </c>
      <c r="K106" vm="427">
        <f ca="1"/>
        <v>31.8</v>
      </c>
      <c r="L106" vm="1693">
        <f ca="1"/>
        <v>211.7</v>
      </c>
      <c r="M106" vm="1084">
        <f ca="1"/>
        <v>233.25</v>
      </c>
      <c r="N106" vm="1694">
        <f ca="1"/>
        <v>20.23</v>
      </c>
      <c r="O106" vm="1695">
        <f ca="1"/>
        <v>571.4</v>
      </c>
      <c r="Q106" s="4">
        <f t="shared" ca="1" si="21"/>
        <v>-1.6559565002471577E-2</v>
      </c>
      <c r="R106" s="4">
        <f t="shared" ca="1" si="22"/>
        <v>-3.043478260869481E-3</v>
      </c>
      <c r="S106" s="4">
        <f t="shared" ca="1" si="23"/>
        <v>5.6256761630003371E-2</v>
      </c>
      <c r="T106" s="4">
        <f t="shared" ca="1" si="31"/>
        <v>-2.2266666666666657E-2</v>
      </c>
      <c r="U106" s="4">
        <f t="shared" ca="1" si="32"/>
        <v>-1.836173721825185E-2</v>
      </c>
      <c r="V106" s="4">
        <f t="shared" ca="1" si="24"/>
        <v>9.9159663865546754E-3</v>
      </c>
      <c r="W106" s="4">
        <f t="shared" ca="1" si="25"/>
        <v>7.2310601846701239E-3</v>
      </c>
      <c r="X106" s="4">
        <f t="shared" ca="1" si="26"/>
        <v>-9.0032154340835557E-3</v>
      </c>
      <c r="Y106" s="4">
        <f t="shared" ca="1" si="27"/>
        <v>-1.4728682170542684E-2</v>
      </c>
      <c r="Z106" s="4">
        <f t="shared" ca="1" si="28"/>
        <v>2.1020311761927424E-2</v>
      </c>
      <c r="AA106" s="4">
        <f t="shared" ca="1" si="29"/>
        <v>-7.5030750307503169E-3</v>
      </c>
      <c r="AB106" s="4">
        <f t="shared" ca="1" si="33"/>
        <v>1.3650682534126934E-2</v>
      </c>
      <c r="AC106" s="4">
        <f t="shared" ca="1" si="34"/>
        <v>-1.1737089201878659E-3</v>
      </c>
      <c r="AD106" s="4"/>
      <c r="AE106" s="2" cm="1">
        <f t="array" aca="1" ref="AE106" ca="1">SUMPRODUCT(Q106:AB106,TRANSPOSE(Insights.!$H$4:$H$15))</f>
        <v>6.2815706853123175E-4</v>
      </c>
      <c r="AG106" s="10" vm="1686">
        <f ca="1"/>
        <v>45807</v>
      </c>
      <c r="AH106" s="1" vm="1696">
        <f ca="1"/>
        <v>98.034000000000006</v>
      </c>
      <c r="AI106" s="2">
        <f t="shared" ca="1" si="30"/>
        <v>1.6116857416812458E-3</v>
      </c>
      <c r="AJ106" s="1" vm="1697">
        <f ca="1"/>
        <v>99.275000000000006</v>
      </c>
      <c r="AK106" s="2">
        <f t="shared" ca="1" si="35"/>
        <v>-4.784688995215447E-3</v>
      </c>
      <c r="AL106" s="1" vm="1698">
        <f ca="1"/>
        <v>54.76</v>
      </c>
      <c r="AM106" s="2">
        <f t="shared" ca="1" si="36"/>
        <v>3.4696859021183801E-3</v>
      </c>
      <c r="AO106" s="9">
        <f t="shared" ca="1" si="37"/>
        <v>96.231616523088476</v>
      </c>
      <c r="AP106">
        <f t="shared" ca="1" si="38"/>
        <v>90.906899109792278</v>
      </c>
      <c r="AQ106">
        <f t="shared" ca="1" si="39"/>
        <v>94.278252611586083</v>
      </c>
      <c r="AR106">
        <f t="shared" ca="1" si="40"/>
        <v>111.65256397186263</v>
      </c>
      <c r="AT106" s="21">
        <f ca="1">MAX($AO$3:AO107)</f>
        <v>106.96839029133979</v>
      </c>
      <c r="AU106" s="2">
        <f t="shared" ca="1" si="41"/>
        <v>-0.1003733321498862</v>
      </c>
    </row>
    <row r="107" spans="1:47" x14ac:dyDescent="0.25">
      <c r="A107" vm="1699">
        <f ca="1"/>
        <v>45810</v>
      </c>
      <c r="B107" vm="1700">
        <f ca="1"/>
        <v>120.18</v>
      </c>
      <c r="C107" vm="1701">
        <f ca="1"/>
        <v>170.2</v>
      </c>
      <c r="D107" vm="1702">
        <f ca="1"/>
        <v>317.75</v>
      </c>
      <c r="E107" vm="1703">
        <f ca="1"/>
        <v>229.3</v>
      </c>
      <c r="F107" vm="1704">
        <f ca="1"/>
        <v>181.08</v>
      </c>
      <c r="G107" vm="1705">
        <f ca="1"/>
        <v>146.44999999999999</v>
      </c>
      <c r="H107" vm="1706">
        <f ca="1"/>
        <v>403.45</v>
      </c>
      <c r="I107" vm="1707">
        <f ca="1"/>
        <v>146.66</v>
      </c>
      <c r="J107" vm="1708">
        <f ca="1"/>
        <v>446.4</v>
      </c>
      <c r="K107" vm="1709">
        <f ca="1"/>
        <v>31</v>
      </c>
      <c r="L107" vm="1710">
        <f ca="1"/>
        <v>216.15</v>
      </c>
      <c r="M107" vm="1711">
        <f ca="1"/>
        <v>231.15</v>
      </c>
      <c r="N107" vm="1712">
        <f ca="1"/>
        <v>19.895</v>
      </c>
      <c r="O107" vm="1713">
        <f ca="1"/>
        <v>579.20000000000005</v>
      </c>
      <c r="Q107" s="4">
        <f t="shared" ca="1" si="21"/>
        <v>2.5383262126162265E-2</v>
      </c>
      <c r="R107" s="4">
        <f t="shared" ca="1" si="22"/>
        <v>9.1583078935890683E-3</v>
      </c>
      <c r="S107" s="4">
        <f t="shared" ca="1" si="23"/>
        <v>5.3943325367019401E-2</v>
      </c>
      <c r="T107" s="4">
        <f t="shared" ca="1" si="31"/>
        <v>1.3636983499254463E-4</v>
      </c>
      <c r="U107" s="4">
        <f t="shared" ca="1" si="32"/>
        <v>4.4802867383513245E-3</v>
      </c>
      <c r="V107" s="4">
        <f t="shared" ca="1" si="24"/>
        <v>3.3616242303211807E-2</v>
      </c>
      <c r="W107" s="4">
        <f t="shared" ca="1" si="25"/>
        <v>-2.9821073558649047E-3</v>
      </c>
      <c r="X107" s="4">
        <f t="shared" ca="1" si="26"/>
        <v>2.1630975556996557E-3</v>
      </c>
      <c r="Y107" s="4">
        <f t="shared" ca="1" si="27"/>
        <v>1.2903225806451646E-2</v>
      </c>
      <c r="Z107" s="4">
        <f t="shared" ca="1" si="28"/>
        <v>4.1637751561415692E-2</v>
      </c>
      <c r="AA107" s="4">
        <f t="shared" ca="1" si="29"/>
        <v>9.2948320733672318E-3</v>
      </c>
      <c r="AB107" s="4">
        <f t="shared" ca="1" si="33"/>
        <v>1.950966850828717E-2</v>
      </c>
      <c r="AC107" s="4">
        <f t="shared" ca="1" si="34"/>
        <v>2.2326674500587673E-2</v>
      </c>
      <c r="AD107" s="4"/>
      <c r="AE107" s="2" cm="1">
        <f t="array" aca="1" ref="AE107" ca="1">SUMPRODUCT(Q107:AB107,TRANSPOSE(Insights.!$H$4:$H$15))</f>
        <v>1.5147630876871905E-2</v>
      </c>
      <c r="AG107" s="10" vm="1699">
        <f ca="1"/>
        <v>45810</v>
      </c>
      <c r="AH107" s="1" vm="1714">
        <f ca="1"/>
        <v>98.191999999999993</v>
      </c>
      <c r="AI107" s="2">
        <f t="shared" ca="1" si="30"/>
        <v>1.5092879256966008E-2</v>
      </c>
      <c r="AJ107" s="1" vm="1715">
        <f ca="1"/>
        <v>98.8</v>
      </c>
      <c r="AK107" s="2">
        <f t="shared" ca="1" si="35"/>
        <v>1.2753036437247012E-2</v>
      </c>
      <c r="AL107" s="1" vm="1716">
        <f ca="1"/>
        <v>54.95</v>
      </c>
      <c r="AM107" s="2">
        <f t="shared" ca="1" si="36"/>
        <v>3.2757051865333064E-3</v>
      </c>
      <c r="AO107" s="9">
        <f t="shared" ca="1" si="37"/>
        <v>96.292065093223627</v>
      </c>
      <c r="AP107">
        <f t="shared" ca="1" si="38"/>
        <v>91.053412462907986</v>
      </c>
      <c r="AQ107">
        <f t="shared" ca="1" si="39"/>
        <v>93.827160493827279</v>
      </c>
      <c r="AR107">
        <f t="shared" ca="1" si="40"/>
        <v>112.03996329901118</v>
      </c>
      <c r="AT107" s="21">
        <f ca="1">MAX($AO$3:AO108)</f>
        <v>106.96839029133979</v>
      </c>
      <c r="AU107" s="2">
        <f t="shared" ca="1" si="41"/>
        <v>-9.9808225299437114E-2</v>
      </c>
    </row>
    <row r="108" spans="1:47" x14ac:dyDescent="0.25">
      <c r="A108" vm="1717">
        <f ca="1"/>
        <v>45811</v>
      </c>
      <c r="B108" vm="1718">
        <f ca="1"/>
        <v>124.22</v>
      </c>
      <c r="C108" vm="670">
        <f ca="1"/>
        <v>174</v>
      </c>
      <c r="D108" vm="1719">
        <f ca="1"/>
        <v>321.85000000000002</v>
      </c>
      <c r="E108" vm="1720">
        <f ca="1"/>
        <v>231.4</v>
      </c>
      <c r="F108" vm="1721">
        <f ca="1"/>
        <v>180.54</v>
      </c>
      <c r="G108" vm="1722">
        <f ca="1"/>
        <v>154.35</v>
      </c>
      <c r="H108" vm="1723">
        <f ca="1"/>
        <v>407.2</v>
      </c>
      <c r="I108" vm="1724">
        <f ca="1"/>
        <v>146.68</v>
      </c>
      <c r="J108" vm="1725">
        <f ca="1"/>
        <v>448.4</v>
      </c>
      <c r="K108" vm="392">
        <f ca="1"/>
        <v>32.4</v>
      </c>
      <c r="L108" vm="1201">
        <f ca="1"/>
        <v>225.15</v>
      </c>
      <c r="M108" vm="1680">
        <f ca="1"/>
        <v>231.65</v>
      </c>
      <c r="N108" vm="764">
        <f ca="1"/>
        <v>20.399999999999999</v>
      </c>
      <c r="O108" vm="1726">
        <f ca="1"/>
        <v>590.5</v>
      </c>
      <c r="Q108" s="4">
        <f t="shared" ca="1" si="21"/>
        <v>1.8137254901960942E-2</v>
      </c>
      <c r="R108" s="4">
        <f t="shared" ca="1" si="22"/>
        <v>-3.6732929991356578E-3</v>
      </c>
      <c r="S108" s="4">
        <f t="shared" ca="1" si="23"/>
        <v>1.0042112082928378E-2</v>
      </c>
      <c r="T108" s="4">
        <f t="shared" ca="1" si="31"/>
        <v>8.1810744477772701E-4</v>
      </c>
      <c r="U108" s="4">
        <f t="shared" ca="1" si="32"/>
        <v>-2.67618198037467E-3</v>
      </c>
      <c r="V108" s="4">
        <f t="shared" ca="1" si="24"/>
        <v>0</v>
      </c>
      <c r="W108" s="4">
        <f t="shared" ca="1" si="25"/>
        <v>6.4251689376315646E-3</v>
      </c>
      <c r="X108" s="4">
        <f t="shared" ca="1" si="26"/>
        <v>1.2950571983594283E-3</v>
      </c>
      <c r="Y108" s="4">
        <f t="shared" ca="1" si="27"/>
        <v>3.7284449277612541E-3</v>
      </c>
      <c r="Z108" s="4">
        <f t="shared" ca="1" si="28"/>
        <v>1.0215411947590347E-2</v>
      </c>
      <c r="AA108" s="4">
        <f t="shared" ca="1" si="29"/>
        <v>-1.5962671905697112E-3</v>
      </c>
      <c r="AB108" s="4">
        <f t="shared" ca="1" si="33"/>
        <v>3.7595258255715525E-2</v>
      </c>
      <c r="AC108" s="4">
        <f t="shared" ca="1" si="34"/>
        <v>2.1839080459770122E-2</v>
      </c>
      <c r="AD108" s="4"/>
      <c r="AE108" s="2" cm="1">
        <f t="array" aca="1" ref="AE108" ca="1">SUMPRODUCT(Q108:AB108,TRANSPOSE(Insights.!$H$4:$H$15))</f>
        <v>5.6427247373059316E-3</v>
      </c>
      <c r="AG108" s="10" vm="1717">
        <f ca="1"/>
        <v>45811</v>
      </c>
      <c r="AH108" s="1" vm="1727">
        <f ca="1"/>
        <v>99.674000000000007</v>
      </c>
      <c r="AI108" s="2">
        <f t="shared" ca="1" si="30"/>
        <v>-3.6519052109879047E-3</v>
      </c>
      <c r="AJ108" s="1" vm="1728">
        <f ca="1"/>
        <v>100.06</v>
      </c>
      <c r="AK108" s="2">
        <f t="shared" ca="1" si="35"/>
        <v>0</v>
      </c>
      <c r="AL108" s="1" vm="1729">
        <f ca="1"/>
        <v>55.13</v>
      </c>
      <c r="AM108" s="2">
        <f t="shared" ca="1" si="36"/>
        <v>3.9905677489568969E-3</v>
      </c>
      <c r="AO108" s="9">
        <f t="shared" ca="1" si="37"/>
        <v>97.750661751627504</v>
      </c>
      <c r="AP108">
        <f t="shared" ca="1" si="38"/>
        <v>92.427670623145374</v>
      </c>
      <c r="AQ108">
        <f t="shared" ca="1" si="39"/>
        <v>95.023741690408485</v>
      </c>
      <c r="AR108">
        <f t="shared" ca="1" si="40"/>
        <v>112.40697318788875</v>
      </c>
      <c r="AT108" s="21">
        <f ca="1">MAX($AO$3:AO109)</f>
        <v>106.96839029133979</v>
      </c>
      <c r="AU108" s="2">
        <f t="shared" ca="1" si="41"/>
        <v>-8.6172452577876646E-2</v>
      </c>
    </row>
    <row r="109" spans="1:47" x14ac:dyDescent="0.25">
      <c r="A109" vm="1730">
        <f ca="1"/>
        <v>45812</v>
      </c>
      <c r="B109" vm="1718">
        <f ca="1"/>
        <v>124.22</v>
      </c>
      <c r="C109" vm="1731">
        <f ca="1"/>
        <v>177.8</v>
      </c>
      <c r="D109" vm="302">
        <f ca="1"/>
        <v>323.05</v>
      </c>
      <c r="E109" vm="1732">
        <f ca="1"/>
        <v>230.55</v>
      </c>
      <c r="F109" vm="1733">
        <f ca="1"/>
        <v>181.7</v>
      </c>
      <c r="G109" vm="1734">
        <f ca="1"/>
        <v>155.9</v>
      </c>
      <c r="H109" vm="1735">
        <f ca="1"/>
        <v>406.55</v>
      </c>
      <c r="I109" vm="1353">
        <f ca="1"/>
        <v>146.80000000000001</v>
      </c>
      <c r="J109" vm="1736">
        <f ca="1"/>
        <v>447.2</v>
      </c>
      <c r="K109" vm="1737">
        <f ca="1"/>
        <v>34.4</v>
      </c>
      <c r="L109" vm="1738">
        <f ca="1"/>
        <v>227.45</v>
      </c>
      <c r="M109" vm="1739">
        <f ca="1"/>
        <v>231.95</v>
      </c>
      <c r="N109" vm="1740">
        <f ca="1"/>
        <v>20.77</v>
      </c>
      <c r="O109" vm="1741">
        <f ca="1"/>
        <v>612.70000000000005</v>
      </c>
      <c r="Q109" s="4">
        <f t="shared" ca="1" si="21"/>
        <v>0</v>
      </c>
      <c r="R109" s="4">
        <f t="shared" ca="1" si="22"/>
        <v>1.1494252873563093E-2</v>
      </c>
      <c r="S109" s="4">
        <f t="shared" ca="1" si="23"/>
        <v>-3.2392559332905746E-2</v>
      </c>
      <c r="T109" s="4">
        <f t="shared" ca="1" si="31"/>
        <v>-2.9836512261580572E-2</v>
      </c>
      <c r="U109" s="4">
        <f t="shared" ca="1" si="32"/>
        <v>7.9382826475848933E-3</v>
      </c>
      <c r="V109" s="4">
        <f t="shared" ca="1" si="24"/>
        <v>-1.5456448236998876E-2</v>
      </c>
      <c r="W109" s="4">
        <f t="shared" ca="1" si="25"/>
        <v>1.155751238304914E-2</v>
      </c>
      <c r="X109" s="4">
        <f t="shared" ca="1" si="26"/>
        <v>-1.0347057555507577E-2</v>
      </c>
      <c r="Y109" s="4">
        <f t="shared" ca="1" si="27"/>
        <v>-6.8100913171335042E-3</v>
      </c>
      <c r="Z109" s="4">
        <f t="shared" ca="1" si="28"/>
        <v>1.4728511760826679E-2</v>
      </c>
      <c r="AA109" s="4">
        <f t="shared" ca="1" si="29"/>
        <v>8.8549993850695063E-3</v>
      </c>
      <c r="AB109" s="4">
        <f t="shared" ca="1" si="33"/>
        <v>2.0891137587726316E-2</v>
      </c>
      <c r="AC109" s="4">
        <f t="shared" ca="1" si="34"/>
        <v>-4.4994375703037992E-3</v>
      </c>
      <c r="AD109" s="4"/>
      <c r="AE109" s="2" cm="1">
        <f t="array" aca="1" ref="AE109" ca="1">SUMPRODUCT(Q109:AB109,TRANSPOSE(Insights.!$H$4:$H$15))</f>
        <v>2.6728139625049039E-4</v>
      </c>
      <c r="AG109" s="10" vm="1730">
        <f ca="1"/>
        <v>45812</v>
      </c>
      <c r="AH109" s="1" vm="1742">
        <f ca="1"/>
        <v>99.31</v>
      </c>
      <c r="AI109" s="2">
        <f t="shared" ca="1" si="30"/>
        <v>-1.9937569227671537E-3</v>
      </c>
      <c r="AJ109" s="1" vm="1728">
        <f ca="1"/>
        <v>100.06</v>
      </c>
      <c r="AK109" s="2">
        <f t="shared" ca="1" si="35"/>
        <v>8.4949030581649154E-4</v>
      </c>
      <c r="AL109" s="1" vm="1743">
        <f ca="1"/>
        <v>55.35</v>
      </c>
      <c r="AM109" s="2">
        <f t="shared" ca="1" si="36"/>
        <v>-5.420054200542257E-4</v>
      </c>
      <c r="AO109" s="9">
        <f t="shared" ca="1" si="37"/>
        <v>98.302241828781433</v>
      </c>
      <c r="AP109">
        <f t="shared" ca="1" si="38"/>
        <v>92.090133531157235</v>
      </c>
      <c r="AQ109">
        <f t="shared" ca="1" si="39"/>
        <v>95.023741690408485</v>
      </c>
      <c r="AR109">
        <f t="shared" ca="1" si="40"/>
        <v>112.8555408298502</v>
      </c>
      <c r="AT109" s="21">
        <f ca="1">MAX($AO$3:AO110)</f>
        <v>106.96839029133979</v>
      </c>
      <c r="AU109" s="2">
        <f t="shared" ca="1" si="41"/>
        <v>-8.1015975270406271E-2</v>
      </c>
    </row>
    <row r="110" spans="1:47" x14ac:dyDescent="0.25">
      <c r="A110" vm="1744">
        <f ca="1"/>
        <v>45813</v>
      </c>
      <c r="B110" vm="1745">
        <f ca="1"/>
        <v>122.3</v>
      </c>
      <c r="C110" vm="1746">
        <f ca="1"/>
        <v>177</v>
      </c>
      <c r="D110" vm="1747">
        <f ca="1"/>
        <v>320.85000000000002</v>
      </c>
      <c r="E110" vm="1748">
        <f ca="1"/>
        <v>233.2</v>
      </c>
      <c r="F110" vm="1749">
        <f ca="1"/>
        <v>183.8</v>
      </c>
      <c r="G110" vm="1750">
        <f ca="1"/>
        <v>150.85</v>
      </c>
      <c r="H110" vm="1751">
        <f ca="1"/>
        <v>410.15</v>
      </c>
      <c r="I110" vm="1752">
        <f ca="1"/>
        <v>142.41999999999999</v>
      </c>
      <c r="J110" vm="1753">
        <f ca="1"/>
        <v>450.75</v>
      </c>
      <c r="K110" vm="511">
        <f ca="1"/>
        <v>40</v>
      </c>
      <c r="L110" vm="369">
        <f ca="1"/>
        <v>230.8</v>
      </c>
      <c r="M110" vm="1754">
        <f ca="1"/>
        <v>229.55</v>
      </c>
      <c r="N110" vm="1740">
        <f ca="1"/>
        <v>20.77</v>
      </c>
      <c r="O110" vm="1755">
        <f ca="1"/>
        <v>625.5</v>
      </c>
      <c r="Q110" s="4">
        <f t="shared" ca="1" si="21"/>
        <v>-6.7404910929225181E-3</v>
      </c>
      <c r="R110" s="4">
        <f t="shared" ca="1" si="22"/>
        <v>2.487135506003435E-2</v>
      </c>
      <c r="S110" s="4">
        <f t="shared" ca="1" si="23"/>
        <v>-7.9549221080542631E-3</v>
      </c>
      <c r="T110" s="4">
        <f t="shared" ca="1" si="31"/>
        <v>1.0110939474793135E-2</v>
      </c>
      <c r="U110" s="4">
        <f t="shared" ca="1" si="32"/>
        <v>1.6084303937881295E-2</v>
      </c>
      <c r="V110" s="4">
        <f t="shared" ca="1" si="24"/>
        <v>1.7497955846279556E-2</v>
      </c>
      <c r="W110" s="4">
        <f t="shared" ca="1" si="25"/>
        <v>1.80631120783461E-2</v>
      </c>
      <c r="X110" s="4">
        <f t="shared" ca="1" si="26"/>
        <v>1.6118492703114828E-2</v>
      </c>
      <c r="Y110" s="4">
        <f t="shared" ca="1" si="27"/>
        <v>1.1220196353436185E-2</v>
      </c>
      <c r="Z110" s="4">
        <f t="shared" ca="1" si="28"/>
        <v>-4.6793760831889131E-2</v>
      </c>
      <c r="AA110" s="4">
        <f t="shared" ca="1" si="29"/>
        <v>6.3391442155309452E-3</v>
      </c>
      <c r="AB110" s="4">
        <f t="shared" ca="1" si="33"/>
        <v>9.5923261390895576E-4</v>
      </c>
      <c r="AC110" s="4">
        <f t="shared" ca="1" si="34"/>
        <v>1.6949152542372836E-2</v>
      </c>
      <c r="AD110" s="4"/>
      <c r="AE110" s="2" cm="1">
        <f t="array" aca="1" ref="AE110" ca="1">SUMPRODUCT(Q110:AB110,TRANSPOSE(Insights.!$H$4:$H$15))</f>
        <v>4.8622629457583007E-3</v>
      </c>
      <c r="AG110" s="10" vm="1744">
        <f ca="1"/>
        <v>45813</v>
      </c>
      <c r="AH110" s="1" vm="1756">
        <f ca="1"/>
        <v>99.111999999999995</v>
      </c>
      <c r="AI110" s="2">
        <f t="shared" ca="1" si="30"/>
        <v>7.2846880297039451E-3</v>
      </c>
      <c r="AJ110" s="1" vm="1757">
        <f ca="1"/>
        <v>100.145</v>
      </c>
      <c r="AK110" s="2">
        <f t="shared" ca="1" si="35"/>
        <v>3.8444255829048757E-3</v>
      </c>
      <c r="AL110" s="1" vm="535">
        <f ca="1"/>
        <v>55.32</v>
      </c>
      <c r="AM110" s="2">
        <f t="shared" ca="1" si="36"/>
        <v>3.6153289949385492E-3</v>
      </c>
      <c r="AO110" s="9">
        <f t="shared" ca="1" si="37"/>
        <v>98.328516189231991</v>
      </c>
      <c r="AP110">
        <f t="shared" ca="1" si="38"/>
        <v>91.906528189910944</v>
      </c>
      <c r="AQ110">
        <f t="shared" ca="1" si="39"/>
        <v>95.104463437796895</v>
      </c>
      <c r="AR110">
        <f t="shared" ca="1" si="40"/>
        <v>112.79437251503727</v>
      </c>
      <c r="AT110" s="21">
        <f ca="1">MAX($AO$3:AO111)</f>
        <v>106.96839029133979</v>
      </c>
      <c r="AU110" s="2">
        <f t="shared" ca="1" si="41"/>
        <v>-8.077034793714466E-2</v>
      </c>
    </row>
    <row r="111" spans="1:47" x14ac:dyDescent="0.25">
      <c r="A111" vm="1758">
        <f ca="1"/>
        <v>45814</v>
      </c>
      <c r="B111" vm="1759">
        <f ca="1"/>
        <v>124.44</v>
      </c>
      <c r="C111" vm="239">
        <f ca="1"/>
        <v>180</v>
      </c>
      <c r="D111" vm="1001">
        <f ca="1"/>
        <v>324.45</v>
      </c>
      <c r="E111" vm="1760">
        <f ca="1"/>
        <v>239</v>
      </c>
      <c r="F111" vm="1761">
        <f ca="1"/>
        <v>187.12</v>
      </c>
      <c r="G111" vm="1762">
        <f ca="1"/>
        <v>149.65</v>
      </c>
      <c r="H111" vm="1763">
        <f ca="1"/>
        <v>412.75</v>
      </c>
      <c r="I111" vm="1764">
        <f ca="1"/>
        <v>143.86000000000001</v>
      </c>
      <c r="J111" vm="1765">
        <f ca="1"/>
        <v>458</v>
      </c>
      <c r="K111" vm="1766">
        <f ca="1"/>
        <v>42.2</v>
      </c>
      <c r="L111" vm="190">
        <f ca="1"/>
        <v>220</v>
      </c>
      <c r="M111" vm="1084">
        <f ca="1"/>
        <v>233.25</v>
      </c>
      <c r="N111" vm="1767">
        <f ca="1"/>
        <v>20.63</v>
      </c>
      <c r="O111" vm="1768">
        <f ca="1"/>
        <v>626.1</v>
      </c>
      <c r="Q111" s="4">
        <f t="shared" ca="1" si="21"/>
        <v>9.2098885118758744E-3</v>
      </c>
      <c r="R111" s="4">
        <f t="shared" ca="1" si="22"/>
        <v>1.6736401673640433E-3</v>
      </c>
      <c r="S111" s="4">
        <f t="shared" ca="1" si="23"/>
        <v>1.1025726695623073E-2</v>
      </c>
      <c r="T111" s="4">
        <f t="shared" ca="1" si="31"/>
        <v>-1.2095092450994049E-2</v>
      </c>
      <c r="U111" s="4">
        <f t="shared" ca="1" si="32"/>
        <v>-1.9213973799126705E-2</v>
      </c>
      <c r="V111" s="4">
        <f t="shared" ca="1" si="24"/>
        <v>3.3751205400192053E-3</v>
      </c>
      <c r="W111" s="4">
        <f t="shared" ca="1" si="25"/>
        <v>1.5391192817443278E-2</v>
      </c>
      <c r="X111" s="4">
        <f t="shared" ca="1" si="26"/>
        <v>-3.0010718113611112E-3</v>
      </c>
      <c r="Y111" s="4">
        <f t="shared" ca="1" si="27"/>
        <v>-1.1249807366312203E-2</v>
      </c>
      <c r="Z111" s="4">
        <f t="shared" ca="1" si="28"/>
        <v>-2.750000000000008E-2</v>
      </c>
      <c r="AA111" s="4">
        <f t="shared" ca="1" si="29"/>
        <v>-1.8170805572380599E-3</v>
      </c>
      <c r="AB111" s="4">
        <f t="shared" ca="1" si="33"/>
        <v>-1.6451046158760696E-2</v>
      </c>
      <c r="AC111" s="4">
        <f t="shared" ca="1" si="34"/>
        <v>1.4444444444444482E-2</v>
      </c>
      <c r="AD111" s="4"/>
      <c r="AE111" s="2" cm="1">
        <f t="array" aca="1" ref="AE111" ca="1">SUMPRODUCT(Q111:AB111,TRANSPOSE(Insights.!$H$4:$H$15))</f>
        <v>-4.6649543895220394E-3</v>
      </c>
      <c r="AG111" s="10" vm="1758">
        <f ca="1"/>
        <v>45814</v>
      </c>
      <c r="AH111" s="1" vm="1769">
        <f ca="1"/>
        <v>99.834000000000003</v>
      </c>
      <c r="AI111" s="2">
        <f t="shared" ca="1" si="30"/>
        <v>1.2420618226254287E-3</v>
      </c>
      <c r="AJ111" s="1" vm="1550">
        <f ca="1"/>
        <v>100.53</v>
      </c>
      <c r="AK111" s="2">
        <f t="shared" ca="1" si="35"/>
        <v>-6.9630955933563943E-4</v>
      </c>
      <c r="AL111" s="1" vm="1770">
        <f ca="1"/>
        <v>55.52</v>
      </c>
      <c r="AM111" s="2">
        <f t="shared" ca="1" si="36"/>
        <v>5.4034582132556075E-4</v>
      </c>
      <c r="AO111" s="9">
        <f t="shared" ca="1" si="37"/>
        <v>98.806615290010285</v>
      </c>
      <c r="AP111">
        <f t="shared" ca="1" si="38"/>
        <v>92.576038575667638</v>
      </c>
      <c r="AQ111">
        <f t="shared" ca="1" si="39"/>
        <v>95.470085470085607</v>
      </c>
      <c r="AR111">
        <f t="shared" ca="1" si="40"/>
        <v>113.20216128045678</v>
      </c>
      <c r="AT111" s="21">
        <f ca="1">MAX($AO$3:AO112)</f>
        <v>106.96839029133979</v>
      </c>
      <c r="AU111" s="2">
        <f t="shared" ca="1" si="41"/>
        <v>-7.6300811661277113E-2</v>
      </c>
    </row>
    <row r="112" spans="1:47" x14ac:dyDescent="0.25">
      <c r="A112" vm="1771">
        <f ca="1"/>
        <v>45817</v>
      </c>
      <c r="B112" vm="1772">
        <f ca="1"/>
        <v>124.86</v>
      </c>
      <c r="C112" vm="1773">
        <f ca="1"/>
        <v>182.6</v>
      </c>
      <c r="D112" vm="1774">
        <f ca="1"/>
        <v>320.8</v>
      </c>
      <c r="E112" vm="1775">
        <f ca="1"/>
        <v>239.4</v>
      </c>
      <c r="F112" vm="1776">
        <f ca="1"/>
        <v>190</v>
      </c>
      <c r="G112" vm="1777">
        <f ca="1"/>
        <v>151.30000000000001</v>
      </c>
      <c r="H112" vm="1778">
        <f ca="1"/>
        <v>412</v>
      </c>
      <c r="I112" vm="1779">
        <f ca="1"/>
        <v>142.12</v>
      </c>
      <c r="J112" vm="1780">
        <f ca="1"/>
        <v>449.2</v>
      </c>
      <c r="K112" vm="1781">
        <f ca="1"/>
        <v>47.4</v>
      </c>
      <c r="L112" vm="1782">
        <f ca="1"/>
        <v>213.95</v>
      </c>
      <c r="M112" vm="1783">
        <f ca="1"/>
        <v>232.55</v>
      </c>
      <c r="N112" vm="1784">
        <f ca="1"/>
        <v>20.82</v>
      </c>
      <c r="O112" vm="1785">
        <f ca="1"/>
        <v>615.79999999999995</v>
      </c>
      <c r="Q112" s="4">
        <f t="shared" ca="1" si="21"/>
        <v>1.2007684918347694E-2</v>
      </c>
      <c r="R112" s="4">
        <f t="shared" ca="1" si="22"/>
        <v>-1.0025062656641603E-2</v>
      </c>
      <c r="S112" s="4">
        <f t="shared" ca="1" si="23"/>
        <v>-6.5102445472571158E-2</v>
      </c>
      <c r="T112" s="4">
        <f t="shared" ca="1" si="31"/>
        <v>1.1258091753447719E-3</v>
      </c>
      <c r="U112" s="4">
        <f t="shared" ca="1" si="32"/>
        <v>1.1130899376676773E-4</v>
      </c>
      <c r="V112" s="4">
        <f t="shared" ca="1" si="24"/>
        <v>9.1302258529553093E-3</v>
      </c>
      <c r="W112" s="4">
        <f t="shared" ca="1" si="25"/>
        <v>0</v>
      </c>
      <c r="X112" s="4">
        <f t="shared" ca="1" si="26"/>
        <v>9.890346162115593E-3</v>
      </c>
      <c r="Y112" s="4">
        <f t="shared" ca="1" si="27"/>
        <v>1.0130922693266875E-2</v>
      </c>
      <c r="Z112" s="4">
        <f t="shared" ca="1" si="28"/>
        <v>-8.4131806496844375E-3</v>
      </c>
      <c r="AA112" s="4">
        <f t="shared" ca="1" si="29"/>
        <v>-1.8203883495145901E-3</v>
      </c>
      <c r="AB112" s="4">
        <f t="shared" ca="1" si="33"/>
        <v>-3.7349788892497515E-2</v>
      </c>
      <c r="AC112" s="4">
        <f t="shared" ca="1" si="34"/>
        <v>1.9715224534501585E-2</v>
      </c>
      <c r="AD112" s="4"/>
      <c r="AE112" s="2" cm="1">
        <f t="array" aca="1" ref="AE112" ca="1">SUMPRODUCT(Q112:AB112,TRANSPOSE(Insights.!$H$4:$H$15))</f>
        <v>-5.9743405997433642E-3</v>
      </c>
      <c r="AG112" s="10" vm="1771">
        <f ca="1"/>
        <v>45817</v>
      </c>
      <c r="AH112" s="1" vm="1786">
        <f ca="1"/>
        <v>99.957999999999998</v>
      </c>
      <c r="AI112" s="2">
        <f t="shared" ca="1" si="30"/>
        <v>1.9708277476540026E-3</v>
      </c>
      <c r="AJ112" s="1" vm="1787">
        <f ca="1"/>
        <v>100.46</v>
      </c>
      <c r="AK112" s="2">
        <f t="shared" ca="1" si="35"/>
        <v>5.4748158471040753E-4</v>
      </c>
      <c r="AL112" s="1" vm="1535">
        <f ca="1"/>
        <v>55.55</v>
      </c>
      <c r="AM112" s="2">
        <f t="shared" ca="1" si="36"/>
        <v>-5.4005400540046988E-4</v>
      </c>
      <c r="AO112" s="9">
        <f t="shared" ca="1" si="37"/>
        <v>98.34568693629933</v>
      </c>
      <c r="AP112">
        <f t="shared" ca="1" si="38"/>
        <v>92.691023738872374</v>
      </c>
      <c r="AQ112">
        <f t="shared" ca="1" si="39"/>
        <v>95.403608736942189</v>
      </c>
      <c r="AR112">
        <f t="shared" ca="1" si="40"/>
        <v>113.2633295952697</v>
      </c>
      <c r="AT112" s="21">
        <f ca="1">MAX($AO$3:AO113)</f>
        <v>106.96839029133979</v>
      </c>
      <c r="AU112" s="2">
        <f t="shared" ca="1" si="41"/>
        <v>-8.0609826244515848E-2</v>
      </c>
    </row>
    <row r="113" spans="1:47" x14ac:dyDescent="0.25">
      <c r="A113" vm="1788">
        <f ca="1"/>
        <v>45818</v>
      </c>
      <c r="B113" vm="1401">
        <f ca="1"/>
        <v>126</v>
      </c>
      <c r="C113" vm="1789">
        <f ca="1"/>
        <v>186.2</v>
      </c>
      <c r="D113" vm="1790">
        <f ca="1"/>
        <v>324.05</v>
      </c>
      <c r="E113" vm="1791">
        <f ca="1"/>
        <v>237</v>
      </c>
      <c r="F113" vm="1776">
        <f ca="1"/>
        <v>190</v>
      </c>
      <c r="G113" vm="1792">
        <f ca="1"/>
        <v>141.44999999999999</v>
      </c>
      <c r="H113" vm="1793">
        <f ca="1"/>
        <v>411.25</v>
      </c>
      <c r="I113" vm="1794">
        <f ca="1"/>
        <v>142.28</v>
      </c>
      <c r="J113" vm="1795">
        <f ca="1"/>
        <v>449.25</v>
      </c>
      <c r="K113" vm="1796">
        <f ca="1"/>
        <v>45.8</v>
      </c>
      <c r="L113" vm="1797">
        <f ca="1"/>
        <v>212.15</v>
      </c>
      <c r="M113" vm="1798">
        <f ca="1"/>
        <v>234.85</v>
      </c>
      <c r="N113" vm="1799">
        <f ca="1"/>
        <v>21.07</v>
      </c>
      <c r="O113" vm="1800">
        <f ca="1"/>
        <v>592.79999999999995</v>
      </c>
      <c r="Q113" s="4">
        <f t="shared" ca="1" si="21"/>
        <v>1.4238253440912452E-3</v>
      </c>
      <c r="R113" s="4">
        <f t="shared" ca="1" si="22"/>
        <v>-1.3080168776371304E-2</v>
      </c>
      <c r="S113" s="4">
        <f t="shared" ca="1" si="23"/>
        <v>2.6511134676564074E-2</v>
      </c>
      <c r="T113" s="4">
        <f t="shared" ca="1" si="31"/>
        <v>-7.8718020804048328E-3</v>
      </c>
      <c r="U113" s="4">
        <f t="shared" ca="1" si="32"/>
        <v>-5.5648302726767351E-3</v>
      </c>
      <c r="V113" s="4">
        <f t="shared" ca="1" si="24"/>
        <v>-1.3492063492063555E-2</v>
      </c>
      <c r="W113" s="4">
        <f t="shared" ca="1" si="25"/>
        <v>-2.3789473684210583E-2</v>
      </c>
      <c r="X113" s="4">
        <f t="shared" ca="1" si="26"/>
        <v>-2.1290185224609459E-4</v>
      </c>
      <c r="Y113" s="4">
        <f t="shared" ca="1" si="27"/>
        <v>1.8515661163400754E-3</v>
      </c>
      <c r="Z113" s="4">
        <f t="shared" ca="1" si="28"/>
        <v>2.9460287532406371E-2</v>
      </c>
      <c r="AA113" s="4">
        <f t="shared" ca="1" si="29"/>
        <v>3.6474164133726283E-4</v>
      </c>
      <c r="AB113" s="4">
        <f t="shared" ca="1" si="33"/>
        <v>4.3184885290148411E-2</v>
      </c>
      <c r="AC113" s="4">
        <f t="shared" ca="1" si="34"/>
        <v>-1.0741138560687036E-3</v>
      </c>
      <c r="AD113" s="4"/>
      <c r="AE113" s="2" cm="1">
        <f t="array" aca="1" ref="AE113" ca="1">SUMPRODUCT(Q113:AB113,TRANSPOSE(Insights.!$H$4:$H$15))</f>
        <v>3.3475664353033066E-3</v>
      </c>
      <c r="AG113" s="10" vm="1788">
        <f ca="1"/>
        <v>45818</v>
      </c>
      <c r="AH113" s="1" vm="1801">
        <f ca="1"/>
        <v>100.155</v>
      </c>
      <c r="AI113" s="2">
        <f t="shared" ca="1" si="30"/>
        <v>-5.8209774848984042E-3</v>
      </c>
      <c r="AJ113" s="1" vm="1802">
        <f ca="1"/>
        <v>100.515</v>
      </c>
      <c r="AK113" s="2">
        <f t="shared" ca="1" si="35"/>
        <v>-7.4615728995675035E-4</v>
      </c>
      <c r="AL113" s="1" vm="1770">
        <f ca="1"/>
        <v>55.52</v>
      </c>
      <c r="AM113" s="2">
        <f t="shared" ca="1" si="36"/>
        <v>-4.8631123919309349E-3</v>
      </c>
      <c r="AO113" s="9">
        <f t="shared" ca="1" si="37"/>
        <v>97.758136306026145</v>
      </c>
      <c r="AP113">
        <f t="shared" ca="1" si="38"/>
        <v>92.873701780415402</v>
      </c>
      <c r="AQ113">
        <f t="shared" ca="1" si="39"/>
        <v>95.455840455840587</v>
      </c>
      <c r="AR113">
        <f t="shared" ca="1" si="40"/>
        <v>113.20216128045678</v>
      </c>
      <c r="AT113" s="21">
        <f ca="1">MAX($AO$3:AO114)</f>
        <v>106.96839029133979</v>
      </c>
      <c r="AU113" s="2">
        <f t="shared" ca="1" si="41"/>
        <v>-8.610257628658835E-2</v>
      </c>
    </row>
    <row r="114" spans="1:47" x14ac:dyDescent="0.25">
      <c r="A114" vm="1803">
        <f ca="1"/>
        <v>45819</v>
      </c>
      <c r="B114" vm="1804">
        <f ca="1"/>
        <v>124.3</v>
      </c>
      <c r="C114" vm="1805">
        <f ca="1"/>
        <v>186</v>
      </c>
      <c r="D114" vm="1806">
        <f ca="1"/>
        <v>324.64999999999998</v>
      </c>
      <c r="E114" vm="1807">
        <f ca="1"/>
        <v>233.9</v>
      </c>
      <c r="F114" vm="1808">
        <f ca="1"/>
        <v>185.48</v>
      </c>
      <c r="G114" vm="1809">
        <f ca="1"/>
        <v>145.19999999999999</v>
      </c>
      <c r="H114" vm="1810">
        <f ca="1"/>
        <v>411.4</v>
      </c>
      <c r="I114" vm="1811">
        <f ca="1"/>
        <v>141.16</v>
      </c>
      <c r="J114" vm="1812">
        <f ca="1"/>
        <v>446.75</v>
      </c>
      <c r="K114" vm="1813">
        <f ca="1"/>
        <v>45.4</v>
      </c>
      <c r="L114" vm="1814">
        <f ca="1"/>
        <v>218.4</v>
      </c>
      <c r="M114" vm="243">
        <f ca="1"/>
        <v>234.8</v>
      </c>
      <c r="N114" vm="1815">
        <f ca="1"/>
        <v>21.1</v>
      </c>
      <c r="O114" vm="1816">
        <f ca="1"/>
        <v>618.4</v>
      </c>
      <c r="Q114" s="4">
        <f t="shared" ca="1" si="21"/>
        <v>1.0426540284360186E-2</v>
      </c>
      <c r="R114" s="4">
        <f t="shared" ca="1" si="22"/>
        <v>-1.7742625053441707E-2</v>
      </c>
      <c r="S114" s="4">
        <f t="shared" ca="1" si="23"/>
        <v>3.1336088154270136E-2</v>
      </c>
      <c r="T114" s="4">
        <f t="shared" ca="1" si="31"/>
        <v>-3.2587135165770276E-3</v>
      </c>
      <c r="U114" s="4">
        <f t="shared" ca="1" si="32"/>
        <v>-2.193620593172918E-2</v>
      </c>
      <c r="V114" s="4">
        <f t="shared" ca="1" si="24"/>
        <v>5.953338696701671E-3</v>
      </c>
      <c r="W114" s="4">
        <f t="shared" ca="1" si="25"/>
        <v>-8.0871252965278861E-3</v>
      </c>
      <c r="X114" s="4">
        <f t="shared" ca="1" si="26"/>
        <v>-1.5332197614991605E-2</v>
      </c>
      <c r="Y114" s="4">
        <f t="shared" ca="1" si="27"/>
        <v>-1.3553057138456781E-2</v>
      </c>
      <c r="Z114" s="4">
        <f t="shared" ca="1" si="28"/>
        <v>1.2820512820512775E-2</v>
      </c>
      <c r="AA114" s="4">
        <f t="shared" ca="1" si="29"/>
        <v>6.5629557608168909E-3</v>
      </c>
      <c r="AB114" s="4">
        <f t="shared" ca="1" si="33"/>
        <v>-2.247736093143593E-2</v>
      </c>
      <c r="AC114" s="4">
        <f t="shared" ca="1" si="34"/>
        <v>2.1505376344086446E-3</v>
      </c>
      <c r="AD114" s="4"/>
      <c r="AE114" s="2" cm="1">
        <f t="array" aca="1" ref="AE114" ca="1">SUMPRODUCT(Q114:AB114,TRANSPOSE(Insights.!$H$4:$H$15))</f>
        <v>-4.4202531043050297E-3</v>
      </c>
      <c r="AG114" s="10" vm="1803">
        <f ca="1"/>
        <v>45819</v>
      </c>
      <c r="AH114" s="1" vm="1817">
        <f ca="1"/>
        <v>99.572000000000003</v>
      </c>
      <c r="AI114" s="2">
        <f t="shared" ca="1" si="30"/>
        <v>-4.8608042421565134E-3</v>
      </c>
      <c r="AJ114" s="1" vm="1032">
        <f ca="1"/>
        <v>100.44</v>
      </c>
      <c r="AK114" s="2">
        <f t="shared" ca="1" si="35"/>
        <v>-8.6121067303862597E-3</v>
      </c>
      <c r="AL114" s="1" vm="1818">
        <f ca="1"/>
        <v>55.25</v>
      </c>
      <c r="AM114" s="2">
        <f t="shared" ca="1" si="36"/>
        <v>-4.7058823529411153E-3</v>
      </c>
      <c r="AO114" s="9">
        <f t="shared" ca="1" si="37"/>
        <v>98.085388161902003</v>
      </c>
      <c r="AP114">
        <f t="shared" ca="1" si="38"/>
        <v>92.33308605341243</v>
      </c>
      <c r="AQ114">
        <f t="shared" ca="1" si="39"/>
        <v>95.384615384615515</v>
      </c>
      <c r="AR114">
        <f t="shared" ca="1" si="40"/>
        <v>112.65164644714042</v>
      </c>
      <c r="AT114" s="21">
        <f ca="1">MAX($AO$3:AO115)</f>
        <v>106.96839029133979</v>
      </c>
      <c r="AU114" s="2">
        <f t="shared" ca="1" si="41"/>
        <v>-8.304324394565521E-2</v>
      </c>
    </row>
    <row r="115" spans="1:47" x14ac:dyDescent="0.25">
      <c r="A115" vm="1819">
        <f ca="1"/>
        <v>45820</v>
      </c>
      <c r="B115" vm="1820">
        <f ca="1"/>
        <v>125.04</v>
      </c>
      <c r="C115" vm="1821">
        <f ca="1"/>
        <v>186.4</v>
      </c>
      <c r="D115" vm="1822">
        <f ca="1"/>
        <v>320.25</v>
      </c>
      <c r="E115" vm="1823">
        <f ca="1"/>
        <v>229.75</v>
      </c>
      <c r="F115" vm="1824">
        <f ca="1"/>
        <v>183.98</v>
      </c>
      <c r="G115" vm="1825">
        <f ca="1"/>
        <v>149.75</v>
      </c>
      <c r="H115" vm="1826">
        <f ca="1"/>
        <v>414.1</v>
      </c>
      <c r="I115" vm="1827">
        <f ca="1"/>
        <v>140.69999999999999</v>
      </c>
      <c r="J115" vm="1828">
        <f ca="1"/>
        <v>436.95</v>
      </c>
      <c r="K115" vm="1829">
        <f ca="1"/>
        <v>43.6</v>
      </c>
      <c r="L115" vm="1830">
        <f ca="1"/>
        <v>221.2</v>
      </c>
      <c r="M115" vm="1831">
        <f ca="1"/>
        <v>231.2</v>
      </c>
      <c r="N115" vm="1832">
        <f ca="1"/>
        <v>21.32</v>
      </c>
      <c r="O115" vm="598">
        <f ca="1"/>
        <v>604.5</v>
      </c>
      <c r="Q115" s="4">
        <f t="shared" ca="1" si="21"/>
        <v>-3.1425891181988796E-2</v>
      </c>
      <c r="R115" s="4">
        <f t="shared" ca="1" si="22"/>
        <v>-2.4374319912948805E-2</v>
      </c>
      <c r="S115" s="4">
        <f t="shared" ca="1" si="23"/>
        <v>2.3372287145242421E-3</v>
      </c>
      <c r="T115" s="4">
        <f t="shared" ca="1" si="31"/>
        <v>-1.3503909026296945E-2</v>
      </c>
      <c r="U115" s="4">
        <f t="shared" ca="1" si="32"/>
        <v>-2.6318800778120099E-3</v>
      </c>
      <c r="V115" s="4">
        <f t="shared" ca="1" si="24"/>
        <v>-1.8554062699936091E-2</v>
      </c>
      <c r="W115" s="4">
        <f t="shared" ca="1" si="25"/>
        <v>-4.0221763235133157E-3</v>
      </c>
      <c r="X115" s="4">
        <f t="shared" ca="1" si="26"/>
        <v>-1.2759515570934243E-2</v>
      </c>
      <c r="Y115" s="4">
        <f t="shared" ca="1" si="27"/>
        <v>-4.4496487119437989E-2</v>
      </c>
      <c r="Z115" s="4">
        <f t="shared" ca="1" si="28"/>
        <v>-1.3336347197106635E-2</v>
      </c>
      <c r="AA115" s="4">
        <f t="shared" ca="1" si="29"/>
        <v>-3.6223134508572841E-3</v>
      </c>
      <c r="AB115" s="4">
        <f t="shared" ca="1" si="33"/>
        <v>9.0984284532671378E-3</v>
      </c>
      <c r="AC115" s="4">
        <f t="shared" ca="1" si="34"/>
        <v>-1.2875536480686733E-2</v>
      </c>
      <c r="AD115" s="4"/>
      <c r="AE115" s="2" cm="1">
        <f t="array" aca="1" ref="AE115" ca="1">SUMPRODUCT(Q115:AB115,TRANSPOSE(Insights.!$H$4:$H$15))</f>
        <v>-1.2115196553600939E-2</v>
      </c>
      <c r="AG115" s="10" vm="1819">
        <f ca="1"/>
        <v>45820</v>
      </c>
      <c r="AH115" s="1" vm="1833">
        <f ca="1"/>
        <v>99.087999999999994</v>
      </c>
      <c r="AI115" s="2">
        <f t="shared" ca="1" si="30"/>
        <v>-3.734054577749002E-3</v>
      </c>
      <c r="AJ115" s="1" vm="1834">
        <f ca="1"/>
        <v>99.575000000000003</v>
      </c>
      <c r="AK115" s="2">
        <f t="shared" ca="1" si="35"/>
        <v>-3.3140848606577622E-3</v>
      </c>
      <c r="AL115" s="1" vm="1835">
        <f ca="1"/>
        <v>54.99</v>
      </c>
      <c r="AM115" s="2">
        <f t="shared" ca="1" si="36"/>
        <v>-1.436624840880163E-2</v>
      </c>
      <c r="AO115" s="9">
        <f t="shared" ca="1" si="37"/>
        <v>97.651825920392383</v>
      </c>
      <c r="AP115">
        <f t="shared" ca="1" si="38"/>
        <v>91.884272997032596</v>
      </c>
      <c r="AQ115">
        <f t="shared" ca="1" si="39"/>
        <v>94.563152896486358</v>
      </c>
      <c r="AR115">
        <f t="shared" ca="1" si="40"/>
        <v>112.12152105209506</v>
      </c>
      <c r="AT115" s="21">
        <f ca="1">MAX($AO$3:AO116)</f>
        <v>106.96839029133979</v>
      </c>
      <c r="AU115" s="2">
        <f t="shared" ca="1" si="41"/>
        <v>-8.7096424893117974E-2</v>
      </c>
    </row>
    <row r="116" spans="1:47" x14ac:dyDescent="0.25">
      <c r="A116" vm="1836">
        <f ca="1"/>
        <v>45821</v>
      </c>
      <c r="B116" vm="1837">
        <f ca="1"/>
        <v>122.72</v>
      </c>
      <c r="C116" vm="1838">
        <f ca="1"/>
        <v>184</v>
      </c>
      <c r="D116" vm="1839">
        <f ca="1"/>
        <v>306</v>
      </c>
      <c r="E116" vm="1840">
        <f ca="1"/>
        <v>224.15</v>
      </c>
      <c r="F116" vm="774">
        <f ca="1"/>
        <v>183.24</v>
      </c>
      <c r="G116" vm="1841">
        <f ca="1"/>
        <v>150.1</v>
      </c>
      <c r="H116" vm="1842">
        <f ca="1"/>
        <v>412.6</v>
      </c>
      <c r="I116" vm="1843">
        <f ca="1"/>
        <v>138.80000000000001</v>
      </c>
      <c r="J116" vm="1844">
        <f ca="1"/>
        <v>435.8</v>
      </c>
      <c r="K116" vm="1766">
        <f ca="1"/>
        <v>42.2</v>
      </c>
      <c r="L116" vm="1845">
        <f ca="1"/>
        <v>218.25</v>
      </c>
      <c r="M116" vm="1846">
        <f ca="1"/>
        <v>228.25</v>
      </c>
      <c r="N116" vm="1847">
        <f ca="1"/>
        <v>20.65</v>
      </c>
      <c r="O116" vm="1848">
        <f ca="1"/>
        <v>610</v>
      </c>
      <c r="Q116" s="4">
        <f t="shared" ca="1" si="21"/>
        <v>2.4213075060532718E-2</v>
      </c>
      <c r="R116" s="4">
        <f t="shared" ca="1" si="22"/>
        <v>1.4499219272808395E-2</v>
      </c>
      <c r="S116" s="4">
        <f t="shared" ca="1" si="23"/>
        <v>2.7981345769487076E-2</v>
      </c>
      <c r="T116" s="4">
        <f t="shared" ca="1" si="31"/>
        <v>1.8731988472622252E-3</v>
      </c>
      <c r="U116" s="4">
        <f t="shared" ca="1" si="32"/>
        <v>3.9008719596145269E-3</v>
      </c>
      <c r="V116" s="4">
        <f t="shared" ca="1" si="24"/>
        <v>1.7764015645371556E-2</v>
      </c>
      <c r="W116" s="4">
        <f t="shared" ca="1" si="25"/>
        <v>2.0519537218947725E-2</v>
      </c>
      <c r="X116" s="4">
        <f t="shared" ca="1" si="26"/>
        <v>2.4534501642935247E-2</v>
      </c>
      <c r="Y116" s="4">
        <f t="shared" ca="1" si="27"/>
        <v>9.9673202614378731E-3</v>
      </c>
      <c r="Z116" s="4">
        <f t="shared" ca="1" si="28"/>
        <v>-2.2909507445589838E-4</v>
      </c>
      <c r="AA116" s="4">
        <f t="shared" ca="1" si="29"/>
        <v>9.6946194861846635E-4</v>
      </c>
      <c r="AB116" s="4">
        <f t="shared" ca="1" si="33"/>
        <v>2.2131147540983553E-2</v>
      </c>
      <c r="AC116" s="4">
        <f t="shared" ca="1" si="34"/>
        <v>1.6304347826086918E-2</v>
      </c>
      <c r="AD116" s="4"/>
      <c r="AE116" s="2" cm="1">
        <f t="array" aca="1" ref="AE116" ca="1">SUMPRODUCT(Q116:AB116,TRANSPOSE(Insights.!$H$4:$H$15))</f>
        <v>1.2775793130151791E-2</v>
      </c>
      <c r="AG116" s="10" vm="1836">
        <f ca="1"/>
        <v>45821</v>
      </c>
      <c r="AH116" s="1" vm="1849">
        <f ca="1"/>
        <v>98.718000000000004</v>
      </c>
      <c r="AI116" s="2">
        <f t="shared" ca="1" si="30"/>
        <v>3.2010372981625679E-3</v>
      </c>
      <c r="AJ116" s="1" vm="1850">
        <f ca="1"/>
        <v>99.245000000000005</v>
      </c>
      <c r="AK116" s="2">
        <f t="shared" ca="1" si="35"/>
        <v>3.5770063983071587E-3</v>
      </c>
      <c r="AL116" s="1" vm="1851">
        <f ca="1"/>
        <v>54.2</v>
      </c>
      <c r="AM116" s="2">
        <f t="shared" ca="1" si="36"/>
        <v>-9.2250922509229394E-4</v>
      </c>
      <c r="AO116" s="9">
        <f t="shared" ca="1" si="37"/>
        <v>96.468754855548809</v>
      </c>
      <c r="AP116">
        <f t="shared" ca="1" si="38"/>
        <v>91.541172106824888</v>
      </c>
      <c r="AQ116">
        <f t="shared" ca="1" si="39"/>
        <v>94.249762583096043</v>
      </c>
      <c r="AR116">
        <f t="shared" ca="1" si="40"/>
        <v>110.51075542868799</v>
      </c>
      <c r="AT116" s="21">
        <f ca="1">MAX($AO$3:AO117)</f>
        <v>106.96839029133979</v>
      </c>
      <c r="AU116" s="2">
        <f t="shared" ca="1" si="41"/>
        <v>-9.8156431140022815E-2</v>
      </c>
    </row>
    <row r="117" spans="1:47" x14ac:dyDescent="0.25">
      <c r="A117" vm="1852">
        <f ca="1"/>
        <v>45824</v>
      </c>
      <c r="B117" vm="1853">
        <f ca="1"/>
        <v>124.9</v>
      </c>
      <c r="C117" vm="1854">
        <f ca="1"/>
        <v>187</v>
      </c>
      <c r="D117" vm="1855">
        <f ca="1"/>
        <v>309.05</v>
      </c>
      <c r="E117" vm="1856">
        <f ca="1"/>
        <v>227.4</v>
      </c>
      <c r="F117" vm="1854">
        <f ca="1"/>
        <v>187</v>
      </c>
      <c r="G117" vm="907">
        <f ca="1"/>
        <v>154.30000000000001</v>
      </c>
      <c r="H117" vm="1857">
        <f ca="1"/>
        <v>413</v>
      </c>
      <c r="I117" vm="1858">
        <f ca="1"/>
        <v>139.06</v>
      </c>
      <c r="J117" vm="1859">
        <f ca="1"/>
        <v>437.5</v>
      </c>
      <c r="K117" vm="1860">
        <f ca="1"/>
        <v>42.4</v>
      </c>
      <c r="L117" vm="1861">
        <f ca="1"/>
        <v>218.2</v>
      </c>
      <c r="M117" vm="1862">
        <f ca="1"/>
        <v>233.85</v>
      </c>
      <c r="N117" vm="1863">
        <f ca="1"/>
        <v>21.15</v>
      </c>
      <c r="O117" vm="1864">
        <f ca="1"/>
        <v>623.5</v>
      </c>
      <c r="Q117" s="4">
        <f t="shared" ca="1" si="21"/>
        <v>-2.6950354609929117E-2</v>
      </c>
      <c r="R117" s="4">
        <f t="shared" ca="1" si="22"/>
        <v>2.4626209322779147E-2</v>
      </c>
      <c r="S117" s="4">
        <f t="shared" ca="1" si="23"/>
        <v>-1.9442644199612058E-3</v>
      </c>
      <c r="T117" s="4">
        <f t="shared" ca="1" si="31"/>
        <v>-8.917014238458254E-3</v>
      </c>
      <c r="U117" s="4">
        <f t="shared" ca="1" si="32"/>
        <v>3.4285714285720026E-4</v>
      </c>
      <c r="V117" s="4">
        <f t="shared" ca="1" si="24"/>
        <v>4.643714971977575E-3</v>
      </c>
      <c r="W117" s="4">
        <f t="shared" ca="1" si="25"/>
        <v>-4.2780748663107104E-4</v>
      </c>
      <c r="X117" s="4">
        <f t="shared" ca="1" si="26"/>
        <v>0</v>
      </c>
      <c r="Y117" s="4">
        <f t="shared" ca="1" si="27"/>
        <v>8.4128781750525405E-3</v>
      </c>
      <c r="Z117" s="4">
        <f t="shared" ca="1" si="28"/>
        <v>-5.9578368469292986E-3</v>
      </c>
      <c r="AA117" s="4">
        <f t="shared" ca="1" si="29"/>
        <v>7.2639225181598821E-3</v>
      </c>
      <c r="AB117" s="4">
        <f t="shared" ca="1" si="33"/>
        <v>4.3303929430633659E-3</v>
      </c>
      <c r="AC117" s="4">
        <f t="shared" ca="1" si="34"/>
        <v>-5.3475935828877219E-3</v>
      </c>
      <c r="AD117" s="4"/>
      <c r="AE117" s="2" cm="1">
        <f t="array" aca="1" ref="AE117" ca="1">SUMPRODUCT(Q117:AB117,TRANSPOSE(Insights.!$H$4:$H$15))</f>
        <v>1.6165664700597444E-3</v>
      </c>
      <c r="AG117" s="10" vm="1852">
        <f ca="1"/>
        <v>45824</v>
      </c>
      <c r="AH117" s="1" vm="1865">
        <f ca="1"/>
        <v>99.034000000000006</v>
      </c>
      <c r="AI117" s="2">
        <f t="shared" ca="1" si="30"/>
        <v>1.6156067613137814E-4</v>
      </c>
      <c r="AJ117" s="1" vm="1866">
        <f ca="1"/>
        <v>99.6</v>
      </c>
      <c r="AK117" s="2">
        <f t="shared" ca="1" si="35"/>
        <v>-2.359437751004001E-3</v>
      </c>
      <c r="AL117" s="1" vm="1867">
        <f ca="1"/>
        <v>54.15</v>
      </c>
      <c r="AM117" s="2">
        <f t="shared" ca="1" si="36"/>
        <v>-9.2336103416436055E-3</v>
      </c>
      <c r="AO117" s="9">
        <f t="shared" ca="1" si="37"/>
        <v>97.701219711106617</v>
      </c>
      <c r="AP117">
        <f t="shared" ca="1" si="38"/>
        <v>91.834198813056346</v>
      </c>
      <c r="AQ117">
        <f t="shared" ca="1" si="39"/>
        <v>94.586894586894715</v>
      </c>
      <c r="AR117">
        <f t="shared" ca="1" si="40"/>
        <v>110.4088082373331</v>
      </c>
      <c r="AT117" s="21">
        <f ca="1">MAX($AO$3:AO118)</f>
        <v>106.96839029133979</v>
      </c>
      <c r="AU117" s="2">
        <f t="shared" ca="1" si="41"/>
        <v>-8.6634664268510075E-2</v>
      </c>
    </row>
    <row r="118" spans="1:47" x14ac:dyDescent="0.25">
      <c r="A118" vm="1868">
        <f ca="1"/>
        <v>45825</v>
      </c>
      <c r="B118" vm="1869">
        <f ca="1"/>
        <v>125.48</v>
      </c>
      <c r="C118" vm="1805">
        <f ca="1"/>
        <v>186</v>
      </c>
      <c r="D118" vm="1870">
        <f ca="1"/>
        <v>311.64999999999998</v>
      </c>
      <c r="E118" vm="1293">
        <f ca="1"/>
        <v>233</v>
      </c>
      <c r="F118" vm="1871">
        <f ca="1"/>
        <v>186.92</v>
      </c>
      <c r="G118" vm="110">
        <f ca="1"/>
        <v>154</v>
      </c>
      <c r="H118" vm="1872">
        <f ca="1"/>
        <v>416</v>
      </c>
      <c r="I118" vm="1873">
        <f ca="1"/>
        <v>137.82</v>
      </c>
      <c r="J118" vm="1874">
        <f ca="1"/>
        <v>437.65</v>
      </c>
      <c r="K118" vm="1875">
        <f ca="1"/>
        <v>42</v>
      </c>
      <c r="L118" vm="24">
        <f ca="1"/>
        <v>216.9</v>
      </c>
      <c r="M118" vm="1862">
        <f ca="1"/>
        <v>233.85</v>
      </c>
      <c r="N118" vm="1876">
        <f ca="1"/>
        <v>20.58</v>
      </c>
      <c r="O118" vm="1877">
        <f ca="1"/>
        <v>626.20000000000005</v>
      </c>
      <c r="Q118" s="4">
        <f t="shared" ca="1" si="21"/>
        <v>1.4577259475218707E-2</v>
      </c>
      <c r="R118" s="4">
        <f t="shared" ca="1" si="22"/>
        <v>-2.8969957081545039E-2</v>
      </c>
      <c r="S118" s="4">
        <f t="shared" ca="1" si="23"/>
        <v>2.1753246753246636E-2</v>
      </c>
      <c r="T118" s="4">
        <f t="shared" ca="1" si="31"/>
        <v>-7.255840951966297E-4</v>
      </c>
      <c r="U118" s="4">
        <f t="shared" ca="1" si="32"/>
        <v>1.0282188963783856E-3</v>
      </c>
      <c r="V118" s="4">
        <f t="shared" ca="1" si="24"/>
        <v>9.2445011157156198E-3</v>
      </c>
      <c r="W118" s="4">
        <f t="shared" ca="1" si="25"/>
        <v>2.0329552749840385E-3</v>
      </c>
      <c r="X118" s="4">
        <f t="shared" ca="1" si="26"/>
        <v>2.0739790463972563E-2</v>
      </c>
      <c r="Y118" s="4">
        <f t="shared" ca="1" si="27"/>
        <v>-5.4548371570672272E-2</v>
      </c>
      <c r="Z118" s="4">
        <f t="shared" ca="1" si="28"/>
        <v>9.2208390963577358E-3</v>
      </c>
      <c r="AA118" s="4">
        <f t="shared" ca="1" si="29"/>
        <v>6.0096153846154188E-3</v>
      </c>
      <c r="AB118" s="4">
        <f t="shared" ca="1" si="33"/>
        <v>-1.4053018205046452E-2</v>
      </c>
      <c r="AC118" s="4">
        <f t="shared" ca="1" si="34"/>
        <v>-1.0752688172042113E-3</v>
      </c>
      <c r="AD118" s="4"/>
      <c r="AE118" s="2" cm="1">
        <f t="array" aca="1" ref="AE118" ca="1">SUMPRODUCT(Q118:AB118,TRANSPOSE(Insights.!$H$4:$H$15))</f>
        <v>-1.8039885535781367E-3</v>
      </c>
      <c r="AG118" s="10" vm="1868">
        <f ca="1"/>
        <v>45825</v>
      </c>
      <c r="AH118" s="1" vm="1878">
        <f ca="1"/>
        <v>99.05</v>
      </c>
      <c r="AI118" s="2">
        <f t="shared" ca="1" si="30"/>
        <v>-7.6728924785451902E-4</v>
      </c>
      <c r="AJ118" s="1" vm="1879">
        <f ca="1"/>
        <v>99.364999999999995</v>
      </c>
      <c r="AK118" s="2">
        <f t="shared" ca="1" si="35"/>
        <v>-3.0191717405525509E-4</v>
      </c>
      <c r="AL118" s="1" vm="1880">
        <f ca="1"/>
        <v>53.65</v>
      </c>
      <c r="AM118" s="2">
        <f t="shared" ca="1" si="36"/>
        <v>-7.4557315936629731E-4</v>
      </c>
      <c r="AO118" s="9">
        <f t="shared" ca="1" si="37"/>
        <v>97.859160226975533</v>
      </c>
      <c r="AP118">
        <f t="shared" ca="1" si="38"/>
        <v>91.849035608308569</v>
      </c>
      <c r="AQ118">
        <f t="shared" ca="1" si="39"/>
        <v>94.363722697056161</v>
      </c>
      <c r="AR118">
        <f t="shared" ca="1" si="40"/>
        <v>109.38933632378432</v>
      </c>
      <c r="AT118" s="21">
        <f ca="1">MAX($AO$3:AO119)</f>
        <v>106.96839029133979</v>
      </c>
      <c r="AU118" s="2">
        <f t="shared" ca="1" si="41"/>
        <v>-8.515814849185166E-2</v>
      </c>
    </row>
    <row r="119" spans="1:47" x14ac:dyDescent="0.25">
      <c r="A119" vm="1881">
        <f ca="1"/>
        <v>45826</v>
      </c>
      <c r="B119" vm="1882">
        <f ca="1"/>
        <v>126.64</v>
      </c>
      <c r="C119" vm="255">
        <f ca="1"/>
        <v>185.8</v>
      </c>
      <c r="D119" vm="1883">
        <f ca="1"/>
        <v>294.64999999999998</v>
      </c>
      <c r="E119" vm="1884">
        <f ca="1"/>
        <v>226.25</v>
      </c>
      <c r="F119" vm="1885">
        <f ca="1"/>
        <v>187.3</v>
      </c>
      <c r="G119" vm="1886">
        <f ca="1"/>
        <v>157.35</v>
      </c>
      <c r="H119" vm="1887">
        <f ca="1"/>
        <v>418.5</v>
      </c>
      <c r="I119" vm="1888">
        <f ca="1"/>
        <v>137.72</v>
      </c>
      <c r="J119" vm="1889">
        <f ca="1"/>
        <v>438.1</v>
      </c>
      <c r="K119" vm="577">
        <f ca="1"/>
        <v>42.8</v>
      </c>
      <c r="L119" vm="1890">
        <f ca="1"/>
        <v>218.9</v>
      </c>
      <c r="M119" vm="96">
        <f ca="1"/>
        <v>238.7</v>
      </c>
      <c r="N119" vm="1891">
        <f ca="1"/>
        <v>20.88</v>
      </c>
      <c r="O119" vm="1892">
        <f ca="1"/>
        <v>617.4</v>
      </c>
      <c r="Q119" s="4">
        <f t="shared" ca="1" si="21"/>
        <v>-1.7241379310344751E-2</v>
      </c>
      <c r="R119" s="4">
        <f t="shared" ca="1" si="22"/>
        <v>-6.1878453038674008E-3</v>
      </c>
      <c r="S119" s="4">
        <f t="shared" ca="1" si="23"/>
        <v>-7.3085478233237966E-3</v>
      </c>
      <c r="T119" s="4">
        <f t="shared" ca="1" si="31"/>
        <v>2.904443799012224E-4</v>
      </c>
      <c r="U119" s="4">
        <f t="shared" ca="1" si="32"/>
        <v>-9.9292398995664E-3</v>
      </c>
      <c r="V119" s="4">
        <f t="shared" ca="1" si="24"/>
        <v>-1.5634870499052433E-2</v>
      </c>
      <c r="W119" s="4">
        <f t="shared" ca="1" si="25"/>
        <v>-1.9861185264281933E-2</v>
      </c>
      <c r="X119" s="4">
        <f t="shared" ca="1" si="26"/>
        <v>-1.0682865521575158E-2</v>
      </c>
      <c r="Y119" s="4">
        <f t="shared" ca="1" si="27"/>
        <v>-2.3756999830306658E-3</v>
      </c>
      <c r="Z119" s="4">
        <f t="shared" ca="1" si="28"/>
        <v>-2.1927820922795882E-2</v>
      </c>
      <c r="AA119" s="4">
        <f t="shared" ca="1" si="29"/>
        <v>-1.3620071684587787E-2</v>
      </c>
      <c r="AB119" s="4">
        <f t="shared" ca="1" si="33"/>
        <v>-4.8590864917386067E-4</v>
      </c>
      <c r="AC119" s="4">
        <f t="shared" ca="1" si="34"/>
        <v>-2.0452099031216475E-2</v>
      </c>
      <c r="AD119" s="4"/>
      <c r="AE119" s="2" cm="1">
        <f t="array" aca="1" ref="AE119" ca="1">SUMPRODUCT(Q119:AB119,TRANSPOSE(Insights.!$H$4:$H$15))</f>
        <v>-9.4387965676376723E-3</v>
      </c>
      <c r="AG119" s="10" vm="1881">
        <f ca="1"/>
        <v>45826</v>
      </c>
      <c r="AH119" s="1" vm="1893">
        <f ca="1"/>
        <v>98.974000000000004</v>
      </c>
      <c r="AI119" s="2">
        <f t="shared" ca="1" si="30"/>
        <v>-1.0689676076545473E-2</v>
      </c>
      <c r="AJ119" s="1" vm="1894">
        <f ca="1"/>
        <v>99.334999999999994</v>
      </c>
      <c r="AK119" s="2">
        <f t="shared" ca="1" si="35"/>
        <v>-7.9025519706045211E-3</v>
      </c>
      <c r="AL119" s="1" vm="449">
        <f ca="1"/>
        <v>53.61</v>
      </c>
      <c r="AM119" s="2">
        <f t="shared" ca="1" si="36"/>
        <v>-1.3803394889013276E-2</v>
      </c>
      <c r="AO119" s="9">
        <f t="shared" ca="1" si="37"/>
        <v>97.682623422063301</v>
      </c>
      <c r="AP119">
        <f t="shared" ca="1" si="38"/>
        <v>91.778560830860513</v>
      </c>
      <c r="AQ119">
        <f t="shared" ca="1" si="39"/>
        <v>94.335232668566135</v>
      </c>
      <c r="AR119">
        <f t="shared" ca="1" si="40"/>
        <v>109.30777857070042</v>
      </c>
      <c r="AT119" s="21">
        <f ca="1">MAX($AO$3:AO120)</f>
        <v>106.96839029133979</v>
      </c>
      <c r="AU119" s="2">
        <f t="shared" ca="1" si="41"/>
        <v>-8.6808512720306541E-2</v>
      </c>
    </row>
    <row r="120" spans="1:47" x14ac:dyDescent="0.25">
      <c r="A120" vm="1895">
        <f ca="1"/>
        <v>45827</v>
      </c>
      <c r="B120" vm="1896">
        <f ca="1"/>
        <v>124.66</v>
      </c>
      <c r="C120" vm="1897">
        <f ca="1"/>
        <v>182</v>
      </c>
      <c r="D120" vm="1898">
        <f ca="1"/>
        <v>293.95</v>
      </c>
      <c r="E120" vm="1390">
        <f ca="1"/>
        <v>224.85</v>
      </c>
      <c r="F120" vm="1510">
        <f ca="1"/>
        <v>183.58</v>
      </c>
      <c r="G120" vm="274">
        <f ca="1"/>
        <v>156.19999999999999</v>
      </c>
      <c r="H120" vm="1899">
        <f ca="1"/>
        <v>412.8</v>
      </c>
      <c r="I120" vm="1900">
        <f ca="1"/>
        <v>137.76</v>
      </c>
      <c r="J120" vm="1901">
        <f ca="1"/>
        <v>433.75</v>
      </c>
      <c r="K120" vm="1902">
        <f ca="1"/>
        <v>41.4</v>
      </c>
      <c r="L120" vm="1903">
        <f ca="1"/>
        <v>214.1</v>
      </c>
      <c r="M120" vm="1904">
        <f ca="1"/>
        <v>236.15</v>
      </c>
      <c r="N120" vm="1905">
        <f ca="1"/>
        <v>20.52</v>
      </c>
      <c r="O120" vm="1906">
        <f ca="1"/>
        <v>617.1</v>
      </c>
      <c r="Q120" s="4">
        <f t="shared" ca="1" si="21"/>
        <v>5.3606237816763436E-3</v>
      </c>
      <c r="R120" s="4">
        <f t="shared" ca="1" si="22"/>
        <v>6.4487436068489945E-3</v>
      </c>
      <c r="S120" s="4">
        <f t="shared" ca="1" si="23"/>
        <v>1.95262483994878E-2</v>
      </c>
      <c r="T120" s="4">
        <f t="shared" ca="1" si="31"/>
        <v>1.1614401858304202E-3</v>
      </c>
      <c r="U120" s="4">
        <f t="shared" ca="1" si="32"/>
        <v>1.2680115273775439E-3</v>
      </c>
      <c r="V120" s="4">
        <f t="shared" ca="1" si="24"/>
        <v>1.6043638697271767E-4</v>
      </c>
      <c r="W120" s="4">
        <f t="shared" ca="1" si="25"/>
        <v>-1.1330210262555873E-2</v>
      </c>
      <c r="X120" s="4">
        <f t="shared" ca="1" si="26"/>
        <v>1.2915519796739217E-2</v>
      </c>
      <c r="Y120" s="4">
        <f t="shared" ca="1" si="27"/>
        <v>-2.0411634631738451E-3</v>
      </c>
      <c r="Z120" s="4">
        <f t="shared" ca="1" si="28"/>
        <v>4.6707146193367688E-3</v>
      </c>
      <c r="AA120" s="4">
        <f t="shared" ca="1" si="29"/>
        <v>4.9660852713178105E-3</v>
      </c>
      <c r="AB120" s="4">
        <f t="shared" ca="1" si="33"/>
        <v>2.7548209366390353E-3</v>
      </c>
      <c r="AC120" s="4">
        <f t="shared" ca="1" si="34"/>
        <v>-2.19780219780219E-3</v>
      </c>
      <c r="AD120" s="4"/>
      <c r="AE120" s="2" cm="1">
        <f t="array" aca="1" ref="AE120" ca="1">SUMPRODUCT(Q120:AB120,TRANSPOSE(Insights.!$H$4:$H$15))</f>
        <v>4.1204015228666659E-3</v>
      </c>
      <c r="AG120" s="10" vm="1895">
        <f ca="1"/>
        <v>45827</v>
      </c>
      <c r="AH120" s="1" vm="1907">
        <f ca="1"/>
        <v>97.915999999999997</v>
      </c>
      <c r="AI120" s="2">
        <f t="shared" ca="1" si="30"/>
        <v>-2.144695453245582E-3</v>
      </c>
      <c r="AJ120" s="1" vm="1908">
        <f ca="1"/>
        <v>98.55</v>
      </c>
      <c r="AK120" s="2">
        <f t="shared" ca="1" si="35"/>
        <v>2.7904616945713112E-3</v>
      </c>
      <c r="AL120" s="1" vm="1909">
        <f ca="1"/>
        <v>52.87</v>
      </c>
      <c r="AM120" s="2">
        <f t="shared" ca="1" si="36"/>
        <v>3.972006809154438E-3</v>
      </c>
      <c r="AO120" s="9">
        <f t="shared" ca="1" si="37"/>
        <v>96.760617011389286</v>
      </c>
      <c r="AP120">
        <f t="shared" ca="1" si="38"/>
        <v>90.797477744807097</v>
      </c>
      <c r="AQ120">
        <f t="shared" ca="1" si="39"/>
        <v>93.589743589743719</v>
      </c>
      <c r="AR120">
        <f t="shared" ca="1" si="40"/>
        <v>107.79896013864823</v>
      </c>
      <c r="AT120" s="21">
        <f ca="1">MAX($AO$3:AO121)</f>
        <v>106.96839029133979</v>
      </c>
      <c r="AU120" s="2">
        <f t="shared" ca="1" si="41"/>
        <v>-9.5427941396038052E-2</v>
      </c>
    </row>
    <row r="121" spans="1:47" x14ac:dyDescent="0.25">
      <c r="A121" vm="1910">
        <f ca="1"/>
        <v>45828</v>
      </c>
      <c r="B121" vm="1911">
        <f ca="1"/>
        <v>124.68</v>
      </c>
      <c r="C121" vm="1912">
        <f ca="1"/>
        <v>181.6</v>
      </c>
      <c r="D121" vm="1913">
        <f ca="1"/>
        <v>293.35000000000002</v>
      </c>
      <c r="E121" vm="1914">
        <f ca="1"/>
        <v>226.3</v>
      </c>
      <c r="F121" vm="272">
        <f ca="1"/>
        <v>181.5</v>
      </c>
      <c r="G121" vm="1915">
        <f ca="1"/>
        <v>159.25</v>
      </c>
      <c r="H121" vm="1916">
        <f ca="1"/>
        <v>414.85</v>
      </c>
      <c r="I121" vm="1917">
        <f ca="1"/>
        <v>137.91999999999999</v>
      </c>
      <c r="J121" vm="1918">
        <f ca="1"/>
        <v>434.3</v>
      </c>
      <c r="K121" vm="577">
        <f ca="1"/>
        <v>42.8</v>
      </c>
      <c r="L121" vm="175">
        <f ca="1"/>
        <v>215.1</v>
      </c>
      <c r="M121" vm="1919">
        <f ca="1"/>
        <v>239.2</v>
      </c>
      <c r="N121" vm="1767">
        <f ca="1"/>
        <v>20.63</v>
      </c>
      <c r="O121" vm="1920">
        <f ca="1"/>
        <v>618.79999999999995</v>
      </c>
      <c r="Q121" s="4">
        <f t="shared" ca="1" si="21"/>
        <v>-7.7556955889481749E-3</v>
      </c>
      <c r="R121" s="4">
        <f t="shared" ca="1" si="22"/>
        <v>3.0932390631903672E-3</v>
      </c>
      <c r="S121" s="4">
        <f t="shared" ca="1" si="23"/>
        <v>-1.0675039246467732E-2</v>
      </c>
      <c r="T121" s="4">
        <f t="shared" ca="1" si="31"/>
        <v>5.8004640371229765E-3</v>
      </c>
      <c r="U121" s="4">
        <f t="shared" ca="1" si="32"/>
        <v>2.187428045130102E-2</v>
      </c>
      <c r="V121" s="4">
        <f t="shared" ca="1" si="24"/>
        <v>1.1228745588705014E-3</v>
      </c>
      <c r="W121" s="4">
        <f t="shared" ca="1" si="25"/>
        <v>-6.7217630853994015E-3</v>
      </c>
      <c r="X121" s="4">
        <f t="shared" ca="1" si="26"/>
        <v>-5.4347826086955653E-3</v>
      </c>
      <c r="Y121" s="4">
        <f t="shared" ca="1" si="27"/>
        <v>8.8631327765467116E-3</v>
      </c>
      <c r="Z121" s="4">
        <f t="shared" ca="1" si="28"/>
        <v>2.3245002324501218E-3</v>
      </c>
      <c r="AA121" s="4">
        <f t="shared" ca="1" si="29"/>
        <v>1.3137278534409935E-2</v>
      </c>
      <c r="AB121" s="4">
        <f t="shared" ca="1" si="33"/>
        <v>1.8907563025210239E-2</v>
      </c>
      <c r="AC121" s="4">
        <f t="shared" ca="1" si="34"/>
        <v>-2.2026431718061845E-3</v>
      </c>
      <c r="AD121" s="4"/>
      <c r="AE121" s="2" cm="1">
        <f t="array" aca="1" ref="AE121" ca="1">SUMPRODUCT(Q121:AB121,TRANSPOSE(Insights.!$H$4:$H$15))</f>
        <v>3.7863803971264123E-3</v>
      </c>
      <c r="AG121" s="10" vm="1910">
        <f ca="1"/>
        <v>45828</v>
      </c>
      <c r="AH121" s="1" vm="1921">
        <f ca="1"/>
        <v>97.706000000000003</v>
      </c>
      <c r="AI121" s="2">
        <f t="shared" ca="1" si="30"/>
        <v>5.0355147073872786E-3</v>
      </c>
      <c r="AJ121" s="1" vm="1922">
        <f ca="1"/>
        <v>98.825000000000003</v>
      </c>
      <c r="AK121" s="2">
        <f t="shared" ca="1" si="35"/>
        <v>-1.9225904376423131E-3</v>
      </c>
      <c r="AL121" s="1" vm="1923">
        <f ca="1"/>
        <v>53.08</v>
      </c>
      <c r="AM121" s="2">
        <f t="shared" ca="1" si="36"/>
        <v>2.4491333835721107E-3</v>
      </c>
      <c r="AO121" s="9">
        <f t="shared" ca="1" si="37"/>
        <v>97.15930960507653</v>
      </c>
      <c r="AP121">
        <f t="shared" ca="1" si="38"/>
        <v>90.602744807121638</v>
      </c>
      <c r="AQ121">
        <f t="shared" ca="1" si="39"/>
        <v>93.85090218423565</v>
      </c>
      <c r="AR121">
        <f t="shared" ca="1" si="40"/>
        <v>108.22713834233871</v>
      </c>
      <c r="AT121" s="21">
        <f ca="1">MAX($AO$3:AO122)</f>
        <v>106.96839029133979</v>
      </c>
      <c r="AU121" s="2">
        <f t="shared" ca="1" si="41"/>
        <v>-9.1700741308223699E-2</v>
      </c>
    </row>
    <row r="122" spans="1:47" x14ac:dyDescent="0.25">
      <c r="A122" vm="1924">
        <f ca="1"/>
        <v>45831</v>
      </c>
      <c r="B122" vm="1925">
        <f ca="1"/>
        <v>124.82</v>
      </c>
      <c r="C122" vm="1926">
        <f ca="1"/>
        <v>181.2</v>
      </c>
      <c r="D122" vm="1927">
        <f ca="1"/>
        <v>295.95</v>
      </c>
      <c r="E122" vm="1928">
        <f ca="1"/>
        <v>227</v>
      </c>
      <c r="F122" vm="1929">
        <f ca="1"/>
        <v>180.28</v>
      </c>
      <c r="G122" vm="1930">
        <f ca="1"/>
        <v>157.55000000000001</v>
      </c>
      <c r="H122" vm="1931">
        <f ca="1"/>
        <v>420.3</v>
      </c>
      <c r="I122" vm="1932">
        <f ca="1"/>
        <v>138.72</v>
      </c>
      <c r="J122" vm="1933">
        <f ca="1"/>
        <v>443.8</v>
      </c>
      <c r="K122" vm="511">
        <f ca="1"/>
        <v>40</v>
      </c>
      <c r="L122" vm="1934">
        <f ca="1"/>
        <v>215.6</v>
      </c>
      <c r="M122" vm="1935">
        <f ca="1"/>
        <v>237.9</v>
      </c>
      <c r="N122" vm="1936">
        <f ca="1"/>
        <v>20.47</v>
      </c>
      <c r="O122" vm="1937">
        <f ca="1"/>
        <v>630.5</v>
      </c>
      <c r="Q122" s="4">
        <f t="shared" ca="1" si="21"/>
        <v>2.1006350757205583E-2</v>
      </c>
      <c r="R122" s="4">
        <f t="shared" ca="1" si="22"/>
        <v>3.5022026431718034E-2</v>
      </c>
      <c r="S122" s="4">
        <f t="shared" ca="1" si="23"/>
        <v>1.8406854966677155E-2</v>
      </c>
      <c r="T122" s="4">
        <f t="shared" ca="1" si="31"/>
        <v>-5.3344867358708914E-3</v>
      </c>
      <c r="U122" s="4">
        <f t="shared" ca="1" si="32"/>
        <v>1.4195583596214645E-2</v>
      </c>
      <c r="V122" s="4">
        <f t="shared" ca="1" si="24"/>
        <v>1.9227687870533527E-2</v>
      </c>
      <c r="W122" s="4">
        <f t="shared" ca="1" si="25"/>
        <v>1.8970490348346969E-2</v>
      </c>
      <c r="X122" s="4">
        <f t="shared" ca="1" si="26"/>
        <v>1.8495166036149646E-2</v>
      </c>
      <c r="Y122" s="4">
        <f t="shared" ca="1" si="27"/>
        <v>2.5511066058455878E-2</v>
      </c>
      <c r="Z122" s="4">
        <f t="shared" ca="1" si="28"/>
        <v>5.2179962894248533E-2</v>
      </c>
      <c r="AA122" s="4">
        <f t="shared" ca="1" si="29"/>
        <v>5.2343564120864716E-3</v>
      </c>
      <c r="AB122" s="4">
        <f t="shared" ca="1" si="33"/>
        <v>2.331482950039665E-2</v>
      </c>
      <c r="AC122" s="4">
        <f t="shared" ca="1" si="34"/>
        <v>4.3046357615894149E-2</v>
      </c>
      <c r="AD122" s="4"/>
      <c r="AE122" s="2" cm="1">
        <f t="array" aca="1" ref="AE122" ca="1">SUMPRODUCT(Q122:AB122,TRANSPOSE(Insights.!$H$4:$H$15))</f>
        <v>2.0217906332553739E-2</v>
      </c>
      <c r="AG122" s="10" vm="1924">
        <f ca="1"/>
        <v>45831</v>
      </c>
      <c r="AH122" s="1" vm="1938">
        <f ca="1"/>
        <v>98.197999999999993</v>
      </c>
      <c r="AI122" s="2">
        <f t="shared" ca="1" si="30"/>
        <v>9.7354324935334802E-3</v>
      </c>
      <c r="AJ122" s="1" vm="1939">
        <f ca="1"/>
        <v>98.635000000000005</v>
      </c>
      <c r="AK122" s="2">
        <f t="shared" ca="1" si="35"/>
        <v>9.327317889187503E-3</v>
      </c>
      <c r="AL122" s="1" vm="1427">
        <f ca="1"/>
        <v>53.21</v>
      </c>
      <c r="AM122" s="2">
        <f t="shared" ca="1" si="36"/>
        <v>1.5222702499530172E-2</v>
      </c>
      <c r="AO122" s="9">
        <f t="shared" ca="1" si="37"/>
        <v>97.52719171036351</v>
      </c>
      <c r="AP122">
        <f t="shared" ca="1" si="38"/>
        <v>91.058976261127555</v>
      </c>
      <c r="AQ122">
        <f t="shared" ca="1" si="39"/>
        <v>93.670465337132129</v>
      </c>
      <c r="AR122">
        <f t="shared" ca="1" si="40"/>
        <v>108.4922010398614</v>
      </c>
      <c r="AT122" s="21">
        <f ca="1">MAX($AO$3:AO123)</f>
        <v>106.96839029133979</v>
      </c>
      <c r="AU122" s="2">
        <f t="shared" ca="1" si="41"/>
        <v>-8.8261574800388876E-2</v>
      </c>
    </row>
    <row r="123" spans="1:47" x14ac:dyDescent="0.25">
      <c r="A123" vm="1940">
        <f ca="1"/>
        <v>45832</v>
      </c>
      <c r="B123" vm="137">
        <f ca="1"/>
        <v>127.22</v>
      </c>
      <c r="C123" vm="1941">
        <f ca="1"/>
        <v>189</v>
      </c>
      <c r="D123" vm="1942">
        <f ca="1"/>
        <v>303.5</v>
      </c>
      <c r="E123" vm="1487">
        <f ca="1"/>
        <v>234.95</v>
      </c>
      <c r="F123" vm="1943">
        <f ca="1"/>
        <v>183.7</v>
      </c>
      <c r="G123" vm="1944">
        <f ca="1"/>
        <v>160.44999999999999</v>
      </c>
      <c r="H123" vm="1945">
        <f ca="1"/>
        <v>422.5</v>
      </c>
      <c r="I123" vm="1946">
        <f ca="1"/>
        <v>137.97999999999999</v>
      </c>
      <c r="J123" vm="1947">
        <f ca="1"/>
        <v>450.1</v>
      </c>
      <c r="K123" vm="1948">
        <f ca="1"/>
        <v>43.8</v>
      </c>
      <c r="L123" vm="455">
        <f ca="1"/>
        <v>226.85</v>
      </c>
      <c r="M123" vm="1949">
        <f ca="1"/>
        <v>242.3</v>
      </c>
      <c r="N123" vm="1950">
        <f ca="1"/>
        <v>20.9</v>
      </c>
      <c r="O123" vm="1951">
        <f ca="1"/>
        <v>645.20000000000005</v>
      </c>
      <c r="Q123" s="4">
        <f t="shared" ca="1" si="21"/>
        <v>-5.7416267942582699E-3</v>
      </c>
      <c r="R123" s="4">
        <f t="shared" ca="1" si="22"/>
        <v>-7.6612045115981298E-3</v>
      </c>
      <c r="S123" s="4">
        <f t="shared" ca="1" si="23"/>
        <v>1.1218448114677537E-2</v>
      </c>
      <c r="T123" s="4">
        <f t="shared" ca="1" si="31"/>
        <v>-1.000144948543269E-2</v>
      </c>
      <c r="U123" s="4">
        <f t="shared" ca="1" si="32"/>
        <v>-4.332370584314682E-3</v>
      </c>
      <c r="V123" s="4">
        <f t="shared" ca="1" si="24"/>
        <v>3.9930828486087089E-2</v>
      </c>
      <c r="W123" s="4">
        <f t="shared" ca="1" si="25"/>
        <v>-1.19760479041916E-2</v>
      </c>
      <c r="X123" s="4">
        <f t="shared" ca="1" si="26"/>
        <v>4.1271151465125389E-3</v>
      </c>
      <c r="Y123" s="4">
        <f t="shared" ca="1" si="27"/>
        <v>-5.9308072487644914E-3</v>
      </c>
      <c r="Z123" s="4">
        <f t="shared" ca="1" si="28"/>
        <v>3.3061494379544865E-3</v>
      </c>
      <c r="AA123" s="4">
        <f t="shared" ca="1" si="29"/>
        <v>-4.7337278106507341E-4</v>
      </c>
      <c r="AB123" s="4">
        <f t="shared" ca="1" si="33"/>
        <v>-6.6646001239926145E-3</v>
      </c>
      <c r="AC123" s="4">
        <f t="shared" ca="1" si="34"/>
        <v>1.4814814814814836E-2</v>
      </c>
      <c r="AD123" s="4"/>
      <c r="AE123" s="2" cm="1">
        <f t="array" aca="1" ref="AE123" ca="1">SUMPRODUCT(Q123:AB123,TRANSPOSE(Insights.!$H$4:$H$15))</f>
        <v>-3.2248052216923362E-4</v>
      </c>
      <c r="AG123" s="10" vm="1940">
        <f ca="1"/>
        <v>45832</v>
      </c>
      <c r="AH123" s="1" vm="1952">
        <f ca="1"/>
        <v>99.153999999999996</v>
      </c>
      <c r="AI123" s="2">
        <f t="shared" ca="1" si="30"/>
        <v>1.6136514916187394E-4</v>
      </c>
      <c r="AJ123" s="1" vm="1953">
        <f ca="1"/>
        <v>99.555000000000007</v>
      </c>
      <c r="AK123" s="2">
        <f t="shared" ca="1" si="35"/>
        <v>-1.0044698910151029E-3</v>
      </c>
      <c r="AL123" s="1" vm="1954">
        <f ca="1"/>
        <v>54.02</v>
      </c>
      <c r="AM123" s="2">
        <f t="shared" ca="1" si="36"/>
        <v>-1.0736764161421775E-2</v>
      </c>
      <c r="AO123" s="9">
        <f t="shared" ca="1" si="37"/>
        <v>99.498987337240663</v>
      </c>
      <c r="AP123">
        <f t="shared" ca="1" si="38"/>
        <v>91.945474777448027</v>
      </c>
      <c r="AQ123">
        <f t="shared" ca="1" si="39"/>
        <v>94.544159544159683</v>
      </c>
      <c r="AR123">
        <f t="shared" ca="1" si="40"/>
        <v>110.14374553981042</v>
      </c>
      <c r="AT123" s="21">
        <f ca="1">MAX($AO$3:AO124)</f>
        <v>106.96839029133979</v>
      </c>
      <c r="AU123" s="2">
        <f t="shared" ca="1" si="41"/>
        <v>-6.982813271991295E-2</v>
      </c>
    </row>
    <row r="124" spans="1:47" x14ac:dyDescent="0.25">
      <c r="A124" vm="1955">
        <f ca="1"/>
        <v>45833</v>
      </c>
      <c r="B124" vm="519">
        <f ca="1"/>
        <v>132.30000000000001</v>
      </c>
      <c r="C124" vm="1956">
        <f ca="1"/>
        <v>191.8</v>
      </c>
      <c r="D124" vm="1957">
        <f ca="1"/>
        <v>301.7</v>
      </c>
      <c r="E124" vm="47">
        <f ca="1"/>
        <v>233.15</v>
      </c>
      <c r="F124" vm="272">
        <f ca="1"/>
        <v>181.5</v>
      </c>
      <c r="G124" vm="1958">
        <f ca="1"/>
        <v>162.25</v>
      </c>
      <c r="H124" vm="1959">
        <f ca="1"/>
        <v>422.3</v>
      </c>
      <c r="I124" vm="1960">
        <f ca="1"/>
        <v>136.6</v>
      </c>
      <c r="J124" vm="908">
        <f ca="1"/>
        <v>448.15</v>
      </c>
      <c r="K124" vm="1961">
        <f ca="1"/>
        <v>43.2</v>
      </c>
      <c r="L124" vm="1962">
        <f ca="1"/>
        <v>227.6</v>
      </c>
      <c r="M124" vm="1963">
        <f ca="1"/>
        <v>243.3</v>
      </c>
      <c r="N124" vm="1964">
        <f ca="1"/>
        <v>20.78</v>
      </c>
      <c r="O124" vm="1965">
        <f ca="1"/>
        <v>640.9</v>
      </c>
      <c r="Q124" s="4">
        <f t="shared" ca="1" si="21"/>
        <v>2.117420596727615E-2</v>
      </c>
      <c r="R124" s="4">
        <f t="shared" ca="1" si="22"/>
        <v>-1.0508256487240075E-2</v>
      </c>
      <c r="S124" s="4">
        <f t="shared" ca="1" si="23"/>
        <v>-1.848998459167972E-3</v>
      </c>
      <c r="T124" s="4">
        <f t="shared" ca="1" si="31"/>
        <v>-1.4641288433382194E-2</v>
      </c>
      <c r="U124" s="4">
        <f t="shared" ca="1" si="32"/>
        <v>-1.1826397411580869E-2</v>
      </c>
      <c r="V124" s="4">
        <f t="shared" ca="1" si="24"/>
        <v>3.1746031746031633E-3</v>
      </c>
      <c r="W124" s="4">
        <f t="shared" ca="1" si="25"/>
        <v>2.0826446280991728E-2</v>
      </c>
      <c r="X124" s="4">
        <f t="shared" ca="1" si="26"/>
        <v>1.4591039868474986E-2</v>
      </c>
      <c r="Y124" s="4">
        <f t="shared" ca="1" si="27"/>
        <v>-2.4527676499834228E-2</v>
      </c>
      <c r="Z124" s="4">
        <f t="shared" ca="1" si="28"/>
        <v>3.0755711775045658E-3</v>
      </c>
      <c r="AA124" s="4">
        <f t="shared" ca="1" si="29"/>
        <v>5.0911674165283749E-3</v>
      </c>
      <c r="AB124" s="4">
        <f t="shared" ca="1" si="33"/>
        <v>2.1532220315181982E-2</v>
      </c>
      <c r="AC124" s="4">
        <f t="shared" ca="1" si="34"/>
        <v>2.085505735140547E-3</v>
      </c>
      <c r="AD124" s="4"/>
      <c r="AE124" s="2" cm="1">
        <f t="array" aca="1" ref="AE124" ca="1">SUMPRODUCT(Q124:AB124,TRANSPOSE(Insights.!$H$4:$H$15))</f>
        <v>1.7118849850299689E-3</v>
      </c>
      <c r="AG124" s="10" vm="1955">
        <f ca="1"/>
        <v>45833</v>
      </c>
      <c r="AH124" s="1" vm="785">
        <f ca="1"/>
        <v>99.17</v>
      </c>
      <c r="AI124" s="2">
        <f t="shared" ca="1" si="30"/>
        <v>-8.6719774125243454E-4</v>
      </c>
      <c r="AJ124" s="1" vm="1966">
        <f ca="1"/>
        <v>99.454999999999998</v>
      </c>
      <c r="AK124" s="2">
        <f t="shared" ca="1" si="35"/>
        <v>7.038359056861232E-4</v>
      </c>
      <c r="AL124" s="1" vm="1967">
        <f ca="1"/>
        <v>53.44</v>
      </c>
      <c r="AM124" s="2">
        <f t="shared" ca="1" si="36"/>
        <v>5.6137724550908707E-4</v>
      </c>
      <c r="AO124" s="9">
        <f t="shared" ca="1" si="37"/>
        <v>99.466900851848848</v>
      </c>
      <c r="AP124">
        <f t="shared" ca="1" si="38"/>
        <v>91.960311572700249</v>
      </c>
      <c r="AQ124">
        <f t="shared" ca="1" si="39"/>
        <v>94.449192782526254</v>
      </c>
      <c r="AR124">
        <f t="shared" ca="1" si="40"/>
        <v>108.96115812009383</v>
      </c>
      <c r="AT124" s="21">
        <f ca="1">MAX($AO$3:AO125)</f>
        <v>106.96839029133979</v>
      </c>
      <c r="AU124" s="2">
        <f t="shared" ca="1" si="41"/>
        <v>-7.0128095029380555E-2</v>
      </c>
    </row>
    <row r="125" spans="1:47" x14ac:dyDescent="0.25">
      <c r="A125" vm="1968">
        <f ca="1"/>
        <v>45834</v>
      </c>
      <c r="B125" vm="1969">
        <f ca="1"/>
        <v>132.72</v>
      </c>
      <c r="C125" vm="1970">
        <f ca="1"/>
        <v>192.2</v>
      </c>
      <c r="D125" vm="1971">
        <f ca="1"/>
        <v>294.3</v>
      </c>
      <c r="E125" vm="210">
        <f ca="1"/>
        <v>230.7</v>
      </c>
      <c r="F125" vm="1972">
        <f ca="1"/>
        <v>185.28</v>
      </c>
      <c r="G125" vm="1973">
        <f ca="1"/>
        <v>161.94999999999999</v>
      </c>
      <c r="H125" vm="1974">
        <f ca="1"/>
        <v>424.45</v>
      </c>
      <c r="I125" vm="1099">
        <f ca="1"/>
        <v>134.6</v>
      </c>
      <c r="J125" vm="1975">
        <f ca="1"/>
        <v>442.85</v>
      </c>
      <c r="K125" vm="577">
        <f ca="1"/>
        <v>42.8</v>
      </c>
      <c r="L125" vm="1976">
        <f ca="1"/>
        <v>228.3</v>
      </c>
      <c r="M125" vm="1977">
        <f ca="1"/>
        <v>246.85</v>
      </c>
      <c r="N125" vm="1978">
        <f ca="1"/>
        <v>21.22</v>
      </c>
      <c r="O125" vm="1979">
        <f ca="1"/>
        <v>654.70000000000005</v>
      </c>
      <c r="Q125" s="4">
        <f t="shared" ca="1" si="21"/>
        <v>-7.3044297832233651E-2</v>
      </c>
      <c r="R125" s="4">
        <f t="shared" ca="1" si="22"/>
        <v>6.7186822713480865E-3</v>
      </c>
      <c r="S125" s="4">
        <f t="shared" ca="1" si="23"/>
        <v>4.2605742513121436E-2</v>
      </c>
      <c r="T125" s="4">
        <f t="shared" ca="1" si="31"/>
        <v>1.1589895988112886E-2</v>
      </c>
      <c r="U125" s="4">
        <f t="shared" ca="1" si="32"/>
        <v>2.0322908434007303E-3</v>
      </c>
      <c r="V125" s="4">
        <f t="shared" ca="1" si="24"/>
        <v>1.2808921036769005E-2</v>
      </c>
      <c r="W125" s="4">
        <f t="shared" ca="1" si="25"/>
        <v>2.5474956822107098E-2</v>
      </c>
      <c r="X125" s="4">
        <f t="shared" ca="1" si="26"/>
        <v>-8.5071906015798948E-3</v>
      </c>
      <c r="Y125" s="4">
        <f t="shared" ca="1" si="27"/>
        <v>1.1722731906218087E-2</v>
      </c>
      <c r="Z125" s="4">
        <f t="shared" ca="1" si="28"/>
        <v>1.4673674989049479E-2</v>
      </c>
      <c r="AA125" s="4">
        <f t="shared" ca="1" si="29"/>
        <v>-3.4161856520202871E-3</v>
      </c>
      <c r="AB125" s="4">
        <f t="shared" ca="1" si="33"/>
        <v>2.0772873071635667E-2</v>
      </c>
      <c r="AC125" s="4">
        <f t="shared" ca="1" si="34"/>
        <v>1.2486992715921019E-2</v>
      </c>
      <c r="AD125" s="4"/>
      <c r="AE125" s="2" cm="1">
        <f t="array" aca="1" ref="AE125" ca="1">SUMPRODUCT(Q125:AB125,TRANSPOSE(Insights.!$H$4:$H$15))</f>
        <v>4.0362143537792366E-3</v>
      </c>
      <c r="AG125" s="10" vm="1968">
        <f ca="1"/>
        <v>45834</v>
      </c>
      <c r="AH125" s="1" vm="1980">
        <f ca="1"/>
        <v>99.084000000000003</v>
      </c>
      <c r="AI125" s="2">
        <f t="shared" ca="1" si="30"/>
        <v>7.8519236203624665E-3</v>
      </c>
      <c r="AJ125" s="1" vm="1981">
        <f ca="1"/>
        <v>99.525000000000006</v>
      </c>
      <c r="AK125" s="2">
        <f t="shared" ca="1" si="35"/>
        <v>8.4400904295403034E-3</v>
      </c>
      <c r="AL125" s="1" vm="1982">
        <f ca="1"/>
        <v>53.47</v>
      </c>
      <c r="AM125" s="2">
        <f t="shared" ca="1" si="36"/>
        <v>1.5709743781559871E-2</v>
      </c>
      <c r="AO125" s="9">
        <f t="shared" ca="1" si="37"/>
        <v>99.637176745924592</v>
      </c>
      <c r="AP125">
        <f t="shared" ca="1" si="38"/>
        <v>91.880563798219526</v>
      </c>
      <c r="AQ125">
        <f t="shared" ca="1" si="39"/>
        <v>94.515669515669671</v>
      </c>
      <c r="AR125">
        <f t="shared" ca="1" si="40"/>
        <v>109.02232643490676</v>
      </c>
      <c r="AT125" s="21">
        <f ca="1">MAX($AO$3:AO126)</f>
        <v>106.96839029133979</v>
      </c>
      <c r="AU125" s="2">
        <f t="shared" ca="1" si="41"/>
        <v>-6.8536261277260091E-2</v>
      </c>
    </row>
    <row r="126" spans="1:47" x14ac:dyDescent="0.25">
      <c r="A126" vm="1983">
        <f ca="1"/>
        <v>45835</v>
      </c>
      <c r="B126" vm="1984">
        <f ca="1"/>
        <v>134.41999999999999</v>
      </c>
      <c r="C126" vm="3">
        <f ca="1"/>
        <v>194.6</v>
      </c>
      <c r="D126" vm="1217">
        <f ca="1"/>
        <v>297.75</v>
      </c>
      <c r="E126" vm="1985">
        <f ca="1"/>
        <v>232.25</v>
      </c>
      <c r="F126" vm="1776">
        <f ca="1"/>
        <v>190</v>
      </c>
      <c r="G126" vm="1986">
        <f ca="1"/>
        <v>168.85</v>
      </c>
      <c r="H126" vm="1987">
        <f ca="1"/>
        <v>423</v>
      </c>
      <c r="I126" vm="1988">
        <f ca="1"/>
        <v>136.16</v>
      </c>
      <c r="J126" vm="1989">
        <f ca="1"/>
        <v>443.75</v>
      </c>
      <c r="K126" vm="1990">
        <f ca="1"/>
        <v>44</v>
      </c>
      <c r="L126" vm="1680">
        <f ca="1"/>
        <v>231.65</v>
      </c>
      <c r="M126" vm="1991">
        <f ca="1"/>
        <v>244.75</v>
      </c>
      <c r="N126" vm="1992">
        <f ca="1"/>
        <v>19.670000000000002</v>
      </c>
      <c r="O126" vm="1993">
        <f ca="1"/>
        <v>668.3</v>
      </c>
      <c r="Q126" s="4">
        <f t="shared" ca="1" si="21"/>
        <v>1.3218098627351127E-2</v>
      </c>
      <c r="R126" s="4">
        <f t="shared" ca="1" si="22"/>
        <v>5.3821313240043356E-3</v>
      </c>
      <c r="S126" s="4">
        <f t="shared" ca="1" si="23"/>
        <v>-2.9908202546638951E-2</v>
      </c>
      <c r="T126" s="4">
        <f t="shared" ca="1" si="31"/>
        <v>-4.4065804935369268E-3</v>
      </c>
      <c r="U126" s="4">
        <f t="shared" ca="1" si="32"/>
        <v>-1.4647887323943065E-3</v>
      </c>
      <c r="V126" s="4">
        <f t="shared" ca="1" si="24"/>
        <v>-1.3390864454693174E-3</v>
      </c>
      <c r="W126" s="4">
        <f t="shared" ca="1" si="25"/>
        <v>-1.6631578947368442E-2</v>
      </c>
      <c r="X126" s="4">
        <f t="shared" ca="1" si="26"/>
        <v>1.0623084780388092E-2</v>
      </c>
      <c r="Y126" s="4">
        <f t="shared" ca="1" si="27"/>
        <v>1.2594458438287104E-2</v>
      </c>
      <c r="Z126" s="4">
        <f t="shared" ca="1" si="28"/>
        <v>1.4461472048348689E-2</v>
      </c>
      <c r="AA126" s="4">
        <f t="shared" ca="1" si="29"/>
        <v>2.3640661938533203E-3</v>
      </c>
      <c r="AB126" s="4">
        <f t="shared" ca="1" si="33"/>
        <v>-2.7981445458626242E-2</v>
      </c>
      <c r="AC126" s="4">
        <f t="shared" ca="1" si="34"/>
        <v>-1.0277492291880796E-2</v>
      </c>
      <c r="AD126" s="4"/>
      <c r="AE126" s="2" cm="1">
        <f t="array" aca="1" ref="AE126" ca="1">SUMPRODUCT(Q126:AB126,TRANSPOSE(Insights.!$H$4:$H$15))</f>
        <v>-5.0163626929187501E-4</v>
      </c>
      <c r="AG126" s="10" vm="1983">
        <f ca="1"/>
        <v>45835</v>
      </c>
      <c r="AH126" s="1" vm="1994">
        <f ca="1"/>
        <v>99.861999999999995</v>
      </c>
      <c r="AI126" s="2">
        <f t="shared" ca="1" si="30"/>
        <v>-3.104283911798178E-3</v>
      </c>
      <c r="AJ126" s="1" vm="1995">
        <f ca="1"/>
        <v>100.36499999999999</v>
      </c>
      <c r="AK126" s="2">
        <f t="shared" ca="1" si="35"/>
        <v>-2.191999202909356E-3</v>
      </c>
      <c r="AL126" s="1" vm="1996">
        <f ca="1"/>
        <v>54.31</v>
      </c>
      <c r="AM126" s="2">
        <f t="shared" ca="1" si="36"/>
        <v>-5.5238445958387672E-3</v>
      </c>
      <c r="AO126" s="9">
        <f t="shared" ca="1" si="37"/>
        <v>100.03933374887654</v>
      </c>
      <c r="AP126">
        <f t="shared" ca="1" si="38"/>
        <v>92.602002967358985</v>
      </c>
      <c r="AQ126">
        <f t="shared" ca="1" si="39"/>
        <v>95.313390313390471</v>
      </c>
      <c r="AR126">
        <f t="shared" ca="1" si="40"/>
        <v>110.73503924966873</v>
      </c>
      <c r="AT126" s="21">
        <f ca="1">MAX($AO$3:AO127)</f>
        <v>106.96839029133979</v>
      </c>
      <c r="AU126" s="2">
        <f t="shared" ca="1" si="41"/>
        <v>-6.4776673965002418E-2</v>
      </c>
    </row>
    <row r="127" spans="1:47" x14ac:dyDescent="0.25">
      <c r="A127" vm="1997">
        <f ca="1"/>
        <v>45838</v>
      </c>
      <c r="B127" vm="1998">
        <f ca="1"/>
        <v>134.24</v>
      </c>
      <c r="C127" vm="1999">
        <f ca="1"/>
        <v>192.6</v>
      </c>
      <c r="D127" vm="2000">
        <f ca="1"/>
        <v>301.5</v>
      </c>
      <c r="E127" vm="992">
        <f ca="1"/>
        <v>233.5</v>
      </c>
      <c r="F127" vm="2001">
        <f ca="1"/>
        <v>186.84</v>
      </c>
      <c r="G127" vm="2002">
        <f ca="1"/>
        <v>163.80000000000001</v>
      </c>
      <c r="H127" vm="1345">
        <f ca="1"/>
        <v>424</v>
      </c>
      <c r="I127" vm="2003">
        <f ca="1"/>
        <v>135.56</v>
      </c>
      <c r="J127" vm="2004">
        <f ca="1"/>
        <v>443.1</v>
      </c>
      <c r="K127" vm="1781">
        <f ca="1"/>
        <v>47.4</v>
      </c>
      <c r="L127" vm="2005">
        <f ca="1"/>
        <v>235</v>
      </c>
      <c r="M127" vm="2006">
        <f ca="1"/>
        <v>247.35</v>
      </c>
      <c r="N127" vm="2007">
        <f ca="1"/>
        <v>19.93</v>
      </c>
      <c r="O127" vm="2008">
        <f ca="1"/>
        <v>649.6</v>
      </c>
      <c r="Q127" s="4">
        <f t="shared" ca="1" si="21"/>
        <v>-6.5228299046662386E-3</v>
      </c>
      <c r="R127" s="4">
        <f t="shared" ca="1" si="22"/>
        <v>-8.9935760171305779E-3</v>
      </c>
      <c r="S127" s="4">
        <f t="shared" ca="1" si="23"/>
        <v>-5.4945054945054972E-2</v>
      </c>
      <c r="T127" s="4">
        <f t="shared" ca="1" si="31"/>
        <v>9.8849218058425503E-3</v>
      </c>
      <c r="U127" s="4">
        <f t="shared" ca="1" si="32"/>
        <v>5.6420672534418514E-4</v>
      </c>
      <c r="V127" s="4">
        <f t="shared" ca="1" si="24"/>
        <v>-2.9499404052443445E-2</v>
      </c>
      <c r="W127" s="4">
        <f t="shared" ca="1" si="25"/>
        <v>3.5324341682723137E-3</v>
      </c>
      <c r="X127" s="4">
        <f t="shared" ca="1" si="26"/>
        <v>-4.851425106124907E-3</v>
      </c>
      <c r="Y127" s="4">
        <f t="shared" ca="1" si="27"/>
        <v>1.4925373134329067E-3</v>
      </c>
      <c r="Z127" s="4">
        <f t="shared" ca="1" si="28"/>
        <v>-3.7021276595744612E-2</v>
      </c>
      <c r="AA127" s="4">
        <f t="shared" ca="1" si="29"/>
        <v>-1.5330188679245293E-2</v>
      </c>
      <c r="AB127" s="4">
        <f t="shared" ca="1" si="33"/>
        <v>-4.7567733990147798E-2</v>
      </c>
      <c r="AC127" s="4">
        <f t="shared" ca="1" si="34"/>
        <v>-1.1422637590861817E-2</v>
      </c>
      <c r="AD127" s="4"/>
      <c r="AE127" s="2" cm="1">
        <f t="array" aca="1" ref="AE127" ca="1">SUMPRODUCT(Q127:AB127,TRANSPOSE(Insights.!$H$4:$H$15))</f>
        <v>-1.4134462383098971E-2</v>
      </c>
      <c r="AG127" s="10" vm="1997">
        <f ca="1"/>
        <v>45838</v>
      </c>
      <c r="AH127" s="1" vm="2009">
        <f ca="1"/>
        <v>99.552000000000007</v>
      </c>
      <c r="AI127" s="2">
        <f t="shared" ca="1" si="30"/>
        <v>2.1094503375120865E-3</v>
      </c>
      <c r="AJ127" s="1" vm="1757">
        <f ca="1"/>
        <v>100.145</v>
      </c>
      <c r="AK127" s="2">
        <f t="shared" ca="1" si="35"/>
        <v>-1.4978281491836443E-3</v>
      </c>
      <c r="AL127" s="1" vm="1457">
        <f ca="1"/>
        <v>54.01</v>
      </c>
      <c r="AM127" s="2">
        <f t="shared" ca="1" si="36"/>
        <v>-2.777263469727842E-3</v>
      </c>
      <c r="AO127" s="9">
        <f t="shared" ca="1" si="37"/>
        <v>99.989150390712311</v>
      </c>
      <c r="AP127">
        <f t="shared" ca="1" si="38"/>
        <v>92.314540059347124</v>
      </c>
      <c r="AQ127">
        <f t="shared" ca="1" si="39"/>
        <v>95.104463437796937</v>
      </c>
      <c r="AR127">
        <f t="shared" ca="1" si="40"/>
        <v>110.12335610153946</v>
      </c>
      <c r="AT127" s="21">
        <f ca="1">MAX($AO$3:AO128)</f>
        <v>106.96839029133979</v>
      </c>
      <c r="AU127" s="2">
        <f t="shared" ca="1" si="41"/>
        <v>-6.5245815905229376E-2</v>
      </c>
    </row>
    <row r="128" spans="1:47" x14ac:dyDescent="0.25">
      <c r="A128" vm="2010">
        <f ca="1"/>
        <v>45839</v>
      </c>
      <c r="B128" vm="2011">
        <f ca="1"/>
        <v>130.28</v>
      </c>
      <c r="C128" vm="2012">
        <f ca="1"/>
        <v>190.4</v>
      </c>
      <c r="D128" vm="2013">
        <f ca="1"/>
        <v>301.95</v>
      </c>
      <c r="E128" vm="1720">
        <f ca="1"/>
        <v>231.4</v>
      </c>
      <c r="F128" vm="2014">
        <f ca="1"/>
        <v>187.5</v>
      </c>
      <c r="G128" vm="2015">
        <f ca="1"/>
        <v>154.80000000000001</v>
      </c>
      <c r="H128" vm="2016">
        <f ca="1"/>
        <v>417.5</v>
      </c>
      <c r="I128" vm="2017">
        <f ca="1"/>
        <v>136.9</v>
      </c>
      <c r="J128" vm="2018">
        <f ca="1"/>
        <v>443.35</v>
      </c>
      <c r="K128" vm="2019">
        <f ca="1"/>
        <v>44.4</v>
      </c>
      <c r="L128" vm="1914">
        <f ca="1"/>
        <v>226.3</v>
      </c>
      <c r="M128" vm="2020">
        <f ca="1"/>
        <v>246.15</v>
      </c>
      <c r="N128" vm="912">
        <f ca="1"/>
        <v>19.8</v>
      </c>
      <c r="O128" vm="2021">
        <f ca="1"/>
        <v>618.70000000000005</v>
      </c>
      <c r="Q128" s="4">
        <f t="shared" ca="1" si="21"/>
        <v>1.8181818181818077E-2</v>
      </c>
      <c r="R128" s="4">
        <f t="shared" ca="1" si="22"/>
        <v>-2.074330164217808E-2</v>
      </c>
      <c r="S128" s="4">
        <f t="shared" ca="1" si="23"/>
        <v>1.3565891472868241E-2</v>
      </c>
      <c r="T128" s="4">
        <f t="shared" ca="1" si="31"/>
        <v>-2.7757487216946153E-3</v>
      </c>
      <c r="U128" s="4">
        <f t="shared" ca="1" si="32"/>
        <v>1.0037216645990776E-2</v>
      </c>
      <c r="V128" s="4">
        <f t="shared" ca="1" si="24"/>
        <v>2.1799201719373773E-2</v>
      </c>
      <c r="W128" s="4">
        <f t="shared" ca="1" si="25"/>
        <v>-4.1600000000000525E-3</v>
      </c>
      <c r="X128" s="4">
        <f t="shared" ca="1" si="26"/>
        <v>4.4688198253097777E-3</v>
      </c>
      <c r="Y128" s="4">
        <f t="shared" ca="1" si="27"/>
        <v>-8.1139261467130241E-3</v>
      </c>
      <c r="Z128" s="4">
        <f t="shared" ca="1" si="28"/>
        <v>8.3959346000883617E-3</v>
      </c>
      <c r="AA128" s="4">
        <f t="shared" ca="1" si="29"/>
        <v>-1.1976047904191933E-3</v>
      </c>
      <c r="AB128" s="4">
        <f t="shared" ca="1" si="33"/>
        <v>-1.4546630030709551E-2</v>
      </c>
      <c r="AC128" s="4">
        <f t="shared" ca="1" si="34"/>
        <v>3.8865546218487479E-2</v>
      </c>
      <c r="AD128" s="4"/>
      <c r="AE128" s="2" cm="1">
        <f t="array" aca="1" ref="AE128" ca="1">SUMPRODUCT(Q128:AB128,TRANSPOSE(Insights.!$H$4:$H$15))</f>
        <v>8.918910115045238E-4</v>
      </c>
      <c r="AG128" s="10" vm="2010">
        <f ca="1"/>
        <v>45839</v>
      </c>
      <c r="AH128" s="1" vm="2022">
        <f ca="1"/>
        <v>99.762</v>
      </c>
      <c r="AI128" s="2">
        <f t="shared" ca="1" si="30"/>
        <v>1.0625288185881487E-3</v>
      </c>
      <c r="AJ128" s="1" vm="2023">
        <f ca="1"/>
        <v>99.995000000000005</v>
      </c>
      <c r="AK128" s="2">
        <f t="shared" ca="1" si="35"/>
        <v>2.050102505125162E-3</v>
      </c>
      <c r="AL128" s="1" vm="820">
        <f ca="1"/>
        <v>53.86</v>
      </c>
      <c r="AM128" s="2">
        <f t="shared" ca="1" si="36"/>
        <v>5.1986632008911293E-3</v>
      </c>
      <c r="AO128" s="9">
        <f t="shared" ca="1" si="37"/>
        <v>98.575857505796762</v>
      </c>
      <c r="AP128">
        <f t="shared" ca="1" si="38"/>
        <v>92.509272997032582</v>
      </c>
      <c r="AQ128">
        <f t="shared" ca="1" si="39"/>
        <v>94.962013295346793</v>
      </c>
      <c r="AR128">
        <f t="shared" ca="1" si="40"/>
        <v>109.81751452747483</v>
      </c>
      <c r="AT128" s="21">
        <f ca="1">MAX($AO$3:AO129)</f>
        <v>106.96839029133979</v>
      </c>
      <c r="AU128" s="2">
        <f t="shared" ca="1" si="41"/>
        <v>-7.8458063757761209E-2</v>
      </c>
    </row>
    <row r="129" spans="1:47" x14ac:dyDescent="0.25">
      <c r="A129" vm="2024">
        <f ca="1"/>
        <v>45840</v>
      </c>
      <c r="B129" vm="2025">
        <f ca="1"/>
        <v>133.12</v>
      </c>
      <c r="C129" vm="2026">
        <f ca="1"/>
        <v>197.8</v>
      </c>
      <c r="D129" vm="2027">
        <f ca="1"/>
        <v>299.5</v>
      </c>
      <c r="E129" vm="2028">
        <f ca="1"/>
        <v>226.6</v>
      </c>
      <c r="F129" vm="2029">
        <f ca="1"/>
        <v>186.72</v>
      </c>
      <c r="G129" vm="2030">
        <f ca="1"/>
        <v>156.9</v>
      </c>
      <c r="H129" vm="2031">
        <f ca="1"/>
        <v>417</v>
      </c>
      <c r="I129" vm="2032">
        <f ca="1"/>
        <v>136.52000000000001</v>
      </c>
      <c r="J129" vm="2033">
        <f ca="1"/>
        <v>447.8</v>
      </c>
      <c r="K129" vm="1766">
        <f ca="1"/>
        <v>42.2</v>
      </c>
      <c r="L129" vm="2034">
        <f ca="1"/>
        <v>228.2</v>
      </c>
      <c r="M129" vm="2035">
        <f ca="1"/>
        <v>247.25</v>
      </c>
      <c r="N129" vm="2036">
        <f ca="1"/>
        <v>20.16</v>
      </c>
      <c r="O129" vm="2037">
        <f ca="1"/>
        <v>609.70000000000005</v>
      </c>
      <c r="Q129" s="4">
        <f t="shared" ca="1" si="21"/>
        <v>5.4563492063490759E-3</v>
      </c>
      <c r="R129" s="4">
        <f t="shared" ca="1" si="22"/>
        <v>2.4051191526919702E-2</v>
      </c>
      <c r="S129" s="4">
        <f t="shared" ca="1" si="23"/>
        <v>3.7922243467176431E-2</v>
      </c>
      <c r="T129" s="4">
        <f t="shared" ca="1" si="31"/>
        <v>3.2229709932609651E-3</v>
      </c>
      <c r="U129" s="4">
        <f t="shared" ca="1" si="32"/>
        <v>2.6797677534613484E-3</v>
      </c>
      <c r="V129" s="4">
        <f t="shared" ca="1" si="24"/>
        <v>1.8028846153846256E-2</v>
      </c>
      <c r="W129" s="4">
        <f t="shared" ca="1" si="25"/>
        <v>1.799485861182526E-2</v>
      </c>
      <c r="X129" s="4">
        <f t="shared" ca="1" si="26"/>
        <v>1.6784630940343881E-2</v>
      </c>
      <c r="Y129" s="4">
        <f t="shared" ca="1" si="27"/>
        <v>1.6527545909849728E-2</v>
      </c>
      <c r="Z129" s="4">
        <f t="shared" ca="1" si="28"/>
        <v>2.4320771253286688E-2</v>
      </c>
      <c r="AA129" s="4">
        <f t="shared" ca="1" si="29"/>
        <v>1.6786570743405171E-2</v>
      </c>
      <c r="AB129" s="4">
        <f t="shared" ca="1" si="33"/>
        <v>7.0526488436934986E-3</v>
      </c>
      <c r="AC129" s="4">
        <f t="shared" ca="1" si="34"/>
        <v>1.8705763397371067E-2</v>
      </c>
      <c r="AD129" s="4"/>
      <c r="AE129" s="2" cm="1">
        <f t="array" aca="1" ref="AE129" ca="1">SUMPRODUCT(Q129:AB129,TRANSPOSE(Insights.!$H$4:$H$15))</f>
        <v>1.4801120636739332E-2</v>
      </c>
      <c r="AG129" s="10" vm="2024">
        <f ca="1"/>
        <v>45840</v>
      </c>
      <c r="AH129" s="1" vm="2038">
        <f ca="1"/>
        <v>99.867999999999995</v>
      </c>
      <c r="AI129" s="2">
        <f t="shared" ca="1" si="30"/>
        <v>1.2035887371330212E-2</v>
      </c>
      <c r="AJ129" s="1" vm="2039">
        <f ca="1"/>
        <v>100.2</v>
      </c>
      <c r="AK129" s="2">
        <f t="shared" ca="1" si="35"/>
        <v>1.0479041916167553E-2</v>
      </c>
      <c r="AL129" s="1" vm="2040">
        <f ca="1"/>
        <v>54.14</v>
      </c>
      <c r="AM129" s="2">
        <f t="shared" ca="1" si="36"/>
        <v>3.6941263391208068E-3</v>
      </c>
      <c r="AO129" s="9">
        <f t="shared" ca="1" si="37"/>
        <v>98.663776427057542</v>
      </c>
      <c r="AP129">
        <f t="shared" ca="1" si="38"/>
        <v>92.607566765578568</v>
      </c>
      <c r="AQ129">
        <f t="shared" ca="1" si="39"/>
        <v>95.156695156695307</v>
      </c>
      <c r="AR129">
        <f t="shared" ca="1" si="40"/>
        <v>110.38841879906214</v>
      </c>
      <c r="AT129" s="21">
        <f ca="1">MAX($AO$3:AO130)</f>
        <v>106.96839029133979</v>
      </c>
      <c r="AU129" s="2">
        <f t="shared" ca="1" si="41"/>
        <v>-7.7636148788102211E-2</v>
      </c>
    </row>
    <row r="130" spans="1:47" x14ac:dyDescent="0.25">
      <c r="A130" vm="2041">
        <f ca="1"/>
        <v>45841</v>
      </c>
      <c r="B130" vm="2042">
        <f ca="1"/>
        <v>135.52000000000001</v>
      </c>
      <c r="C130" vm="419">
        <f ca="1"/>
        <v>201.5</v>
      </c>
      <c r="D130" vm="2043">
        <f ca="1"/>
        <v>304.45</v>
      </c>
      <c r="E130" vm="2044">
        <f ca="1"/>
        <v>232.05</v>
      </c>
      <c r="F130" vm="2045">
        <f ca="1"/>
        <v>190.08</v>
      </c>
      <c r="G130" vm="2046">
        <f ca="1"/>
        <v>162.85</v>
      </c>
      <c r="H130" vm="1345">
        <f ca="1"/>
        <v>424</v>
      </c>
      <c r="I130" vm="2047">
        <f ca="1"/>
        <v>136.96</v>
      </c>
      <c r="J130" vm="2048">
        <f ca="1"/>
        <v>449</v>
      </c>
      <c r="K130" vm="1961">
        <f ca="1"/>
        <v>43.2</v>
      </c>
      <c r="L130" vm="2049">
        <f ca="1"/>
        <v>233.75</v>
      </c>
      <c r="M130" vm="2050">
        <f ca="1"/>
        <v>251.4</v>
      </c>
      <c r="N130" vm="2051">
        <f ca="1"/>
        <v>20.27</v>
      </c>
      <c r="O130" vm="2052">
        <f ca="1"/>
        <v>614</v>
      </c>
      <c r="Q130" s="4">
        <f t="shared" ca="1" si="21"/>
        <v>8.8801184015787626E-3</v>
      </c>
      <c r="R130" s="4">
        <f t="shared" ca="1" si="22"/>
        <v>-3.663003663003761E-3</v>
      </c>
      <c r="S130" s="4">
        <f t="shared" ca="1" si="23"/>
        <v>-5.219527172244387E-3</v>
      </c>
      <c r="T130" s="4">
        <f t="shared" ca="1" si="31"/>
        <v>-2.1904205607476968E-3</v>
      </c>
      <c r="U130" s="4">
        <f t="shared" ca="1" si="32"/>
        <v>4.3429844097995218E-3</v>
      </c>
      <c r="V130" s="4">
        <f t="shared" ca="1" si="24"/>
        <v>-1.0478158205431076E-2</v>
      </c>
      <c r="W130" s="4">
        <f t="shared" ca="1" si="25"/>
        <v>-9.1540404040404422E-3</v>
      </c>
      <c r="X130" s="4">
        <f t="shared" ca="1" si="26"/>
        <v>-5.5688146380270531E-3</v>
      </c>
      <c r="Y130" s="4">
        <f t="shared" ca="1" si="27"/>
        <v>-9.1969124651010148E-3</v>
      </c>
      <c r="Z130" s="4">
        <f t="shared" ca="1" si="28"/>
        <v>-5.9893048128342175E-3</v>
      </c>
      <c r="AA130" s="4">
        <f t="shared" ca="1" si="29"/>
        <v>-4.1273584905660021E-3</v>
      </c>
      <c r="AB130" s="4">
        <f t="shared" ca="1" si="33"/>
        <v>2.7687296416938345E-3</v>
      </c>
      <c r="AC130" s="4">
        <f t="shared" ca="1" si="34"/>
        <v>-1.6377171215881003E-2</v>
      </c>
      <c r="AD130" s="4"/>
      <c r="AE130" s="2" cm="1">
        <f t="array" aca="1" ref="AE130" ca="1">SUMPRODUCT(Q130:AB130,TRANSPOSE(Insights.!$H$4:$H$15))</f>
        <v>-2.7855730720731261E-3</v>
      </c>
      <c r="AG130" s="10" vm="2041">
        <f ca="1"/>
        <v>45841</v>
      </c>
      <c r="AH130" s="1" vm="2053">
        <f ca="1"/>
        <v>101.07</v>
      </c>
      <c r="AI130" s="2">
        <f t="shared" ca="1" si="30"/>
        <v>-7.3711289205500297E-3</v>
      </c>
      <c r="AJ130" s="1" vm="2054">
        <f ca="1"/>
        <v>101.25</v>
      </c>
      <c r="AK130" s="2">
        <f t="shared" ca="1" si="35"/>
        <v>-6.9135802469135754E-3</v>
      </c>
      <c r="AL130" s="1" vm="966">
        <f ca="1"/>
        <v>54.34</v>
      </c>
      <c r="AM130" s="2">
        <f t="shared" ca="1" si="36"/>
        <v>-1.1225616488774515E-2</v>
      </c>
      <c r="AO130" s="9">
        <f t="shared" ca="1" si="37"/>
        <v>100.12411088443069</v>
      </c>
      <c r="AP130">
        <f t="shared" ca="1" si="38"/>
        <v>93.722181008902012</v>
      </c>
      <c r="AQ130">
        <f t="shared" ca="1" si="39"/>
        <v>96.153846153846288</v>
      </c>
      <c r="AR130">
        <f t="shared" ca="1" si="40"/>
        <v>110.79620756448165</v>
      </c>
      <c r="AT130" s="21">
        <f ca="1">MAX($AO$3:AO131)</f>
        <v>106.96839029133979</v>
      </c>
      <c r="AU130" s="2">
        <f t="shared" ca="1" si="41"/>
        <v>-6.3984130155347541E-2</v>
      </c>
    </row>
    <row r="131" spans="1:47" x14ac:dyDescent="0.25">
      <c r="A131" vm="2055">
        <f ca="1"/>
        <v>45842</v>
      </c>
      <c r="B131" vm="2056">
        <f ca="1"/>
        <v>134.1</v>
      </c>
      <c r="C131" vm="2057">
        <f ca="1"/>
        <v>198.2</v>
      </c>
      <c r="D131" vm="2058">
        <f ca="1"/>
        <v>301.64999999999998</v>
      </c>
      <c r="E131" vm="1831">
        <f ca="1"/>
        <v>231.2</v>
      </c>
      <c r="F131" vm="2059">
        <f ca="1"/>
        <v>188.34</v>
      </c>
      <c r="G131" vm="108">
        <f ca="1"/>
        <v>162</v>
      </c>
      <c r="H131" vm="2060">
        <f ca="1"/>
        <v>422.25</v>
      </c>
      <c r="I131" vm="2061">
        <f ca="1"/>
        <v>136.66</v>
      </c>
      <c r="J131" vm="2062">
        <f ca="1"/>
        <v>450.95</v>
      </c>
      <c r="K131" vm="2063">
        <f ca="1"/>
        <v>41</v>
      </c>
      <c r="L131" vm="2064">
        <f ca="1"/>
        <v>232.35</v>
      </c>
      <c r="M131" vm="2065">
        <f ca="1"/>
        <v>250</v>
      </c>
      <c r="N131" vm="2066">
        <f ca="1"/>
        <v>20.45</v>
      </c>
      <c r="O131" vm="2067">
        <f ca="1"/>
        <v>615.70000000000005</v>
      </c>
      <c r="Q131" s="4">
        <f t="shared" ref="Q131:Q194" ca="1" si="42">N132/N131-1</f>
        <v>-9.7799511002444328E-3</v>
      </c>
      <c r="R131" s="4">
        <f t="shared" ref="R131:R194" ca="1" si="43">E132/E131-1</f>
        <v>-8.6505190311414459E-4</v>
      </c>
      <c r="S131" s="4">
        <f t="shared" ref="S131:S194" ca="1" si="44">G132/G131-1</f>
        <v>1.2345679012345734E-2</v>
      </c>
      <c r="T131" s="4">
        <f t="shared" ca="1" si="31"/>
        <v>1.3171374213376552E-3</v>
      </c>
      <c r="U131" s="4">
        <f t="shared" ca="1" si="32"/>
        <v>7.2070074287615693E-3</v>
      </c>
      <c r="V131" s="4">
        <f t="shared" ref="V131:V194" ca="1" si="45">B132/B131-1</f>
        <v>6.5622669649514354E-3</v>
      </c>
      <c r="W131" s="4">
        <f t="shared" ref="W131:W194" ca="1" si="46">F132/F131-1</f>
        <v>1.0300520335563279E-2</v>
      </c>
      <c r="X131" s="4">
        <f t="shared" ref="X131:X194" ca="1" si="47">M132/M131-1</f>
        <v>-8.0000000000000071E-3</v>
      </c>
      <c r="Y131" s="4">
        <f t="shared" ref="Y131:Y194" ca="1" si="48">D132/D131-1</f>
        <v>8.6192607326371906E-3</v>
      </c>
      <c r="Z131" s="4">
        <f t="shared" ref="Z131:Z194" ca="1" si="49">L132/L131-1</f>
        <v>1.355713363460298E-2</v>
      </c>
      <c r="AA131" s="4">
        <f t="shared" ref="AA131:AA194" ca="1" si="50">H132/H131-1</f>
        <v>5.6838365896980658E-3</v>
      </c>
      <c r="AB131" s="4">
        <f t="shared" ca="1" si="33"/>
        <v>-6.171836933571706E-3</v>
      </c>
      <c r="AC131" s="4">
        <f t="shared" ca="1" si="34"/>
        <v>-1.6145307769929285E-2</v>
      </c>
      <c r="AD131" s="4"/>
      <c r="AE131" s="2" cm="1">
        <f t="array" aca="1" ref="AE131" ca="1">SUMPRODUCT(Q131:AB131,TRANSPOSE(Insights.!$H$4:$H$15))</f>
        <v>2.6130590440783565E-3</v>
      </c>
      <c r="AG131" s="10" vm="2055">
        <f ca="1"/>
        <v>45842</v>
      </c>
      <c r="AH131" s="1" vm="2068">
        <f ca="1"/>
        <v>100.325</v>
      </c>
      <c r="AI131" s="2">
        <f t="shared" ref="AI131:AI194" ca="1" si="51">AH132/AH131-1</f>
        <v>4.2860702716172039E-3</v>
      </c>
      <c r="AJ131" s="1" vm="2069">
        <f ca="1"/>
        <v>100.55</v>
      </c>
      <c r="AK131" s="2">
        <f t="shared" ca="1" si="35"/>
        <v>3.0333167578320275E-3</v>
      </c>
      <c r="AL131" s="1" vm="2070">
        <f ca="1"/>
        <v>53.73</v>
      </c>
      <c r="AM131" s="2">
        <f t="shared" ca="1" si="36"/>
        <v>1.2655871952354403E-2</v>
      </c>
      <c r="AO131" s="9">
        <f t="shared" ca="1" si="37"/>
        <v>99.845207857285757</v>
      </c>
      <c r="AP131">
        <f t="shared" ca="1" si="38"/>
        <v>93.031342729970277</v>
      </c>
      <c r="AQ131">
        <f t="shared" ca="1" si="39"/>
        <v>95.489078822412296</v>
      </c>
      <c r="AR131">
        <f t="shared" ca="1" si="40"/>
        <v>109.55245182995212</v>
      </c>
      <c r="AT131" s="21">
        <f ca="1">MAX($AO$3:AO132)</f>
        <v>106.96839029133979</v>
      </c>
      <c r="AU131" s="2">
        <f t="shared" ca="1" si="41"/>
        <v>-6.6591470757419891E-2</v>
      </c>
    </row>
    <row r="132" spans="1:47" x14ac:dyDescent="0.25">
      <c r="A132" vm="2071">
        <f ca="1"/>
        <v>45845</v>
      </c>
      <c r="B132" vm="2072">
        <f ca="1"/>
        <v>134.97999999999999</v>
      </c>
      <c r="C132" vm="520">
        <f ca="1"/>
        <v>195</v>
      </c>
      <c r="D132" vm="2073">
        <f ca="1"/>
        <v>304.25</v>
      </c>
      <c r="E132" vm="2074">
        <f ca="1"/>
        <v>231</v>
      </c>
      <c r="F132" vm="2075">
        <f ca="1"/>
        <v>190.28</v>
      </c>
      <c r="G132" vm="728">
        <f ca="1"/>
        <v>164</v>
      </c>
      <c r="H132" vm="2076">
        <f ca="1"/>
        <v>424.65</v>
      </c>
      <c r="I132" vm="2077">
        <f ca="1"/>
        <v>136.84</v>
      </c>
      <c r="J132" vm="2078">
        <f ca="1"/>
        <v>454.2</v>
      </c>
      <c r="K132" vm="2079">
        <f ca="1"/>
        <v>40.200000000000003</v>
      </c>
      <c r="L132" vm="1308">
        <f ca="1"/>
        <v>235.5</v>
      </c>
      <c r="M132" vm="2080">
        <f ca="1"/>
        <v>248</v>
      </c>
      <c r="N132" vm="2081">
        <f ca="1"/>
        <v>20.25</v>
      </c>
      <c r="O132" vm="2082">
        <f ca="1"/>
        <v>611.9</v>
      </c>
      <c r="Q132" s="4">
        <f t="shared" ca="1" si="42"/>
        <v>-6.9135802469135754E-3</v>
      </c>
      <c r="R132" s="4">
        <f t="shared" ca="1" si="43"/>
        <v>2.3160173160173159E-2</v>
      </c>
      <c r="S132" s="4">
        <f t="shared" ca="1" si="44"/>
        <v>-2.1341463414634165E-2</v>
      </c>
      <c r="T132" s="4">
        <f t="shared" ref="T132:T195" ca="1" si="52">I133/I132-1</f>
        <v>-9.9386144402222598E-3</v>
      </c>
      <c r="U132" s="4">
        <f t="shared" ref="U132:U195" ca="1" si="53">J133/J132-1</f>
        <v>-6.7151034786437913E-3</v>
      </c>
      <c r="V132" s="4">
        <f t="shared" ca="1" si="45"/>
        <v>1.0964587346273591E-2</v>
      </c>
      <c r="W132" s="4">
        <f t="shared" ca="1" si="46"/>
        <v>-1.4610048349800286E-2</v>
      </c>
      <c r="X132" s="4">
        <f t="shared" ca="1" si="47"/>
        <v>-1.9354838709677469E-2</v>
      </c>
      <c r="Y132" s="4">
        <f t="shared" ca="1" si="48"/>
        <v>-9.5316351684469058E-3</v>
      </c>
      <c r="Z132" s="4">
        <f t="shared" ca="1" si="49"/>
        <v>-6.5817409766454338E-3</v>
      </c>
      <c r="AA132" s="4">
        <f t="shared" ca="1" si="50"/>
        <v>-3.7678087837041963E-3</v>
      </c>
      <c r="AB132" s="4">
        <f t="shared" ref="AB132:AB195" ca="1" si="54">O133/O132-1</f>
        <v>4.9027618891983593E-4</v>
      </c>
      <c r="AC132" s="4">
        <f t="shared" ref="AC132:AC195" ca="1" si="55">C133/C132-1</f>
        <v>0</v>
      </c>
      <c r="AD132" s="4"/>
      <c r="AE132" s="2" cm="1">
        <f t="array" aca="1" ref="AE132" ca="1">SUMPRODUCT(Q132:AB132,TRANSPOSE(Insights.!$H$4:$H$15))</f>
        <v>-4.2836373960001639E-3</v>
      </c>
      <c r="AG132" s="10" vm="2071">
        <f ca="1"/>
        <v>45845</v>
      </c>
      <c r="AH132" s="1" vm="2083">
        <f ca="1"/>
        <v>100.755</v>
      </c>
      <c r="AI132" s="2">
        <f t="shared" ca="1" si="51"/>
        <v>-3.4737730137457401E-4</v>
      </c>
      <c r="AJ132" s="1" vm="2084">
        <f ca="1"/>
        <v>100.855</v>
      </c>
      <c r="AK132" s="2">
        <f t="shared" ref="AK132:AK195" ca="1" si="56">AJ133/AJ132-1</f>
        <v>-1.4872837241586279E-4</v>
      </c>
      <c r="AL132" s="1" vm="483">
        <f ca="1"/>
        <v>54.41</v>
      </c>
      <c r="AM132" s="2">
        <f t="shared" ref="AM132:AM195" ca="1" si="57">AL133/AL132-1</f>
        <v>7.3515897812903575E-3</v>
      </c>
      <c r="AO132" s="9">
        <f t="shared" ref="AO132:AO195" ca="1" si="58">AO131*(1+AE131)</f>
        <v>100.10610928068512</v>
      </c>
      <c r="AP132">
        <f t="shared" ref="AP132:AP195" ca="1" si="59">AP131*(1+AI131)</f>
        <v>93.430081602373832</v>
      </c>
      <c r="AQ132">
        <f t="shared" ref="AQ132:AQ195" ca="1" si="60">AQ131*(1+AK131)</f>
        <v>95.778727445394267</v>
      </c>
      <c r="AR132">
        <f t="shared" ref="AR132:AR195" ca="1" si="61">AR131*(1+AM131)</f>
        <v>110.93893363237846</v>
      </c>
      <c r="AT132" s="21">
        <f ca="1">MAX($AO$3:AO133)</f>
        <v>106.96839029133979</v>
      </c>
      <c r="AU132" s="2">
        <f t="shared" ref="AU132:AU195" ca="1" si="62">AO132/AT132-1</f>
        <v>-6.4152419158262752E-2</v>
      </c>
    </row>
    <row r="133" spans="1:47" x14ac:dyDescent="0.25">
      <c r="A133" vm="2085">
        <f ca="1"/>
        <v>45846</v>
      </c>
      <c r="B133" vm="2086">
        <f ca="1"/>
        <v>136.46</v>
      </c>
      <c r="C133" vm="520">
        <f ca="1"/>
        <v>195</v>
      </c>
      <c r="D133" vm="2087">
        <f ca="1"/>
        <v>301.35000000000002</v>
      </c>
      <c r="E133" vm="2088">
        <f ca="1"/>
        <v>236.35</v>
      </c>
      <c r="F133" vm="2014">
        <f ca="1"/>
        <v>187.5</v>
      </c>
      <c r="G133" vm="2089">
        <f ca="1"/>
        <v>160.5</v>
      </c>
      <c r="H133" vm="2090">
        <f ca="1"/>
        <v>423.05</v>
      </c>
      <c r="I133" vm="2091">
        <f ca="1"/>
        <v>135.47999999999999</v>
      </c>
      <c r="J133" vm="2092">
        <f ca="1"/>
        <v>451.15</v>
      </c>
      <c r="K133" vm="2063">
        <f ca="1"/>
        <v>41</v>
      </c>
      <c r="L133" vm="1662">
        <f ca="1"/>
        <v>233.95</v>
      </c>
      <c r="M133" vm="2093">
        <f ca="1"/>
        <v>243.2</v>
      </c>
      <c r="N133" vm="2094">
        <f ca="1"/>
        <v>20.11</v>
      </c>
      <c r="O133" vm="2095">
        <f ca="1"/>
        <v>612.20000000000005</v>
      </c>
      <c r="Q133" s="4">
        <f t="shared" ca="1" si="42"/>
        <v>-6.9617105917454403E-3</v>
      </c>
      <c r="R133" s="4">
        <f t="shared" ca="1" si="43"/>
        <v>-2.2635921303152062E-2</v>
      </c>
      <c r="S133" s="4">
        <f t="shared" ca="1" si="44"/>
        <v>4.6105919003115226E-2</v>
      </c>
      <c r="T133" s="4">
        <f t="shared" ca="1" si="52"/>
        <v>-1.1514614703277304E-2</v>
      </c>
      <c r="U133" s="4">
        <f t="shared" ca="1" si="53"/>
        <v>4.4331153718291105E-4</v>
      </c>
      <c r="V133" s="4">
        <f t="shared" ca="1" si="45"/>
        <v>1.6708192877033623E-2</v>
      </c>
      <c r="W133" s="4">
        <f t="shared" ca="1" si="46"/>
        <v>1.3120000000000021E-2</v>
      </c>
      <c r="X133" s="4">
        <f t="shared" ca="1" si="47"/>
        <v>-1.8503289473683626E-3</v>
      </c>
      <c r="Y133" s="4">
        <f t="shared" ca="1" si="48"/>
        <v>1.0452961672473782E-2</v>
      </c>
      <c r="Z133" s="4">
        <f t="shared" ca="1" si="49"/>
        <v>5.1293011327206983E-3</v>
      </c>
      <c r="AA133" s="4">
        <f t="shared" ca="1" si="50"/>
        <v>1.3828152700626317E-2</v>
      </c>
      <c r="AB133" s="4">
        <f t="shared" ca="1" si="54"/>
        <v>1.6987912446912778E-2</v>
      </c>
      <c r="AC133" s="4">
        <f t="shared" ca="1" si="55"/>
        <v>1.9487179487179596E-2</v>
      </c>
      <c r="AD133" s="4"/>
      <c r="AE133" s="2" cm="1">
        <f t="array" aca="1" ref="AE133" ca="1">SUMPRODUCT(Q133:AB133,TRANSPOSE(Insights.!$H$4:$H$15))</f>
        <v>4.4594810562062865E-3</v>
      </c>
      <c r="AG133" s="10" vm="2085">
        <f ca="1"/>
        <v>45846</v>
      </c>
      <c r="AH133" s="1" vm="2096">
        <f ca="1"/>
        <v>100.72</v>
      </c>
      <c r="AI133" s="2">
        <f t="shared" ca="1" si="51"/>
        <v>3.4253375694996979E-3</v>
      </c>
      <c r="AJ133" s="1" vm="980">
        <f ca="1"/>
        <v>100.84</v>
      </c>
      <c r="AK133" s="2">
        <f t="shared" ca="1" si="56"/>
        <v>4.0162633875446829E-3</v>
      </c>
      <c r="AL133" s="1" vm="2097">
        <f ca="1"/>
        <v>54.81</v>
      </c>
      <c r="AM133" s="2">
        <f t="shared" ca="1" si="57"/>
        <v>1.3501185914978953E-2</v>
      </c>
      <c r="AO133" s="9">
        <f t="shared" ca="1" si="58"/>
        <v>99.677291007402303</v>
      </c>
      <c r="AP133">
        <f t="shared" ca="1" si="59"/>
        <v>93.397626112759596</v>
      </c>
      <c r="AQ133">
        <f t="shared" ca="1" si="60"/>
        <v>95.764482431149247</v>
      </c>
      <c r="AR133">
        <f t="shared" ca="1" si="61"/>
        <v>111.7545111632175</v>
      </c>
      <c r="AT133" s="21">
        <f ca="1">MAX($AO$3:AO134)</f>
        <v>106.96839029133979</v>
      </c>
      <c r="AU133" s="2">
        <f t="shared" ca="1" si="62"/>
        <v>-6.8161250852512567E-2</v>
      </c>
    </row>
    <row r="134" spans="1:47" x14ac:dyDescent="0.25">
      <c r="A134" vm="2098">
        <f ca="1"/>
        <v>45847</v>
      </c>
      <c r="B134" vm="2099">
        <f ca="1"/>
        <v>138.74</v>
      </c>
      <c r="C134" vm="2100">
        <f ca="1"/>
        <v>198.8</v>
      </c>
      <c r="D134" vm="2101">
        <f ca="1"/>
        <v>304.5</v>
      </c>
      <c r="E134" vm="2074">
        <f ca="1"/>
        <v>231</v>
      </c>
      <c r="F134" vm="1480">
        <f ca="1"/>
        <v>189.96</v>
      </c>
      <c r="G134" vm="439">
        <f ca="1"/>
        <v>167.9</v>
      </c>
      <c r="H134" vm="2102">
        <f ca="1"/>
        <v>428.9</v>
      </c>
      <c r="I134" vm="2103">
        <f ca="1"/>
        <v>133.91999999999999</v>
      </c>
      <c r="J134" vm="2104">
        <f ca="1"/>
        <v>451.35</v>
      </c>
      <c r="K134" vm="2105">
        <f ca="1"/>
        <v>39.200000000000003</v>
      </c>
      <c r="L134" vm="2106">
        <f ca="1"/>
        <v>235.15</v>
      </c>
      <c r="M134" vm="2107">
        <f ca="1"/>
        <v>242.75</v>
      </c>
      <c r="N134" vm="1663">
        <f ca="1"/>
        <v>19.97</v>
      </c>
      <c r="O134" vm="2108">
        <f ca="1"/>
        <v>622.6</v>
      </c>
      <c r="Q134" s="4">
        <f t="shared" ca="1" si="42"/>
        <v>1.2518778167250888E-2</v>
      </c>
      <c r="R134" s="4">
        <f t="shared" ca="1" si="43"/>
        <v>-2.2510822510822481E-2</v>
      </c>
      <c r="S134" s="4">
        <f t="shared" ca="1" si="44"/>
        <v>1.0720667063728317E-2</v>
      </c>
      <c r="T134" s="4">
        <f t="shared" ca="1" si="52"/>
        <v>1.359020310633241E-2</v>
      </c>
      <c r="U134" s="4">
        <f t="shared" ca="1" si="53"/>
        <v>8.0868505594327011E-3</v>
      </c>
      <c r="V134" s="4">
        <f t="shared" ca="1" si="45"/>
        <v>1.095574455816628E-2</v>
      </c>
      <c r="W134" s="4">
        <f t="shared" ca="1" si="46"/>
        <v>1.8951358180667732E-3</v>
      </c>
      <c r="X134" s="4">
        <f t="shared" ca="1" si="47"/>
        <v>1.5242018537590107E-2</v>
      </c>
      <c r="Y134" s="4">
        <f t="shared" ca="1" si="48"/>
        <v>1.6420361247948545E-3</v>
      </c>
      <c r="Z134" s="4">
        <f t="shared" ca="1" si="49"/>
        <v>1.06315118009781E-3</v>
      </c>
      <c r="AA134" s="4">
        <f t="shared" ca="1" si="50"/>
        <v>4.6630916297507596E-4</v>
      </c>
      <c r="AB134" s="4">
        <f t="shared" ca="1" si="54"/>
        <v>-2.0077096048827459E-2</v>
      </c>
      <c r="AC134" s="4">
        <f t="shared" ca="1" si="55"/>
        <v>-9.0543259557344102E-3</v>
      </c>
      <c r="AD134" s="4"/>
      <c r="AE134" s="2" cm="1">
        <f t="array" aca="1" ref="AE134" ca="1">SUMPRODUCT(Q134:AB134,TRANSPOSE(Insights.!$H$4:$H$15))</f>
        <v>1.4681176355206334E-3</v>
      </c>
      <c r="AG134" s="10" vm="2098">
        <f ca="1"/>
        <v>45847</v>
      </c>
      <c r="AH134" s="1" vm="2109">
        <f ca="1"/>
        <v>101.065</v>
      </c>
      <c r="AI134" s="2">
        <f t="shared" ca="1" si="51"/>
        <v>7.9651709295998074E-3</v>
      </c>
      <c r="AJ134" s="1" vm="2110">
        <f ca="1"/>
        <v>101.245</v>
      </c>
      <c r="AK134" s="2">
        <f t="shared" ca="1" si="56"/>
        <v>6.8151513654994833E-3</v>
      </c>
      <c r="AL134" s="1" vm="1535">
        <f ca="1"/>
        <v>55.55</v>
      </c>
      <c r="AM134" s="2">
        <f t="shared" ca="1" si="57"/>
        <v>-3.6003600360035026E-3</v>
      </c>
      <c r="AO134" s="9">
        <f t="shared" ca="1" si="58"/>
        <v>100.12179999838376</v>
      </c>
      <c r="AP134">
        <f t="shared" ca="1" si="59"/>
        <v>93.717544510385721</v>
      </c>
      <c r="AQ134">
        <f t="shared" ca="1" si="60"/>
        <v>96.149097815764634</v>
      </c>
      <c r="AR134">
        <f t="shared" ca="1" si="61"/>
        <v>113.2633295952697</v>
      </c>
      <c r="AT134" s="21">
        <f ca="1">MAX($AO$3:AO135)</f>
        <v>106.96839029133979</v>
      </c>
      <c r="AU134" s="2">
        <f t="shared" ca="1" si="62"/>
        <v>-6.4005733603250459E-2</v>
      </c>
    </row>
    <row r="135" spans="1:47" x14ac:dyDescent="0.25">
      <c r="A135" vm="2111">
        <f ca="1"/>
        <v>45848</v>
      </c>
      <c r="B135" vm="2112">
        <f ca="1"/>
        <v>140.26</v>
      </c>
      <c r="C135" vm="384">
        <f ca="1"/>
        <v>197</v>
      </c>
      <c r="D135" vm="2113">
        <f ca="1"/>
        <v>305</v>
      </c>
      <c r="E135" vm="2114">
        <f ca="1"/>
        <v>225.8</v>
      </c>
      <c r="F135" vm="2115">
        <f ca="1"/>
        <v>190.32</v>
      </c>
      <c r="G135" vm="2116">
        <f ca="1"/>
        <v>169.7</v>
      </c>
      <c r="H135" vm="2117">
        <f ca="1"/>
        <v>429.1</v>
      </c>
      <c r="I135" vm="2118">
        <f ca="1"/>
        <v>135.74</v>
      </c>
      <c r="J135" vm="1578">
        <f ca="1"/>
        <v>455</v>
      </c>
      <c r="K135" vm="459">
        <f ca="1"/>
        <v>40.6</v>
      </c>
      <c r="L135" vm="2119">
        <f ca="1"/>
        <v>235.4</v>
      </c>
      <c r="M135" vm="2120">
        <f ca="1"/>
        <v>246.45</v>
      </c>
      <c r="N135" vm="2121">
        <f ca="1"/>
        <v>20.22</v>
      </c>
      <c r="O135" vm="2122">
        <f ca="1"/>
        <v>610.1</v>
      </c>
      <c r="Q135" s="4">
        <f t="shared" ca="1" si="42"/>
        <v>-3.8081107814045501E-2</v>
      </c>
      <c r="R135" s="4">
        <f t="shared" ca="1" si="43"/>
        <v>-2.4357838795394104E-2</v>
      </c>
      <c r="S135" s="4">
        <f t="shared" ca="1" si="44"/>
        <v>-2.2097819681791364E-2</v>
      </c>
      <c r="T135" s="4">
        <f t="shared" ca="1" si="52"/>
        <v>-1.0166494769412115E-2</v>
      </c>
      <c r="U135" s="4">
        <f t="shared" ca="1" si="53"/>
        <v>-9.6703296703296582E-3</v>
      </c>
      <c r="V135" s="4">
        <f t="shared" ca="1" si="45"/>
        <v>7.1296164266363427E-3</v>
      </c>
      <c r="W135" s="4">
        <f t="shared" ca="1" si="46"/>
        <v>1.4186633039092067E-2</v>
      </c>
      <c r="X135" s="4">
        <f t="shared" ca="1" si="47"/>
        <v>-8.3181172651652924E-3</v>
      </c>
      <c r="Y135" s="4">
        <f t="shared" ca="1" si="48"/>
        <v>-2.606557377049179E-2</v>
      </c>
      <c r="Z135" s="4">
        <f t="shared" ca="1" si="49"/>
        <v>-2.5488530161427159E-3</v>
      </c>
      <c r="AA135" s="4">
        <f t="shared" ca="1" si="50"/>
        <v>3.495688650664075E-3</v>
      </c>
      <c r="AB135" s="4">
        <f t="shared" ca="1" si="54"/>
        <v>-1.4259957384035515E-2</v>
      </c>
      <c r="AC135" s="4">
        <f t="shared" ca="1" si="55"/>
        <v>1.2182741116751217E-2</v>
      </c>
      <c r="AD135" s="4"/>
      <c r="AE135" s="2" cm="1">
        <f t="array" aca="1" ref="AE135" ca="1">SUMPRODUCT(Q135:AB135,TRANSPOSE(Insights.!$H$4:$H$15))</f>
        <v>-1.0847030522054622E-2</v>
      </c>
      <c r="AG135" s="10" vm="2111">
        <f ca="1"/>
        <v>45848</v>
      </c>
      <c r="AH135" s="1" vm="2123">
        <f ca="1"/>
        <v>101.87</v>
      </c>
      <c r="AI135" s="2">
        <f t="shared" ca="1" si="51"/>
        <v>-3.0430941395896971E-3</v>
      </c>
      <c r="AJ135" s="1" vm="2124">
        <f ca="1"/>
        <v>101.935</v>
      </c>
      <c r="AK135" s="2">
        <f t="shared" ca="1" si="56"/>
        <v>-6.2785108157159542E-3</v>
      </c>
      <c r="AL135" s="1" vm="1743">
        <f ca="1"/>
        <v>55.35</v>
      </c>
      <c r="AM135" s="2">
        <f t="shared" ca="1" si="57"/>
        <v>-1.0117434507678436E-2</v>
      </c>
      <c r="AO135" s="9">
        <f t="shared" ca="1" si="58"/>
        <v>100.26879057866147</v>
      </c>
      <c r="AP135">
        <f t="shared" ca="1" si="59"/>
        <v>94.464020771513319</v>
      </c>
      <c r="AQ135">
        <f t="shared" ca="1" si="60"/>
        <v>96.804368471035289</v>
      </c>
      <c r="AR135">
        <f t="shared" ca="1" si="61"/>
        <v>112.8555408298502</v>
      </c>
      <c r="AT135" s="21">
        <f ca="1">MAX($AO$3:AO136)</f>
        <v>106.96839029133979</v>
      </c>
      <c r="AU135" s="2">
        <f t="shared" ca="1" si="62"/>
        <v>-6.2631583914007249E-2</v>
      </c>
    </row>
    <row r="136" spans="1:47" x14ac:dyDescent="0.25">
      <c r="A136" vm="2125">
        <f ca="1"/>
        <v>45849</v>
      </c>
      <c r="B136" vm="2126">
        <f ca="1"/>
        <v>141.26</v>
      </c>
      <c r="C136" vm="2127">
        <f ca="1"/>
        <v>199.4</v>
      </c>
      <c r="D136" vm="2128">
        <f ca="1"/>
        <v>297.05</v>
      </c>
      <c r="E136" vm="2129">
        <f ca="1"/>
        <v>220.3</v>
      </c>
      <c r="F136" vm="2130">
        <f ca="1"/>
        <v>193.02</v>
      </c>
      <c r="G136" vm="2131">
        <f ca="1"/>
        <v>165.95</v>
      </c>
      <c r="H136" vm="2132">
        <f ca="1"/>
        <v>430.6</v>
      </c>
      <c r="I136" vm="2133">
        <f ca="1"/>
        <v>134.36000000000001</v>
      </c>
      <c r="J136" vm="2134">
        <f ca="1"/>
        <v>450.6</v>
      </c>
      <c r="K136" vm="493">
        <f ca="1"/>
        <v>38</v>
      </c>
      <c r="L136" vm="243">
        <f ca="1"/>
        <v>234.8</v>
      </c>
      <c r="M136" vm="2135">
        <f ca="1"/>
        <v>244.4</v>
      </c>
      <c r="N136" vm="944">
        <f ca="1"/>
        <v>19.45</v>
      </c>
      <c r="O136" vm="2136">
        <f ca="1"/>
        <v>601.4</v>
      </c>
      <c r="Q136" s="4">
        <f t="shared" ca="1" si="42"/>
        <v>5.1413881748072487E-3</v>
      </c>
      <c r="R136" s="4">
        <f t="shared" ca="1" si="43"/>
        <v>7.4897866545617919E-3</v>
      </c>
      <c r="S136" s="4">
        <f t="shared" ca="1" si="44"/>
        <v>4.8207291352817538E-3</v>
      </c>
      <c r="T136" s="4">
        <f t="shared" ca="1" si="52"/>
        <v>-1.5778505507591523E-2</v>
      </c>
      <c r="U136" s="4">
        <f t="shared" ca="1" si="53"/>
        <v>3.2179316466933727E-3</v>
      </c>
      <c r="V136" s="4">
        <f t="shared" ca="1" si="45"/>
        <v>-2.4069092453631313E-3</v>
      </c>
      <c r="W136" s="4">
        <f t="shared" ca="1" si="46"/>
        <v>-1.0361620557456375E-3</v>
      </c>
      <c r="X136" s="4">
        <f t="shared" ca="1" si="47"/>
        <v>1.227495908346965E-2</v>
      </c>
      <c r="Y136" s="4">
        <f t="shared" ca="1" si="48"/>
        <v>1.1782528193906794E-2</v>
      </c>
      <c r="Z136" s="4">
        <f t="shared" ca="1" si="49"/>
        <v>4.2589437819420262E-3</v>
      </c>
      <c r="AA136" s="4">
        <f t="shared" ca="1" si="50"/>
        <v>1.277287505805802E-3</v>
      </c>
      <c r="AB136" s="4">
        <f t="shared" ca="1" si="54"/>
        <v>1.9787163285666765E-2</v>
      </c>
      <c r="AC136" s="4">
        <f t="shared" ca="1" si="55"/>
        <v>-1.7051153460381219E-2</v>
      </c>
      <c r="AD136" s="4"/>
      <c r="AE136" s="2" cm="1">
        <f t="array" aca="1" ref="AE136" ca="1">SUMPRODUCT(Q136:AB136,TRANSPOSE(Insights.!$H$4:$H$15))</f>
        <v>5.0556192332023558E-3</v>
      </c>
      <c r="AG136" s="10" vm="2125">
        <f ca="1"/>
        <v>45849</v>
      </c>
      <c r="AH136" s="1" vm="2137">
        <f ca="1"/>
        <v>101.56</v>
      </c>
      <c r="AI136" s="2">
        <f t="shared" ca="1" si="51"/>
        <v>2.7077589602204633E-3</v>
      </c>
      <c r="AJ136" s="1" vm="2138">
        <f ca="1"/>
        <v>101.295</v>
      </c>
      <c r="AK136" s="2">
        <f t="shared" ca="1" si="56"/>
        <v>1.530184115701605E-3</v>
      </c>
      <c r="AL136" s="1" vm="2139">
        <f ca="1"/>
        <v>54.79</v>
      </c>
      <c r="AM136" s="2">
        <f t="shared" ca="1" si="57"/>
        <v>1.8251505749211638E-4</v>
      </c>
      <c r="AO136" s="9">
        <f t="shared" ca="1" si="58"/>
        <v>99.181171946845225</v>
      </c>
      <c r="AP136">
        <f t="shared" ca="1" si="59"/>
        <v>94.176557863501444</v>
      </c>
      <c r="AQ136">
        <f t="shared" ca="1" si="60"/>
        <v>96.196581196581349</v>
      </c>
      <c r="AR136">
        <f t="shared" ca="1" si="61"/>
        <v>111.71373228667557</v>
      </c>
      <c r="AT136" s="21">
        <f ca="1">MAX($AO$3:AO137)</f>
        <v>106.96839029133979</v>
      </c>
      <c r="AU136" s="2">
        <f t="shared" ca="1" si="62"/>
        <v>-7.2799247733701944E-2</v>
      </c>
    </row>
    <row r="137" spans="1:47" x14ac:dyDescent="0.25">
      <c r="A137" vm="2140">
        <f ca="1"/>
        <v>45852</v>
      </c>
      <c r="B137" vm="2141">
        <f ca="1"/>
        <v>140.91999999999999</v>
      </c>
      <c r="C137" vm="2142">
        <f ca="1"/>
        <v>196</v>
      </c>
      <c r="D137" vm="2143">
        <f ca="1"/>
        <v>300.55</v>
      </c>
      <c r="E137" vm="1406">
        <f ca="1"/>
        <v>221.95</v>
      </c>
      <c r="F137" vm="2144">
        <f ca="1"/>
        <v>192.82</v>
      </c>
      <c r="G137" vm="2145">
        <f ca="1"/>
        <v>166.75</v>
      </c>
      <c r="H137" vm="2146">
        <f ca="1"/>
        <v>431.15</v>
      </c>
      <c r="I137" vm="2147">
        <f ca="1"/>
        <v>132.24</v>
      </c>
      <c r="J137" vm="2148">
        <f ca="1"/>
        <v>452.05</v>
      </c>
      <c r="K137" vm="2019">
        <f ca="1"/>
        <v>44.4</v>
      </c>
      <c r="L137" vm="2149">
        <f ca="1"/>
        <v>235.8</v>
      </c>
      <c r="M137" vm="2150">
        <f ca="1"/>
        <v>247.4</v>
      </c>
      <c r="N137" vm="1011">
        <f ca="1"/>
        <v>19.55</v>
      </c>
      <c r="O137" vm="2151">
        <f ca="1"/>
        <v>613.29999999999995</v>
      </c>
      <c r="Q137" s="4">
        <f t="shared" ca="1" si="42"/>
        <v>3.5805626598466311E-3</v>
      </c>
      <c r="R137" s="4">
        <f t="shared" ca="1" si="43"/>
        <v>7.2088308177518101E-3</v>
      </c>
      <c r="S137" s="4">
        <f t="shared" ca="1" si="44"/>
        <v>-1.0194902548725571E-2</v>
      </c>
      <c r="T137" s="4">
        <f t="shared" ca="1" si="52"/>
        <v>-3.9322444041137716E-3</v>
      </c>
      <c r="U137" s="4">
        <f t="shared" ca="1" si="53"/>
        <v>3.5394314788186332E-3</v>
      </c>
      <c r="V137" s="4">
        <f t="shared" ca="1" si="45"/>
        <v>4.4422367300596122E-2</v>
      </c>
      <c r="W137" s="4">
        <f t="shared" ca="1" si="46"/>
        <v>1.6077170418006492E-2</v>
      </c>
      <c r="X137" s="4">
        <f t="shared" ca="1" si="47"/>
        <v>-1.2126111560226693E-3</v>
      </c>
      <c r="Y137" s="4">
        <f t="shared" ca="1" si="48"/>
        <v>-3.3272334054234021E-3</v>
      </c>
      <c r="Z137" s="4">
        <f t="shared" ca="1" si="49"/>
        <v>2.8201865988125352E-2</v>
      </c>
      <c r="AA137" s="4">
        <f t="shared" ca="1" si="50"/>
        <v>1.1248985271947065E-2</v>
      </c>
      <c r="AB137" s="4">
        <f t="shared" ca="1" si="54"/>
        <v>-1.4837762921897757E-2</v>
      </c>
      <c r="AC137" s="4">
        <f t="shared" ca="1" si="55"/>
        <v>4.081632653061229E-2</v>
      </c>
      <c r="AD137" s="4"/>
      <c r="AE137" s="2" cm="1">
        <f t="array" aca="1" ref="AE137" ca="1">SUMPRODUCT(Q137:AB137,TRANSPOSE(Insights.!$H$4:$H$15))</f>
        <v>5.4068447988349488E-3</v>
      </c>
      <c r="AG137" s="10" vm="2140">
        <f ca="1"/>
        <v>45852</v>
      </c>
      <c r="AH137" s="1" vm="2152">
        <f ca="1"/>
        <v>101.83499999999999</v>
      </c>
      <c r="AI137" s="2">
        <f t="shared" ca="1" si="51"/>
        <v>4.271615849167798E-3</v>
      </c>
      <c r="AJ137" s="1" vm="2153">
        <f ca="1"/>
        <v>101.45</v>
      </c>
      <c r="AK137" s="2">
        <f t="shared" ca="1" si="56"/>
        <v>5.8156727451947887E-3</v>
      </c>
      <c r="AL137" s="1" vm="2154">
        <f ca="1"/>
        <v>54.8</v>
      </c>
      <c r="AM137" s="2">
        <f t="shared" ca="1" si="57"/>
        <v>-4.9270072992699809E-3</v>
      </c>
      <c r="AO137" s="9">
        <f t="shared" ca="1" si="58"/>
        <v>99.682594187311238</v>
      </c>
      <c r="AP137">
        <f t="shared" ca="1" si="59"/>
        <v>94.431565281899054</v>
      </c>
      <c r="AQ137">
        <f t="shared" ca="1" si="60"/>
        <v>96.343779677113162</v>
      </c>
      <c r="AR137">
        <f t="shared" ca="1" si="61"/>
        <v>111.73412172494653</v>
      </c>
      <c r="AT137" s="21">
        <f ca="1">MAX($AO$3:AO138)</f>
        <v>106.96839029133979</v>
      </c>
      <c r="AU137" s="2">
        <f t="shared" ca="1" si="62"/>
        <v>-6.8111673777504822E-2</v>
      </c>
    </row>
    <row r="138" spans="1:47" x14ac:dyDescent="0.25">
      <c r="A138" vm="2155">
        <f ca="1"/>
        <v>45853</v>
      </c>
      <c r="B138" vm="2156">
        <f ca="1"/>
        <v>147.18</v>
      </c>
      <c r="C138" vm="2157">
        <f ca="1"/>
        <v>204</v>
      </c>
      <c r="D138" vm="2158">
        <f ca="1"/>
        <v>299.55</v>
      </c>
      <c r="E138" vm="943">
        <f ca="1"/>
        <v>223.55</v>
      </c>
      <c r="F138" vm="2159">
        <f ca="1"/>
        <v>195.92</v>
      </c>
      <c r="G138" vm="2160">
        <f ca="1"/>
        <v>165.05</v>
      </c>
      <c r="H138" vm="2161">
        <f ca="1"/>
        <v>436</v>
      </c>
      <c r="I138" vm="2162">
        <f ca="1"/>
        <v>131.72</v>
      </c>
      <c r="J138" vm="2163">
        <f ca="1"/>
        <v>453.65</v>
      </c>
      <c r="K138" vm="2164">
        <f ca="1"/>
        <v>47</v>
      </c>
      <c r="L138" vm="2165">
        <f ca="1"/>
        <v>242.45</v>
      </c>
      <c r="M138" vm="2166">
        <f ca="1"/>
        <v>247.1</v>
      </c>
      <c r="N138" vm="2167">
        <f ca="1"/>
        <v>19.62</v>
      </c>
      <c r="O138" vm="2168">
        <f ca="1"/>
        <v>604.20000000000005</v>
      </c>
      <c r="Q138" s="4">
        <f t="shared" ca="1" si="42"/>
        <v>7.3904179408765813E-3</v>
      </c>
      <c r="R138" s="4">
        <f t="shared" ca="1" si="43"/>
        <v>-6.4862446879893065E-3</v>
      </c>
      <c r="S138" s="4">
        <f t="shared" ca="1" si="44"/>
        <v>-4.5440775522568866E-2</v>
      </c>
      <c r="T138" s="4">
        <f t="shared" ca="1" si="52"/>
        <v>1.0628606134224228E-3</v>
      </c>
      <c r="U138" s="4">
        <f t="shared" ca="1" si="53"/>
        <v>-1.5209963628347811E-2</v>
      </c>
      <c r="V138" s="4">
        <f t="shared" ca="1" si="45"/>
        <v>5.4355211305878726E-4</v>
      </c>
      <c r="W138" s="4">
        <f t="shared" ca="1" si="46"/>
        <v>-2.204981625153124E-2</v>
      </c>
      <c r="X138" s="4">
        <f t="shared" ca="1" si="47"/>
        <v>-7.0821529745042078E-3</v>
      </c>
      <c r="Y138" s="4">
        <f t="shared" ca="1" si="48"/>
        <v>3.5052578868302042E-3</v>
      </c>
      <c r="Z138" s="4">
        <f t="shared" ca="1" si="49"/>
        <v>-2.3716230150546469E-2</v>
      </c>
      <c r="AA138" s="4">
        <f t="shared" ca="1" si="50"/>
        <v>-3.5550458715596367E-3</v>
      </c>
      <c r="AB138" s="4">
        <f t="shared" ca="1" si="54"/>
        <v>-2.6481297583581531E-3</v>
      </c>
      <c r="AC138" s="4">
        <f t="shared" ca="1" si="55"/>
        <v>2.450980392156854E-3</v>
      </c>
      <c r="AD138" s="4"/>
      <c r="AE138" s="2" cm="1">
        <f t="array" aca="1" ref="AE138" ca="1">SUMPRODUCT(Q138:AB138,TRANSPOSE(Insights.!$H$4:$H$15))</f>
        <v>-8.8958822895448819E-3</v>
      </c>
      <c r="AG138" s="10" vm="2155">
        <f ca="1"/>
        <v>45853</v>
      </c>
      <c r="AH138" s="1" vm="2169">
        <f ca="1"/>
        <v>102.27</v>
      </c>
      <c r="AI138" s="2">
        <f t="shared" ca="1" si="51"/>
        <v>-5.8179329226557552E-3</v>
      </c>
      <c r="AJ138" s="1" vm="2170">
        <f ca="1"/>
        <v>102.04</v>
      </c>
      <c r="AK138" s="2">
        <f t="shared" ca="1" si="56"/>
        <v>-1.4014112112896937E-2</v>
      </c>
      <c r="AL138" s="1" vm="2171">
        <f ca="1"/>
        <v>54.53</v>
      </c>
      <c r="AM138" s="2">
        <f t="shared" ca="1" si="57"/>
        <v>-3.4843205574912606E-3</v>
      </c>
      <c r="AO138" s="9">
        <f t="shared" ca="1" si="58"/>
        <v>100.22156250322728</v>
      </c>
      <c r="AP138">
        <f t="shared" ca="1" si="59"/>
        <v>94.834940652818943</v>
      </c>
      <c r="AQ138">
        <f t="shared" ca="1" si="60"/>
        <v>96.904083570750402</v>
      </c>
      <c r="AR138">
        <f t="shared" ca="1" si="61"/>
        <v>111.18360689163021</v>
      </c>
      <c r="AT138" s="21">
        <f ca="1">MAX($AO$3:AO139)</f>
        <v>106.96839029133979</v>
      </c>
      <c r="AU138" s="2">
        <f t="shared" ca="1" si="62"/>
        <v>-6.3073098227773738E-2</v>
      </c>
    </row>
    <row r="139" spans="1:47" x14ac:dyDescent="0.25">
      <c r="A139" vm="2172">
        <f ca="1"/>
        <v>45854</v>
      </c>
      <c r="B139" vm="2173">
        <f ca="1"/>
        <v>147.26</v>
      </c>
      <c r="C139" vm="55">
        <f ca="1"/>
        <v>204.5</v>
      </c>
      <c r="D139" vm="2174">
        <f ca="1"/>
        <v>300.60000000000002</v>
      </c>
      <c r="E139" vm="2175">
        <f ca="1"/>
        <v>222.1</v>
      </c>
      <c r="F139" vm="2176">
        <f ca="1"/>
        <v>191.6</v>
      </c>
      <c r="G139" vm="1930">
        <f ca="1"/>
        <v>157.55000000000001</v>
      </c>
      <c r="H139" vm="2177">
        <f ca="1"/>
        <v>434.45</v>
      </c>
      <c r="I139" vm="2178">
        <f ca="1"/>
        <v>131.86000000000001</v>
      </c>
      <c r="J139" vm="1812">
        <f ca="1"/>
        <v>446.75</v>
      </c>
      <c r="K139" vm="1766">
        <f ca="1"/>
        <v>42.2</v>
      </c>
      <c r="L139" vm="2179">
        <f ca="1"/>
        <v>236.7</v>
      </c>
      <c r="M139" vm="2180">
        <f ca="1"/>
        <v>245.35</v>
      </c>
      <c r="N139" vm="2181">
        <f ca="1"/>
        <v>19.765000000000001</v>
      </c>
      <c r="O139" vm="2182">
        <f ca="1"/>
        <v>602.6</v>
      </c>
      <c r="Q139" s="4">
        <f t="shared" ca="1" si="42"/>
        <v>-6.3243106501391644E-3</v>
      </c>
      <c r="R139" s="4">
        <f t="shared" ca="1" si="43"/>
        <v>2.2512381809995929E-3</v>
      </c>
      <c r="S139" s="4">
        <f t="shared" ca="1" si="44"/>
        <v>0</v>
      </c>
      <c r="T139" s="4">
        <f t="shared" ca="1" si="52"/>
        <v>1.2134081601698821E-2</v>
      </c>
      <c r="U139" s="4">
        <f t="shared" ca="1" si="53"/>
        <v>1.5780637940682629E-2</v>
      </c>
      <c r="V139" s="4">
        <f t="shared" ca="1" si="45"/>
        <v>1.3445606410430688E-2</v>
      </c>
      <c r="W139" s="4">
        <f t="shared" ca="1" si="46"/>
        <v>9.2901878914404268E-3</v>
      </c>
      <c r="X139" s="4">
        <f t="shared" ca="1" si="47"/>
        <v>1.854493580599148E-2</v>
      </c>
      <c r="Y139" s="4">
        <f t="shared" ca="1" si="48"/>
        <v>5.6553559547571908E-3</v>
      </c>
      <c r="Z139" s="4">
        <f t="shared" ca="1" si="49"/>
        <v>4.5838614279678946E-2</v>
      </c>
      <c r="AA139" s="4">
        <f t="shared" ca="1" si="50"/>
        <v>1.6687766141098015E-2</v>
      </c>
      <c r="AB139" s="4">
        <f t="shared" ca="1" si="54"/>
        <v>1.858612678393623E-2</v>
      </c>
      <c r="AC139" s="4">
        <f t="shared" ca="1" si="55"/>
        <v>4.1564792176039145E-2</v>
      </c>
      <c r="AD139" s="4"/>
      <c r="AE139" s="2" cm="1">
        <f t="array" aca="1" ref="AE139" ca="1">SUMPRODUCT(Q139:AB139,TRANSPOSE(Insights.!$H$4:$H$15))</f>
        <v>1.2054439619623367E-2</v>
      </c>
      <c r="AG139" s="10" vm="2172">
        <f ca="1"/>
        <v>45854</v>
      </c>
      <c r="AH139" s="1" vm="2183">
        <f ca="1"/>
        <v>101.675</v>
      </c>
      <c r="AI139" s="2">
        <f t="shared" ca="1" si="51"/>
        <v>1.1753134988935487E-2</v>
      </c>
      <c r="AJ139" s="1" vm="2184">
        <f ca="1"/>
        <v>100.61</v>
      </c>
      <c r="AK139" s="2">
        <f t="shared" ca="1" si="56"/>
        <v>1.9133286949607475E-2</v>
      </c>
      <c r="AL139" s="1" vm="966">
        <f ca="1"/>
        <v>54.34</v>
      </c>
      <c r="AM139" s="2">
        <f t="shared" ca="1" si="57"/>
        <v>6.4409274935590677E-3</v>
      </c>
      <c r="AO139" s="9">
        <f t="shared" ca="1" si="58"/>
        <v>99.330003280324306</v>
      </c>
      <c r="AP139">
        <f t="shared" ca="1" si="59"/>
        <v>94.283197329376804</v>
      </c>
      <c r="AQ139">
        <f t="shared" ca="1" si="60"/>
        <v>95.546058879392376</v>
      </c>
      <c r="AR139">
        <f t="shared" ca="1" si="61"/>
        <v>110.79620756448168</v>
      </c>
      <c r="AT139" s="21">
        <f ca="1">MAX($AO$3:AO140)</f>
        <v>106.96839029133979</v>
      </c>
      <c r="AU139" s="2">
        <f t="shared" ca="1" si="62"/>
        <v>-7.1407889659847346E-2</v>
      </c>
    </row>
    <row r="140" spans="1:47" x14ac:dyDescent="0.25">
      <c r="A140" vm="2185">
        <f ca="1"/>
        <v>45855</v>
      </c>
      <c r="B140" vm="2186">
        <f ca="1"/>
        <v>149.24</v>
      </c>
      <c r="C140" vm="2187">
        <f ca="1"/>
        <v>213</v>
      </c>
      <c r="D140" vm="2188">
        <f ca="1"/>
        <v>302.3</v>
      </c>
      <c r="E140" vm="2189">
        <f ca="1"/>
        <v>222.6</v>
      </c>
      <c r="F140" vm="2190">
        <f ca="1"/>
        <v>193.38</v>
      </c>
      <c r="G140" vm="1930">
        <f ca="1"/>
        <v>157.55000000000001</v>
      </c>
      <c r="H140" vm="2191">
        <f ca="1"/>
        <v>441.7</v>
      </c>
      <c r="I140" vm="2192">
        <f ca="1"/>
        <v>133.46</v>
      </c>
      <c r="J140" vm="2193">
        <f ca="1"/>
        <v>453.8</v>
      </c>
      <c r="K140" vm="2194">
        <f ca="1"/>
        <v>46.8</v>
      </c>
      <c r="L140" vm="2195">
        <f ca="1"/>
        <v>247.55</v>
      </c>
      <c r="M140" vm="627">
        <f ca="1"/>
        <v>249.9</v>
      </c>
      <c r="N140" vm="2196">
        <f ca="1"/>
        <v>19.64</v>
      </c>
      <c r="O140" vm="2197">
        <f ca="1"/>
        <v>613.79999999999995</v>
      </c>
      <c r="Q140" s="4">
        <f t="shared" ca="1" si="42"/>
        <v>2.7494908350305547E-2</v>
      </c>
      <c r="R140" s="4">
        <f t="shared" ca="1" si="43"/>
        <v>6.9631626235400201E-3</v>
      </c>
      <c r="S140" s="4">
        <f t="shared" ca="1" si="44"/>
        <v>4.728657569025696E-2</v>
      </c>
      <c r="T140" s="4">
        <f t="shared" ca="1" si="52"/>
        <v>1.0490034467254272E-3</v>
      </c>
      <c r="U140" s="4">
        <f t="shared" ca="1" si="53"/>
        <v>-6.6108417805199604E-4</v>
      </c>
      <c r="V140" s="4">
        <f t="shared" ca="1" si="45"/>
        <v>-7.5046904315196894E-3</v>
      </c>
      <c r="W140" s="4">
        <f t="shared" ca="1" si="46"/>
        <v>5.7917054504086352E-3</v>
      </c>
      <c r="X140" s="4">
        <f t="shared" ca="1" si="47"/>
        <v>-2.00080032012806E-3</v>
      </c>
      <c r="Y140" s="4">
        <f t="shared" ca="1" si="48"/>
        <v>-7.6083360899769081E-3</v>
      </c>
      <c r="Z140" s="4">
        <f t="shared" ca="1" si="49"/>
        <v>-2.1005857402545014E-2</v>
      </c>
      <c r="AA140" s="4">
        <f t="shared" ca="1" si="50"/>
        <v>-5.2071541770433161E-3</v>
      </c>
      <c r="AB140" s="4">
        <f t="shared" ca="1" si="54"/>
        <v>-2.4275008145975829E-2</v>
      </c>
      <c r="AC140" s="4">
        <f t="shared" ca="1" si="55"/>
        <v>-2.5821596244131495E-2</v>
      </c>
      <c r="AD140" s="4"/>
      <c r="AE140" s="2" cm="1">
        <f t="array" aca="1" ref="AE140" ca="1">SUMPRODUCT(Q140:AB140,TRANSPOSE(Insights.!$H$4:$H$15))</f>
        <v>9.4160575395754015E-4</v>
      </c>
      <c r="AG140" s="10" vm="2185">
        <f ca="1"/>
        <v>45855</v>
      </c>
      <c r="AH140" s="1" vm="2198">
        <f ca="1"/>
        <v>102.87</v>
      </c>
      <c r="AI140" s="2">
        <f t="shared" ca="1" si="51"/>
        <v>-3.3537474482355778E-3</v>
      </c>
      <c r="AJ140" s="1" vm="2199">
        <f ca="1"/>
        <v>102.535</v>
      </c>
      <c r="AK140" s="2">
        <f t="shared" ca="1" si="56"/>
        <v>-3.4134685717072122E-3</v>
      </c>
      <c r="AL140" s="1" vm="2200">
        <f ca="1"/>
        <v>54.69</v>
      </c>
      <c r="AM140" s="2">
        <f t="shared" ca="1" si="57"/>
        <v>-4.9369171695007319E-3</v>
      </c>
      <c r="AO140" s="9">
        <f t="shared" ca="1" si="58"/>
        <v>100.52737080728397</v>
      </c>
      <c r="AP140">
        <f t="shared" ca="1" si="59"/>
        <v>95.391320474777416</v>
      </c>
      <c r="AQ140">
        <f t="shared" ca="1" si="60"/>
        <v>97.374169040835881</v>
      </c>
      <c r="AR140">
        <f t="shared" ca="1" si="61"/>
        <v>111.50983790396582</v>
      </c>
      <c r="AT140" s="21">
        <f ca="1">MAX($AO$3:AO141)</f>
        <v>106.96839029133979</v>
      </c>
      <c r="AU140" s="2">
        <f t="shared" ca="1" si="62"/>
        <v>-6.0214232134493284E-2</v>
      </c>
    </row>
    <row r="141" spans="1:47" x14ac:dyDescent="0.25">
      <c r="A141" vm="2201">
        <f ca="1"/>
        <v>45856</v>
      </c>
      <c r="B141" vm="2202">
        <f ca="1"/>
        <v>148.12</v>
      </c>
      <c r="C141" vm="1500">
        <f ca="1"/>
        <v>207.5</v>
      </c>
      <c r="D141" vm="2203">
        <f ca="1"/>
        <v>300</v>
      </c>
      <c r="E141" vm="1840">
        <f ca="1"/>
        <v>224.15</v>
      </c>
      <c r="F141" vm="2204">
        <f ca="1"/>
        <v>194.5</v>
      </c>
      <c r="G141" vm="2205">
        <f ca="1"/>
        <v>165</v>
      </c>
      <c r="H141" vm="2206">
        <f ca="1"/>
        <v>439.4</v>
      </c>
      <c r="I141" vm="2207">
        <f ca="1"/>
        <v>133.6</v>
      </c>
      <c r="J141" vm="32">
        <f ca="1"/>
        <v>453.5</v>
      </c>
      <c r="K141" vm="2208">
        <f ca="1"/>
        <v>45</v>
      </c>
      <c r="L141" vm="2209">
        <f ca="1"/>
        <v>242.35</v>
      </c>
      <c r="M141" vm="2210">
        <f ca="1"/>
        <v>249.4</v>
      </c>
      <c r="N141" vm="2211">
        <f ca="1"/>
        <v>20.18</v>
      </c>
      <c r="O141" vm="2212">
        <f ca="1"/>
        <v>598.9</v>
      </c>
      <c r="Q141" s="4">
        <f t="shared" ca="1" si="42"/>
        <v>-1.1397423191278566E-2</v>
      </c>
      <c r="R141" s="4">
        <f t="shared" ca="1" si="43"/>
        <v>1.0930180682578561E-2</v>
      </c>
      <c r="S141" s="4">
        <f t="shared" ca="1" si="44"/>
        <v>-2.9999999999999916E-2</v>
      </c>
      <c r="T141" s="4">
        <f t="shared" ca="1" si="52"/>
        <v>-2.9940119760479833E-3</v>
      </c>
      <c r="U141" s="4">
        <f t="shared" ca="1" si="53"/>
        <v>-7.717750826901848E-3</v>
      </c>
      <c r="V141" s="4">
        <f t="shared" ca="1" si="45"/>
        <v>-1.0937078044828574E-2</v>
      </c>
      <c r="W141" s="4">
        <f t="shared" ca="1" si="46"/>
        <v>5.6555269922879958E-3</v>
      </c>
      <c r="X141" s="4">
        <f t="shared" ca="1" si="47"/>
        <v>4.4105854049718562E-3</v>
      </c>
      <c r="Y141" s="4">
        <f t="shared" ca="1" si="48"/>
        <v>4.3333333333333002E-3</v>
      </c>
      <c r="Z141" s="4">
        <f t="shared" ca="1" si="49"/>
        <v>2.1250257891479274E-2</v>
      </c>
      <c r="AA141" s="4">
        <f t="shared" ca="1" si="50"/>
        <v>-6.8274920345926526E-3</v>
      </c>
      <c r="AB141" s="4">
        <f t="shared" ca="1" si="54"/>
        <v>8.6825847386877708E-3</v>
      </c>
      <c r="AC141" s="4">
        <f t="shared" ca="1" si="55"/>
        <v>-7.2289156626506035E-3</v>
      </c>
      <c r="AD141" s="4"/>
      <c r="AE141" s="2" cm="1">
        <f t="array" aca="1" ref="AE141" ca="1">SUMPRODUCT(Q141:AB141,TRANSPOSE(Insights.!$H$4:$H$15))</f>
        <v>1.3937529310043711E-4</v>
      </c>
      <c r="AG141" s="10" vm="2201">
        <f ca="1"/>
        <v>45856</v>
      </c>
      <c r="AH141" s="1" vm="2213">
        <f ca="1"/>
        <v>102.52500000000001</v>
      </c>
      <c r="AI141" s="2">
        <f t="shared" ca="1" si="51"/>
        <v>1.658132162887016E-3</v>
      </c>
      <c r="AJ141" s="1" vm="2214">
        <f ca="1"/>
        <v>102.185</v>
      </c>
      <c r="AK141" s="2">
        <f t="shared" ca="1" si="56"/>
        <v>1.2232715173459141E-3</v>
      </c>
      <c r="AL141" s="1" vm="2215">
        <f ca="1"/>
        <v>54.42</v>
      </c>
      <c r="AM141" s="2">
        <f t="shared" ca="1" si="57"/>
        <v>-2.5725836089672827E-3</v>
      </c>
      <c r="AO141" s="9">
        <f t="shared" ca="1" si="58"/>
        <v>100.62202795806633</v>
      </c>
      <c r="AP141">
        <f t="shared" ca="1" si="59"/>
        <v>95.071402077151305</v>
      </c>
      <c r="AQ141">
        <f t="shared" ca="1" si="60"/>
        <v>97.041785375118877</v>
      </c>
      <c r="AR141">
        <f t="shared" ca="1" si="61"/>
        <v>110.95932307064949</v>
      </c>
      <c r="AT141" s="21">
        <f ca="1">MAX($AO$3:AO142)</f>
        <v>106.96839029133979</v>
      </c>
      <c r="AU141" s="2">
        <f t="shared" ca="1" si="62"/>
        <v>-5.9329324447983778E-2</v>
      </c>
    </row>
    <row r="142" spans="1:47" x14ac:dyDescent="0.25">
      <c r="A142" vm="2216">
        <f ca="1"/>
        <v>45859</v>
      </c>
      <c r="B142" vm="2217">
        <f ca="1"/>
        <v>146.5</v>
      </c>
      <c r="C142" vm="1595">
        <f ca="1"/>
        <v>206</v>
      </c>
      <c r="D142" vm="2218">
        <f ca="1"/>
        <v>301.3</v>
      </c>
      <c r="E142" vm="2028">
        <f ca="1"/>
        <v>226.6</v>
      </c>
      <c r="F142" vm="2219">
        <f ca="1"/>
        <v>195.6</v>
      </c>
      <c r="G142" vm="2220">
        <f ca="1"/>
        <v>160.05000000000001</v>
      </c>
      <c r="H142" vm="2221">
        <f ca="1"/>
        <v>436.4</v>
      </c>
      <c r="I142" vm="2222">
        <f ca="1"/>
        <v>133.19999999999999</v>
      </c>
      <c r="J142" vm="2223">
        <f ca="1"/>
        <v>450</v>
      </c>
      <c r="K142" vm="1990">
        <f ca="1"/>
        <v>44</v>
      </c>
      <c r="L142" vm="2224">
        <f ca="1"/>
        <v>247.5</v>
      </c>
      <c r="M142" vm="790">
        <f ca="1"/>
        <v>250.5</v>
      </c>
      <c r="N142" vm="880">
        <f ca="1"/>
        <v>19.95</v>
      </c>
      <c r="O142" vm="2225">
        <f ca="1"/>
        <v>604.1</v>
      </c>
      <c r="Q142" s="4">
        <f t="shared" ca="1" si="42"/>
        <v>1.2531328320801949E-2</v>
      </c>
      <c r="R142" s="4">
        <f t="shared" ca="1" si="43"/>
        <v>-7.5022065313327113E-3</v>
      </c>
      <c r="S142" s="4">
        <f t="shared" ca="1" si="44"/>
        <v>-6.248047485162278E-4</v>
      </c>
      <c r="T142" s="4">
        <f t="shared" ca="1" si="52"/>
        <v>6.7567567567567988E-3</v>
      </c>
      <c r="U142" s="4">
        <f t="shared" ca="1" si="53"/>
        <v>-2.0000000000000018E-3</v>
      </c>
      <c r="V142" s="4">
        <f t="shared" ca="1" si="45"/>
        <v>-2.8668941979522078E-2</v>
      </c>
      <c r="W142" s="4">
        <f t="shared" ca="1" si="46"/>
        <v>-1.0122699386503009E-2</v>
      </c>
      <c r="X142" s="4">
        <f t="shared" ca="1" si="47"/>
        <v>-8.9820359281437279E-3</v>
      </c>
      <c r="Y142" s="4">
        <f t="shared" ca="1" si="48"/>
        <v>-7.7995353468304218E-3</v>
      </c>
      <c r="Z142" s="4">
        <f t="shared" ca="1" si="49"/>
        <v>-3.1717171717171699E-2</v>
      </c>
      <c r="AA142" s="4">
        <f t="shared" ca="1" si="50"/>
        <v>-1.317598533455544E-2</v>
      </c>
      <c r="AB142" s="4">
        <f t="shared" ca="1" si="54"/>
        <v>-2.0195331898692381E-2</v>
      </c>
      <c r="AC142" s="4">
        <f t="shared" ca="1" si="55"/>
        <v>-2.9126213592232997E-2</v>
      </c>
      <c r="AD142" s="4"/>
      <c r="AE142" s="2" cm="1">
        <f t="array" aca="1" ref="AE142" ca="1">SUMPRODUCT(Q142:AB142,TRANSPOSE(Insights.!$H$4:$H$15))</f>
        <v>-8.6742008792202469E-3</v>
      </c>
      <c r="AG142" s="10" vm="2216">
        <f ca="1"/>
        <v>45859</v>
      </c>
      <c r="AH142" s="1" vm="2226">
        <f ca="1"/>
        <v>102.69499999999999</v>
      </c>
      <c r="AI142" s="2">
        <f t="shared" ca="1" si="51"/>
        <v>-9.7862602853108216E-3</v>
      </c>
      <c r="AJ142" s="1" vm="2227">
        <f ca="1"/>
        <v>102.31</v>
      </c>
      <c r="AK142" s="2">
        <f t="shared" ca="1" si="56"/>
        <v>-6.646466621053726E-3</v>
      </c>
      <c r="AL142" s="1" vm="2228">
        <f ca="1"/>
        <v>54.28</v>
      </c>
      <c r="AM142" s="2">
        <f t="shared" ca="1" si="57"/>
        <v>-7.1849668386145815E-3</v>
      </c>
      <c r="AO142" s="9">
        <f t="shared" ca="1" si="58"/>
        <v>100.63605218270534</v>
      </c>
      <c r="AP142">
        <f t="shared" ca="1" si="59"/>
        <v>95.229043026706194</v>
      </c>
      <c r="AQ142">
        <f t="shared" ca="1" si="60"/>
        <v>97.16049382716065</v>
      </c>
      <c r="AR142">
        <f t="shared" ca="1" si="61"/>
        <v>110.67387093485583</v>
      </c>
      <c r="AT142" s="21">
        <f ca="1">MAX($AO$3:AO143)</f>
        <v>106.96839029133979</v>
      </c>
      <c r="AU142" s="2">
        <f t="shared" ca="1" si="62"/>
        <v>-5.9198218196867769E-2</v>
      </c>
    </row>
    <row r="143" spans="1:47" x14ac:dyDescent="0.25">
      <c r="A143" vm="2229">
        <f ca="1"/>
        <v>45860</v>
      </c>
      <c r="B143" vm="2230">
        <f ca="1"/>
        <v>142.30000000000001</v>
      </c>
      <c r="C143" vm="401">
        <f ca="1"/>
        <v>200</v>
      </c>
      <c r="D143" vm="2231">
        <f ca="1"/>
        <v>298.95</v>
      </c>
      <c r="E143" vm="2232">
        <f ca="1"/>
        <v>224.9</v>
      </c>
      <c r="F143" vm="2233">
        <f ca="1"/>
        <v>193.62</v>
      </c>
      <c r="G143" vm="2234">
        <f ca="1"/>
        <v>159.94999999999999</v>
      </c>
      <c r="H143" vm="2235">
        <f ca="1"/>
        <v>430.65</v>
      </c>
      <c r="I143" vm="2056">
        <f ca="1"/>
        <v>134.1</v>
      </c>
      <c r="J143" vm="2236">
        <f ca="1"/>
        <v>449.1</v>
      </c>
      <c r="K143" vm="2237">
        <f ca="1"/>
        <v>43</v>
      </c>
      <c r="L143" vm="2238">
        <f ca="1"/>
        <v>239.65</v>
      </c>
      <c r="M143" vm="2239">
        <f ca="1"/>
        <v>248.25</v>
      </c>
      <c r="N143" vm="2240">
        <f ca="1"/>
        <v>20.2</v>
      </c>
      <c r="O143" vm="2241">
        <f ca="1"/>
        <v>591.9</v>
      </c>
      <c r="Q143" s="4">
        <f t="shared" ca="1" si="42"/>
        <v>-8.9108910891089188E-3</v>
      </c>
      <c r="R143" s="4">
        <f t="shared" ca="1" si="43"/>
        <v>1.0226767452200969E-2</v>
      </c>
      <c r="S143" s="4">
        <f t="shared" ca="1" si="44"/>
        <v>5.9706158174429591E-2</v>
      </c>
      <c r="T143" s="4">
        <f t="shared" ca="1" si="52"/>
        <v>7.4571215510799149E-4</v>
      </c>
      <c r="U143" s="4">
        <f t="shared" ca="1" si="53"/>
        <v>-1.1356045424181782E-2</v>
      </c>
      <c r="V143" s="4">
        <f t="shared" ca="1" si="45"/>
        <v>2.0238931834153151E-2</v>
      </c>
      <c r="W143" s="4">
        <f t="shared" ca="1" si="46"/>
        <v>2.3757876252452625E-3</v>
      </c>
      <c r="X143" s="4">
        <f t="shared" ca="1" si="47"/>
        <v>1.3293051359516639E-2</v>
      </c>
      <c r="Y143" s="4">
        <f t="shared" ca="1" si="48"/>
        <v>8.3626024418799183E-3</v>
      </c>
      <c r="Z143" s="4">
        <f t="shared" ca="1" si="49"/>
        <v>-6.8850406843313783E-3</v>
      </c>
      <c r="AA143" s="4">
        <f t="shared" ca="1" si="50"/>
        <v>-4.1797283176592259E-3</v>
      </c>
      <c r="AB143" s="4">
        <f t="shared" ca="1" si="54"/>
        <v>-3.3620544010812603E-2</v>
      </c>
      <c r="AC143" s="4">
        <f t="shared" ca="1" si="55"/>
        <v>2.0000000000000018E-2</v>
      </c>
      <c r="AD143" s="4"/>
      <c r="AE143" s="2" cm="1">
        <f t="array" aca="1" ref="AE143" ca="1">SUMPRODUCT(Q143:AB143,TRANSPOSE(Insights.!$H$4:$H$15))</f>
        <v>3.2428206551684221E-3</v>
      </c>
      <c r="AG143" s="10" vm="2229">
        <f ca="1"/>
        <v>45860</v>
      </c>
      <c r="AH143" s="1" vm="2242">
        <f ca="1"/>
        <v>101.69</v>
      </c>
      <c r="AI143" s="2">
        <f t="shared" ca="1" si="51"/>
        <v>4.326875798996932E-3</v>
      </c>
      <c r="AJ143" s="1" vm="2243">
        <f ca="1"/>
        <v>101.63</v>
      </c>
      <c r="AK143" s="2">
        <f t="shared" ca="1" si="56"/>
        <v>8.4128702154875334E-3</v>
      </c>
      <c r="AL143" s="1" vm="2244">
        <f ca="1"/>
        <v>53.89</v>
      </c>
      <c r="AM143" s="2">
        <f t="shared" ca="1" si="57"/>
        <v>2.2082018927444658E-2</v>
      </c>
      <c r="AO143" s="9">
        <f t="shared" ca="1" si="58"/>
        <v>99.763114850380873</v>
      </c>
      <c r="AP143">
        <f t="shared" ca="1" si="59"/>
        <v>94.297106824925777</v>
      </c>
      <c r="AQ143">
        <f t="shared" ca="1" si="60"/>
        <v>96.514719848053332</v>
      </c>
      <c r="AR143">
        <f t="shared" ca="1" si="61"/>
        <v>109.87868284228777</v>
      </c>
      <c r="AT143" s="21">
        <f ca="1">MAX($AO$3:AO144)</f>
        <v>106.96839029133979</v>
      </c>
      <c r="AU143" s="2">
        <f t="shared" ca="1" si="62"/>
        <v>-6.7358921839756447E-2</v>
      </c>
    </row>
    <row r="144" spans="1:47" x14ac:dyDescent="0.25">
      <c r="A144" vm="2245">
        <f ca="1"/>
        <v>45861</v>
      </c>
      <c r="B144" vm="2246">
        <f ca="1"/>
        <v>145.18</v>
      </c>
      <c r="C144" vm="2157">
        <f ca="1"/>
        <v>204</v>
      </c>
      <c r="D144" vm="2247">
        <f ca="1"/>
        <v>301.45</v>
      </c>
      <c r="E144" vm="460">
        <f ca="1"/>
        <v>227.2</v>
      </c>
      <c r="F144" vm="2248">
        <f ca="1"/>
        <v>194.08</v>
      </c>
      <c r="G144" vm="2249">
        <f ca="1"/>
        <v>169.5</v>
      </c>
      <c r="H144" vm="2250">
        <f ca="1"/>
        <v>428.85</v>
      </c>
      <c r="I144" vm="2251">
        <f ca="1"/>
        <v>134.19999999999999</v>
      </c>
      <c r="J144" vm="2252">
        <f ca="1"/>
        <v>444</v>
      </c>
      <c r="K144" vm="577">
        <f ca="1"/>
        <v>42.8</v>
      </c>
      <c r="L144" vm="2253">
        <f ca="1"/>
        <v>238</v>
      </c>
      <c r="M144" vm="2254">
        <f ca="1"/>
        <v>251.55</v>
      </c>
      <c r="N144" vm="2255">
        <f ca="1"/>
        <v>20.02</v>
      </c>
      <c r="O144" vm="2256">
        <f ca="1"/>
        <v>572</v>
      </c>
      <c r="Q144" s="4">
        <f t="shared" ca="1" si="42"/>
        <v>7.4925074925076274E-3</v>
      </c>
      <c r="R144" s="4">
        <f t="shared" ca="1" si="43"/>
        <v>-4.4014084507038032E-4</v>
      </c>
      <c r="S144" s="4">
        <f t="shared" ca="1" si="44"/>
        <v>-7.3746312684366266E-3</v>
      </c>
      <c r="T144" s="4">
        <f t="shared" ca="1" si="52"/>
        <v>2.9806259314455463E-3</v>
      </c>
      <c r="U144" s="4">
        <f t="shared" ca="1" si="53"/>
        <v>9.009009009008917E-4</v>
      </c>
      <c r="V144" s="4">
        <f t="shared" ca="1" si="45"/>
        <v>1.4878082380493263E-2</v>
      </c>
      <c r="W144" s="4">
        <f t="shared" ca="1" si="46"/>
        <v>1.617889530090677E-2</v>
      </c>
      <c r="X144" s="4">
        <f t="shared" ca="1" si="47"/>
        <v>5.7642615782149687E-3</v>
      </c>
      <c r="Y144" s="4">
        <f t="shared" ca="1" si="48"/>
        <v>-1.4927848731132176E-3</v>
      </c>
      <c r="Z144" s="4">
        <f t="shared" ca="1" si="49"/>
        <v>2.3739495798319243E-2</v>
      </c>
      <c r="AA144" s="4">
        <f t="shared" ca="1" si="50"/>
        <v>1.3641133263378791E-2</v>
      </c>
      <c r="AB144" s="4">
        <f t="shared" ca="1" si="54"/>
        <v>1.206293706293704E-2</v>
      </c>
      <c r="AC144" s="4">
        <f t="shared" ca="1" si="55"/>
        <v>4.9019607843137081E-3</v>
      </c>
      <c r="AD144" s="4"/>
      <c r="AE144" s="2" cm="1">
        <f t="array" aca="1" ref="AE144" ca="1">SUMPRODUCT(Q144:AB144,TRANSPOSE(Insights.!$H$4:$H$15))</f>
        <v>6.3107367909566838E-3</v>
      </c>
      <c r="AG144" s="10" vm="2245">
        <f ca="1"/>
        <v>45861</v>
      </c>
      <c r="AH144" s="1" vm="2257">
        <f ca="1"/>
        <v>102.13</v>
      </c>
      <c r="AI144" s="2">
        <f t="shared" ca="1" si="51"/>
        <v>5.140507196710109E-3</v>
      </c>
      <c r="AJ144" s="1" vm="2258">
        <f ca="1"/>
        <v>102.485</v>
      </c>
      <c r="AK144" s="2">
        <f t="shared" ca="1" si="56"/>
        <v>2.2442308630532537E-3</v>
      </c>
      <c r="AL144" s="1" vm="2259">
        <f ca="1"/>
        <v>55.08</v>
      </c>
      <c r="AM144" s="2">
        <f t="shared" ca="1" si="57"/>
        <v>-9.2592592592591894E-3</v>
      </c>
      <c r="AO144" s="9">
        <f t="shared" ca="1" si="58"/>
        <v>100.08662873984163</v>
      </c>
      <c r="AP144">
        <f t="shared" ca="1" si="59"/>
        <v>94.705118694361971</v>
      </c>
      <c r="AQ144">
        <f t="shared" ca="1" si="60"/>
        <v>97.326685660019137</v>
      </c>
      <c r="AR144">
        <f t="shared" ca="1" si="61"/>
        <v>112.30502599653386</v>
      </c>
      <c r="AT144" s="21">
        <f ca="1">MAX($AO$3:AO145)</f>
        <v>106.96839029133979</v>
      </c>
      <c r="AU144" s="2">
        <f t="shared" ca="1" si="62"/>
        <v>-6.4334534087639783E-2</v>
      </c>
    </row>
    <row r="145" spans="1:47" x14ac:dyDescent="0.25">
      <c r="A145" vm="2260">
        <f ca="1"/>
        <v>45862</v>
      </c>
      <c r="B145" vm="2261">
        <f ca="1"/>
        <v>147.34</v>
      </c>
      <c r="C145" vm="2262">
        <f ca="1"/>
        <v>205</v>
      </c>
      <c r="D145" vm="2263">
        <f ca="1"/>
        <v>301</v>
      </c>
      <c r="E145" vm="2264">
        <f ca="1"/>
        <v>227.1</v>
      </c>
      <c r="F145" vm="2265">
        <f ca="1"/>
        <v>197.22</v>
      </c>
      <c r="G145" vm="2266">
        <f ca="1"/>
        <v>168.25</v>
      </c>
      <c r="H145" vm="2267">
        <f ca="1"/>
        <v>434.7</v>
      </c>
      <c r="I145" vm="1099">
        <f ca="1"/>
        <v>134.6</v>
      </c>
      <c r="J145" vm="66">
        <f ca="1"/>
        <v>444.4</v>
      </c>
      <c r="K145" vm="2208">
        <f ca="1"/>
        <v>45</v>
      </c>
      <c r="L145" vm="2268">
        <f ca="1"/>
        <v>243.65</v>
      </c>
      <c r="M145" vm="2269">
        <f ca="1"/>
        <v>253</v>
      </c>
      <c r="N145" vm="2270">
        <f ca="1"/>
        <v>20.170000000000002</v>
      </c>
      <c r="O145" vm="1439">
        <f ca="1"/>
        <v>578.9</v>
      </c>
      <c r="Q145" s="4">
        <f t="shared" ca="1" si="42"/>
        <v>9.915716410511255E-4</v>
      </c>
      <c r="R145" s="4">
        <f t="shared" ca="1" si="43"/>
        <v>1.166886833993841E-2</v>
      </c>
      <c r="S145" s="4">
        <f t="shared" ca="1" si="44"/>
        <v>-1.7236255572065429E-2</v>
      </c>
      <c r="T145" s="4">
        <f t="shared" ca="1" si="52"/>
        <v>-1.4858841010390034E-4</v>
      </c>
      <c r="U145" s="4">
        <f t="shared" ca="1" si="53"/>
        <v>2.3852385238523954E-2</v>
      </c>
      <c r="V145" s="4">
        <f t="shared" ca="1" si="45"/>
        <v>2.4433283561828834E-3</v>
      </c>
      <c r="W145" s="4">
        <f t="shared" ca="1" si="46"/>
        <v>-8.1127674678027617E-4</v>
      </c>
      <c r="X145" s="4">
        <f t="shared" ca="1" si="47"/>
        <v>2.9644268774704496E-3</v>
      </c>
      <c r="Y145" s="4">
        <f t="shared" ca="1" si="48"/>
        <v>8.4717607973421316E-3</v>
      </c>
      <c r="Z145" s="4">
        <f t="shared" ca="1" si="49"/>
        <v>1.2517956084547421E-2</v>
      </c>
      <c r="AA145" s="4">
        <f t="shared" ca="1" si="50"/>
        <v>8.3965953531170978E-3</v>
      </c>
      <c r="AB145" s="4">
        <f t="shared" ca="1" si="54"/>
        <v>3.3684574192433869E-2</v>
      </c>
      <c r="AC145" s="4">
        <f t="shared" ca="1" si="55"/>
        <v>1.9512195121951237E-2</v>
      </c>
      <c r="AD145" s="4"/>
      <c r="AE145" s="2" cm="1">
        <f t="array" aca="1" ref="AE145" ca="1">SUMPRODUCT(Q145:AB145,TRANSPOSE(Insights.!$H$4:$H$15))</f>
        <v>7.7475597686132384E-3</v>
      </c>
      <c r="AG145" s="10" vm="2260">
        <f ca="1"/>
        <v>45862</v>
      </c>
      <c r="AH145" s="1" vm="2271">
        <f ca="1"/>
        <v>102.655</v>
      </c>
      <c r="AI145" s="2">
        <f t="shared" ca="1" si="51"/>
        <v>5.5038721932687551E-3</v>
      </c>
      <c r="AJ145" s="1" vm="2272">
        <f ca="1"/>
        <v>102.715</v>
      </c>
      <c r="AK145" s="2">
        <f t="shared" ca="1" si="56"/>
        <v>2.093170423015156E-3</v>
      </c>
      <c r="AL145" s="1" vm="1615">
        <f ca="1"/>
        <v>54.57</v>
      </c>
      <c r="AM145" s="2">
        <f t="shared" ca="1" si="57"/>
        <v>1.6492578339746267E-3</v>
      </c>
      <c r="AO145" s="9">
        <f t="shared" ca="1" si="58"/>
        <v>100.71824911011298</v>
      </c>
      <c r="AP145">
        <f t="shared" ca="1" si="59"/>
        <v>95.191951038575624</v>
      </c>
      <c r="AQ145">
        <f t="shared" ca="1" si="60"/>
        <v>97.545109211776037</v>
      </c>
      <c r="AR145">
        <f t="shared" ca="1" si="61"/>
        <v>111.2651646447141</v>
      </c>
      <c r="AT145" s="21">
        <f ca="1">MAX($AO$3:AO146)</f>
        <v>106.96839029133979</v>
      </c>
      <c r="AU145" s="2">
        <f t="shared" ca="1" si="62"/>
        <v>-5.8429795607878976E-2</v>
      </c>
    </row>
    <row r="146" spans="1:47" x14ac:dyDescent="0.25">
      <c r="A146" vm="2273">
        <f ca="1"/>
        <v>45863</v>
      </c>
      <c r="B146" vm="1188">
        <f ca="1"/>
        <v>147.69999999999999</v>
      </c>
      <c r="C146" vm="2274">
        <f ca="1"/>
        <v>209</v>
      </c>
      <c r="D146" vm="2275">
        <f ca="1"/>
        <v>303.55</v>
      </c>
      <c r="E146" vm="1823">
        <f ca="1"/>
        <v>229.75</v>
      </c>
      <c r="F146" vm="2276">
        <f ca="1"/>
        <v>197.06</v>
      </c>
      <c r="G146" vm="2277">
        <f ca="1"/>
        <v>165.35</v>
      </c>
      <c r="H146" vm="2278">
        <f ca="1"/>
        <v>438.35</v>
      </c>
      <c r="I146" vm="2279">
        <f ca="1"/>
        <v>134.58000000000001</v>
      </c>
      <c r="J146" vm="1578">
        <f ca="1"/>
        <v>455</v>
      </c>
      <c r="K146" vm="1829">
        <f ca="1"/>
        <v>43.6</v>
      </c>
      <c r="L146" vm="2280">
        <f ca="1"/>
        <v>246.7</v>
      </c>
      <c r="M146" vm="211">
        <f ca="1"/>
        <v>253.75</v>
      </c>
      <c r="N146" vm="1681">
        <f ca="1"/>
        <v>20.190000000000001</v>
      </c>
      <c r="O146" vm="2281">
        <f ca="1"/>
        <v>598.4</v>
      </c>
      <c r="Q146" s="4">
        <f t="shared" ca="1" si="42"/>
        <v>-1.2877662209014429E-2</v>
      </c>
      <c r="R146" s="4">
        <f t="shared" ca="1" si="43"/>
        <v>1.3492927094667984E-2</v>
      </c>
      <c r="S146" s="4">
        <f t="shared" ca="1" si="44"/>
        <v>2.116722104626545E-3</v>
      </c>
      <c r="T146" s="4">
        <f t="shared" ca="1" si="52"/>
        <v>7.7277455788378191E-3</v>
      </c>
      <c r="U146" s="4">
        <f t="shared" ca="1" si="53"/>
        <v>1.4175824175824081E-2</v>
      </c>
      <c r="V146" s="4">
        <f t="shared" ca="1" si="45"/>
        <v>3.1550440081245856E-2</v>
      </c>
      <c r="W146" s="4">
        <f t="shared" ca="1" si="46"/>
        <v>1.9486450827159274E-2</v>
      </c>
      <c r="X146" s="4">
        <f t="shared" ca="1" si="47"/>
        <v>1.3399014778324947E-2</v>
      </c>
      <c r="Y146" s="4">
        <f t="shared" ca="1" si="48"/>
        <v>1.1200790644045444E-2</v>
      </c>
      <c r="Z146" s="4">
        <f t="shared" ca="1" si="49"/>
        <v>1.8443453587352998E-2</v>
      </c>
      <c r="AA146" s="4">
        <f t="shared" ca="1" si="50"/>
        <v>5.1328846811908857E-3</v>
      </c>
      <c r="AB146" s="4">
        <f t="shared" ca="1" si="54"/>
        <v>3.3422459893048817E-3</v>
      </c>
      <c r="AC146" s="4">
        <f t="shared" ca="1" si="55"/>
        <v>4.7846889952152249E-3</v>
      </c>
      <c r="AD146" s="4"/>
      <c r="AE146" s="2" cm="1">
        <f t="array" aca="1" ref="AE146" ca="1">SUMPRODUCT(Q146:AB146,TRANSPOSE(Insights.!$H$4:$H$15))</f>
        <v>9.6872802403020677E-3</v>
      </c>
      <c r="AG146" s="10" vm="2273">
        <f ca="1"/>
        <v>45863</v>
      </c>
      <c r="AH146" s="1" vm="2282">
        <f ca="1"/>
        <v>103.22</v>
      </c>
      <c r="AI146" s="2">
        <f t="shared" ca="1" si="51"/>
        <v>1.0899050571594682E-2</v>
      </c>
      <c r="AJ146" s="1" vm="2283">
        <f ca="1"/>
        <v>102.93</v>
      </c>
      <c r="AK146" s="2">
        <f t="shared" ca="1" si="56"/>
        <v>8.5009229573496103E-3</v>
      </c>
      <c r="AL146" s="1" vm="2284">
        <f ca="1"/>
        <v>54.66</v>
      </c>
      <c r="AM146" s="2">
        <f t="shared" ca="1" si="57"/>
        <v>-6.0373216245883654E-3</v>
      </c>
      <c r="AO146" s="9">
        <f t="shared" ca="1" si="58"/>
        <v>101.49856976488365</v>
      </c>
      <c r="AP146">
        <f t="shared" ca="1" si="59"/>
        <v>95.715875370919846</v>
      </c>
      <c r="AQ146">
        <f t="shared" ca="1" si="60"/>
        <v>97.749287749287916</v>
      </c>
      <c r="AR146">
        <f t="shared" ca="1" si="61"/>
        <v>111.44866958915287</v>
      </c>
      <c r="AT146" s="21">
        <f ca="1">MAX($AO$3:AO147)</f>
        <v>106.96839029133979</v>
      </c>
      <c r="AU146" s="2">
        <f t="shared" ca="1" si="62"/>
        <v>-5.1134924173005691E-2</v>
      </c>
    </row>
    <row r="147" spans="1:47" x14ac:dyDescent="0.25">
      <c r="A147" vm="2285">
        <f ca="1"/>
        <v>45866</v>
      </c>
      <c r="B147" vm="2286">
        <f ca="1"/>
        <v>152.36000000000001</v>
      </c>
      <c r="C147" vm="2287">
        <f ca="1"/>
        <v>210</v>
      </c>
      <c r="D147" vm="2288">
        <f ca="1"/>
        <v>306.95</v>
      </c>
      <c r="E147" vm="387">
        <f ca="1"/>
        <v>232.85</v>
      </c>
      <c r="F147" vm="2289">
        <f ca="1"/>
        <v>200.9</v>
      </c>
      <c r="G147" vm="2290">
        <f ca="1"/>
        <v>165.7</v>
      </c>
      <c r="H147" vm="2291">
        <f ca="1"/>
        <v>440.6</v>
      </c>
      <c r="I147" vm="2292">
        <f ca="1"/>
        <v>135.62</v>
      </c>
      <c r="J147" vm="2293">
        <f ca="1"/>
        <v>461.45</v>
      </c>
      <c r="K147" vm="2019">
        <f ca="1"/>
        <v>44.4</v>
      </c>
      <c r="L147" vm="2294">
        <f ca="1"/>
        <v>251.25</v>
      </c>
      <c r="M147" vm="2295">
        <f ca="1"/>
        <v>257.14999999999998</v>
      </c>
      <c r="N147" vm="2007">
        <f ca="1"/>
        <v>19.93</v>
      </c>
      <c r="O147" vm="2296">
        <f ca="1"/>
        <v>600.4</v>
      </c>
      <c r="Q147" s="4">
        <f t="shared" ca="1" si="42"/>
        <v>5.0175614651279954E-3</v>
      </c>
      <c r="R147" s="4">
        <f t="shared" ca="1" si="43"/>
        <v>-8.5892205282367406E-4</v>
      </c>
      <c r="S147" s="4">
        <f t="shared" ca="1" si="44"/>
        <v>2.3536511768255997E-2</v>
      </c>
      <c r="T147" s="4">
        <f t="shared" ca="1" si="52"/>
        <v>-3.3918301135525963E-3</v>
      </c>
      <c r="U147" s="4">
        <f t="shared" ca="1" si="53"/>
        <v>-5.4177050601367238E-4</v>
      </c>
      <c r="V147" s="4">
        <f t="shared" ca="1" si="45"/>
        <v>-1.8377526909950648E-3</v>
      </c>
      <c r="W147" s="4">
        <f t="shared" ca="1" si="46"/>
        <v>-5.0771528123445542E-3</v>
      </c>
      <c r="X147" s="4">
        <f t="shared" ca="1" si="47"/>
        <v>5.8331713007975239E-4</v>
      </c>
      <c r="Y147" s="4">
        <f t="shared" ca="1" si="48"/>
        <v>-1.0099364717380599E-2</v>
      </c>
      <c r="Z147" s="4">
        <f t="shared" ca="1" si="49"/>
        <v>2.1691542288557075E-2</v>
      </c>
      <c r="AA147" s="4">
        <f t="shared" ca="1" si="50"/>
        <v>5.9010440308668866E-3</v>
      </c>
      <c r="AB147" s="4">
        <f t="shared" ca="1" si="54"/>
        <v>-0.10059960026648895</v>
      </c>
      <c r="AC147" s="4">
        <f t="shared" ca="1" si="55"/>
        <v>-2.3809523809523725E-3</v>
      </c>
      <c r="AD147" s="4"/>
      <c r="AE147" s="2" cm="1">
        <f t="array" aca="1" ref="AE147" ca="1">SUMPRODUCT(Q147:AB147,TRANSPOSE(Insights.!$H$4:$H$15))</f>
        <v>-4.8003235866458313E-3</v>
      </c>
      <c r="AG147" s="10" vm="2285">
        <f ca="1"/>
        <v>45866</v>
      </c>
      <c r="AH147" s="1" vm="2297">
        <f ca="1"/>
        <v>104.345</v>
      </c>
      <c r="AI147" s="2">
        <f t="shared" ca="1" si="51"/>
        <v>3.1146676889166613E-3</v>
      </c>
      <c r="AJ147" s="1" vm="2298">
        <f ca="1"/>
        <v>103.80500000000001</v>
      </c>
      <c r="AK147" s="2">
        <f t="shared" ca="1" si="56"/>
        <v>4.1423823515245317E-3</v>
      </c>
      <c r="AL147" s="1" vm="2299">
        <f ca="1"/>
        <v>54.33</v>
      </c>
      <c r="AM147" s="2">
        <f t="shared" ca="1" si="57"/>
        <v>1.0123320449107354E-2</v>
      </c>
      <c r="AO147" s="9">
        <f t="shared" ca="1" si="58"/>
        <v>102.48181485418593</v>
      </c>
      <c r="AP147">
        <f t="shared" ca="1" si="59"/>
        <v>96.759087537091958</v>
      </c>
      <c r="AQ147">
        <f t="shared" ca="1" si="60"/>
        <v>98.58024691358041</v>
      </c>
      <c r="AR147">
        <f t="shared" ca="1" si="61"/>
        <v>110.77581812621068</v>
      </c>
      <c r="AT147" s="21">
        <f ca="1">MAX($AO$3:AO148)</f>
        <v>106.96839029133979</v>
      </c>
      <c r="AU147" s="2">
        <f t="shared" ca="1" si="62"/>
        <v>-4.1943002273234109E-2</v>
      </c>
    </row>
    <row r="148" spans="1:47" x14ac:dyDescent="0.25">
      <c r="A148" vm="2300">
        <f ca="1"/>
        <v>45867</v>
      </c>
      <c r="B148" vm="2301">
        <f ca="1"/>
        <v>152.08000000000001</v>
      </c>
      <c r="C148" vm="2302">
        <f ca="1"/>
        <v>209.5</v>
      </c>
      <c r="D148" vm="2303">
        <f ca="1"/>
        <v>303.85000000000002</v>
      </c>
      <c r="E148" vm="2304">
        <f ca="1"/>
        <v>232.65</v>
      </c>
      <c r="F148" vm="2305">
        <f ca="1"/>
        <v>199.88</v>
      </c>
      <c r="G148" vm="2306">
        <f ca="1"/>
        <v>169.6</v>
      </c>
      <c r="H148" vm="2307">
        <f ca="1"/>
        <v>443.2</v>
      </c>
      <c r="I148" vm="2308">
        <f ca="1"/>
        <v>135.16</v>
      </c>
      <c r="J148" vm="2309">
        <f ca="1"/>
        <v>461.2</v>
      </c>
      <c r="K148" vm="1990">
        <f ca="1"/>
        <v>44</v>
      </c>
      <c r="L148" vm="921">
        <f ca="1"/>
        <v>256.7</v>
      </c>
      <c r="M148" vm="2310">
        <f ca="1"/>
        <v>257.3</v>
      </c>
      <c r="N148" vm="2311">
        <f ca="1"/>
        <v>20.03</v>
      </c>
      <c r="O148" vm="2312">
        <f ca="1"/>
        <v>540</v>
      </c>
      <c r="Q148" s="4">
        <f t="shared" ca="1" si="42"/>
        <v>-0.25461807289066407</v>
      </c>
      <c r="R148" s="4">
        <f t="shared" ca="1" si="43"/>
        <v>1.7193208682571015E-3</v>
      </c>
      <c r="S148" s="4">
        <f t="shared" ca="1" si="44"/>
        <v>6.7511792452830344E-2</v>
      </c>
      <c r="T148" s="4">
        <f t="shared" ca="1" si="52"/>
        <v>-1.4205386208937409E-2</v>
      </c>
      <c r="U148" s="4">
        <f t="shared" ca="1" si="53"/>
        <v>5.2038161318301857E-3</v>
      </c>
      <c r="V148" s="4">
        <f t="shared" ca="1" si="45"/>
        <v>2.9721199368753171E-2</v>
      </c>
      <c r="W148" s="4">
        <f t="shared" ca="1" si="46"/>
        <v>8.1048629177506992E-3</v>
      </c>
      <c r="X148" s="4">
        <f t="shared" ca="1" si="47"/>
        <v>1.2436844150796711E-2</v>
      </c>
      <c r="Y148" s="4">
        <f t="shared" ca="1" si="48"/>
        <v>8.5568537107123532E-3</v>
      </c>
      <c r="Z148" s="4">
        <f t="shared" ca="1" si="49"/>
        <v>1.5387611998441741E-2</v>
      </c>
      <c r="AA148" s="4">
        <f t="shared" ca="1" si="50"/>
        <v>1.1055956678700518E-2</v>
      </c>
      <c r="AB148" s="4">
        <f t="shared" ca="1" si="54"/>
        <v>2.4074074074074137E-2</v>
      </c>
      <c r="AC148" s="4">
        <f t="shared" ca="1" si="55"/>
        <v>1.193317422434359E-2</v>
      </c>
      <c r="AD148" s="4"/>
      <c r="AE148" s="2" cm="1">
        <f t="array" aca="1" ref="AE148" ca="1">SUMPRODUCT(Q148:AB148,TRANSPOSE(Insights.!$H$4:$H$15))</f>
        <v>-4.7531813945406957E-3</v>
      </c>
      <c r="AG148" s="10" vm="2300">
        <f ca="1"/>
        <v>45867</v>
      </c>
      <c r="AH148" s="1" vm="2313">
        <f ca="1"/>
        <v>104.67</v>
      </c>
      <c r="AI148" s="2">
        <f t="shared" ca="1" si="51"/>
        <v>6.7832234642208888E-3</v>
      </c>
      <c r="AJ148" s="1" vm="2314">
        <f ca="1"/>
        <v>104.235</v>
      </c>
      <c r="AK148" s="2">
        <f t="shared" ca="1" si="56"/>
        <v>4.4131050031179786E-3</v>
      </c>
      <c r="AL148" s="1" vm="2315">
        <f ca="1"/>
        <v>54.88</v>
      </c>
      <c r="AM148" s="2">
        <f t="shared" ca="1" si="57"/>
        <v>2.368804664723001E-3</v>
      </c>
      <c r="AO148" s="9">
        <f t="shared" ca="1" si="58"/>
        <v>101.98986898113911</v>
      </c>
      <c r="AP148">
        <f t="shared" ca="1" si="59"/>
        <v>97.060459940652791</v>
      </c>
      <c r="AQ148">
        <f t="shared" ca="1" si="60"/>
        <v>98.988603988604154</v>
      </c>
      <c r="AR148">
        <f t="shared" ca="1" si="61"/>
        <v>111.89723723111435</v>
      </c>
      <c r="AT148" s="21">
        <f ca="1">MAX($AO$3:AO149)</f>
        <v>106.96839029133979</v>
      </c>
      <c r="AU148" s="2">
        <f t="shared" ca="1" si="62"/>
        <v>-4.654198587677294E-2</v>
      </c>
    </row>
    <row r="149" spans="1:47" x14ac:dyDescent="0.25">
      <c r="A149" vm="2316">
        <f ca="1"/>
        <v>45868</v>
      </c>
      <c r="B149" vm="1000">
        <f ca="1"/>
        <v>156.6</v>
      </c>
      <c r="C149" vm="202">
        <f ca="1"/>
        <v>212</v>
      </c>
      <c r="D149" vm="4">
        <f ca="1"/>
        <v>306.45</v>
      </c>
      <c r="E149" vm="2317">
        <f ca="1"/>
        <v>233.05</v>
      </c>
      <c r="F149" vm="419">
        <f ca="1"/>
        <v>201.5</v>
      </c>
      <c r="G149" vm="2318">
        <f ca="1"/>
        <v>181.05</v>
      </c>
      <c r="H149" vm="1451">
        <f ca="1"/>
        <v>448.1</v>
      </c>
      <c r="I149" vm="2319">
        <f ca="1"/>
        <v>133.24</v>
      </c>
      <c r="J149" vm="2320">
        <f ca="1"/>
        <v>463.6</v>
      </c>
      <c r="K149" vm="1796">
        <f ca="1"/>
        <v>45.8</v>
      </c>
      <c r="L149" vm="2321">
        <f ca="1"/>
        <v>260.64999999999998</v>
      </c>
      <c r="M149" vm="2322">
        <f ca="1"/>
        <v>260.5</v>
      </c>
      <c r="N149" vm="2323">
        <f ca="1"/>
        <v>14.93</v>
      </c>
      <c r="O149" vm="2324">
        <f ca="1"/>
        <v>553</v>
      </c>
      <c r="Q149" s="4">
        <f t="shared" ca="1" si="42"/>
        <v>-1.1051574012056253E-2</v>
      </c>
      <c r="R149" s="4">
        <f t="shared" ca="1" si="43"/>
        <v>-1.9309161124222318E-2</v>
      </c>
      <c r="S149" s="4">
        <f t="shared" ca="1" si="44"/>
        <v>5.5233360950013299E-3</v>
      </c>
      <c r="T149" s="4">
        <f t="shared" ca="1" si="52"/>
        <v>-7.9555688982287931E-3</v>
      </c>
      <c r="U149" s="4">
        <f t="shared" ca="1" si="53"/>
        <v>4.7562553925798001E-2</v>
      </c>
      <c r="V149" s="4">
        <f t="shared" ca="1" si="45"/>
        <v>-6.7688378033206043E-3</v>
      </c>
      <c r="W149" s="4">
        <f t="shared" ca="1" si="46"/>
        <v>1.9851116625310139E-2</v>
      </c>
      <c r="X149" s="4">
        <f t="shared" ca="1" si="47"/>
        <v>-4.7984644913627861E-3</v>
      </c>
      <c r="Y149" s="4">
        <f t="shared" ca="1" si="48"/>
        <v>-7.342143906020504E-3</v>
      </c>
      <c r="Z149" s="4">
        <f t="shared" ca="1" si="49"/>
        <v>5.754843660081832E-4</v>
      </c>
      <c r="AA149" s="4">
        <f t="shared" ca="1" si="50"/>
        <v>4.2178085248828268E-2</v>
      </c>
      <c r="AB149" s="4">
        <f t="shared" ca="1" si="54"/>
        <v>-1.808318264014952E-4</v>
      </c>
      <c r="AC149" s="4">
        <f t="shared" ca="1" si="55"/>
        <v>2.3584905660376521E-3</v>
      </c>
      <c r="AD149" s="4"/>
      <c r="AE149" s="2" cm="1">
        <f t="array" aca="1" ref="AE149" ca="1">SUMPRODUCT(Q149:AB149,TRANSPOSE(Insights.!$H$4:$H$15))</f>
        <v>4.4832237219685715E-3</v>
      </c>
      <c r="AG149" s="10" vm="2316">
        <f ca="1"/>
        <v>45868</v>
      </c>
      <c r="AH149" s="1" vm="2325">
        <f ca="1"/>
        <v>105.38</v>
      </c>
      <c r="AI149" s="2">
        <f t="shared" ca="1" si="51"/>
        <v>1.5657620041753528E-3</v>
      </c>
      <c r="AJ149" s="1" vm="2326">
        <f ca="1"/>
        <v>104.69499999999999</v>
      </c>
      <c r="AK149" s="2">
        <f t="shared" ca="1" si="56"/>
        <v>2.2923730837194345E-3</v>
      </c>
      <c r="AL149" s="1" vm="601">
        <f ca="1"/>
        <v>55.01</v>
      </c>
      <c r="AM149" s="2">
        <f t="shared" ca="1" si="57"/>
        <v>-1.6360661697873091E-2</v>
      </c>
      <c r="AO149" s="9">
        <f t="shared" ca="1" si="58"/>
        <v>101.50509263346632</v>
      </c>
      <c r="AP149">
        <f t="shared" ca="1" si="59"/>
        <v>97.718842729970305</v>
      </c>
      <c r="AQ149">
        <f t="shared" ca="1" si="60"/>
        <v>99.425451092117925</v>
      </c>
      <c r="AR149">
        <f t="shared" ca="1" si="61"/>
        <v>112.16229992863703</v>
      </c>
      <c r="AT149" s="21">
        <f ca="1">MAX($AO$3:AO150)</f>
        <v>106.96839029133979</v>
      </c>
      <c r="AU149" s="2">
        <f t="shared" ca="1" si="62"/>
        <v>-5.1073944769979174E-2</v>
      </c>
    </row>
    <row r="150" spans="1:47" x14ac:dyDescent="0.25">
      <c r="A150" vm="2327">
        <f ca="1"/>
        <v>45869</v>
      </c>
      <c r="B150" vm="2328">
        <f ca="1"/>
        <v>155.54</v>
      </c>
      <c r="C150" vm="268">
        <f ca="1"/>
        <v>212.5</v>
      </c>
      <c r="D150" vm="2329">
        <f ca="1"/>
        <v>304.2</v>
      </c>
      <c r="E150" vm="2330">
        <f ca="1"/>
        <v>228.55</v>
      </c>
      <c r="F150" vm="188">
        <f ca="1"/>
        <v>205.5</v>
      </c>
      <c r="G150" vm="2331">
        <f ca="1"/>
        <v>182.05</v>
      </c>
      <c r="H150" vm="2332">
        <f ca="1"/>
        <v>467</v>
      </c>
      <c r="I150" vm="2333">
        <f ca="1"/>
        <v>132.18</v>
      </c>
      <c r="J150" vm="295">
        <f ca="1"/>
        <v>485.65</v>
      </c>
      <c r="K150" vm="2334">
        <f ca="1"/>
        <v>49</v>
      </c>
      <c r="L150" vm="2335">
        <f ca="1"/>
        <v>260.8</v>
      </c>
      <c r="M150" vm="2336">
        <f ca="1"/>
        <v>259.25</v>
      </c>
      <c r="N150" vm="2337">
        <f ca="1"/>
        <v>14.765000000000001</v>
      </c>
      <c r="O150" vm="2338">
        <f ca="1"/>
        <v>552.9</v>
      </c>
      <c r="Q150" s="4">
        <f t="shared" ca="1" si="42"/>
        <v>4.7409414155097362E-3</v>
      </c>
      <c r="R150" s="4">
        <f t="shared" ca="1" si="43"/>
        <v>-4.5504266024939843E-2</v>
      </c>
      <c r="S150" s="4">
        <f t="shared" ca="1" si="44"/>
        <v>-1.675363911013461E-2</v>
      </c>
      <c r="T150" s="4">
        <f t="shared" ca="1" si="52"/>
        <v>-1.013769102738693E-2</v>
      </c>
      <c r="U150" s="4">
        <f t="shared" ca="1" si="53"/>
        <v>-2.8106661175743786E-2</v>
      </c>
      <c r="V150" s="4">
        <f t="shared" ca="1" si="45"/>
        <v>-3.4074836055033919E-2</v>
      </c>
      <c r="W150" s="4">
        <f t="shared" ca="1" si="46"/>
        <v>-9.3819951338199536E-2</v>
      </c>
      <c r="X150" s="4">
        <f t="shared" ca="1" si="47"/>
        <v>-2.9122468659595002E-2</v>
      </c>
      <c r="Y150" s="4">
        <f t="shared" ca="1" si="48"/>
        <v>-3.2873109796186739E-2</v>
      </c>
      <c r="Z150" s="4">
        <f t="shared" ca="1" si="49"/>
        <v>-3.8726993865030757E-2</v>
      </c>
      <c r="AA150" s="4">
        <f t="shared" ca="1" si="50"/>
        <v>-2.8693790149892928E-2</v>
      </c>
      <c r="AB150" s="4">
        <f t="shared" ca="1" si="54"/>
        <v>-5.606800506420706E-3</v>
      </c>
      <c r="AC150" s="4">
        <f t="shared" ca="1" si="55"/>
        <v>-4.9411764705882377E-2</v>
      </c>
      <c r="AD150" s="4"/>
      <c r="AE150" s="2" cm="1">
        <f t="array" aca="1" ref="AE150" ca="1">SUMPRODUCT(Q150:AB150,TRANSPOSE(Insights.!$H$4:$H$15))</f>
        <v>-2.7603664581993422E-2</v>
      </c>
      <c r="AG150" s="10" vm="2327">
        <f ca="1"/>
        <v>45869</v>
      </c>
      <c r="AH150" s="1" vm="2339">
        <f ca="1"/>
        <v>105.545</v>
      </c>
      <c r="AI150" s="2">
        <f t="shared" ca="1" si="51"/>
        <v>-3.2166374532190067E-2</v>
      </c>
      <c r="AJ150" s="1" vm="2340">
        <f ca="1"/>
        <v>104.935</v>
      </c>
      <c r="AK150" s="2">
        <f t="shared" ca="1" si="56"/>
        <v>-2.9589746033258701E-2</v>
      </c>
      <c r="AL150" s="1" vm="2341">
        <f ca="1"/>
        <v>54.11</v>
      </c>
      <c r="AM150" s="2">
        <f t="shared" ca="1" si="57"/>
        <v>-2.6797264830900058E-2</v>
      </c>
      <c r="AO150" s="9">
        <f t="shared" ca="1" si="58"/>
        <v>101.96016267266128</v>
      </c>
      <c r="AP150">
        <f t="shared" ca="1" si="59"/>
        <v>97.871847181008874</v>
      </c>
      <c r="AQ150">
        <f t="shared" ca="1" si="60"/>
        <v>99.653371320038161</v>
      </c>
      <c r="AR150">
        <f t="shared" ca="1" si="61"/>
        <v>110.32725048424922</v>
      </c>
      <c r="AT150" s="21">
        <f ca="1">MAX($AO$3:AO151)</f>
        <v>106.96839029133979</v>
      </c>
      <c r="AU150" s="2">
        <f t="shared" ca="1" si="62"/>
        <v>-4.6819696968777968E-2</v>
      </c>
    </row>
    <row r="151" spans="1:47" x14ac:dyDescent="0.25">
      <c r="A151" vm="2342">
        <f ca="1"/>
        <v>45870</v>
      </c>
      <c r="B151" vm="2343">
        <f ca="1"/>
        <v>150.24</v>
      </c>
      <c r="C151" vm="21">
        <f ca="1"/>
        <v>202</v>
      </c>
      <c r="D151" vm="2344">
        <f ca="1"/>
        <v>294.2</v>
      </c>
      <c r="E151" vm="2345">
        <f ca="1"/>
        <v>218.15</v>
      </c>
      <c r="F151" vm="2346">
        <f ca="1"/>
        <v>186.22</v>
      </c>
      <c r="G151" vm="2347">
        <f ca="1"/>
        <v>179</v>
      </c>
      <c r="H151" vm="2348">
        <f ca="1"/>
        <v>453.6</v>
      </c>
      <c r="I151" vm="2349">
        <f ca="1"/>
        <v>130.84</v>
      </c>
      <c r="J151" vm="2350">
        <f ca="1"/>
        <v>472</v>
      </c>
      <c r="K151" vm="2351">
        <f ca="1"/>
        <v>46.2</v>
      </c>
      <c r="L151" vm="2352">
        <f ca="1"/>
        <v>250.7</v>
      </c>
      <c r="M151" vm="2353">
        <f ca="1"/>
        <v>251.7</v>
      </c>
      <c r="N151" vm="2354">
        <f ca="1"/>
        <v>14.835000000000001</v>
      </c>
      <c r="O151" vm="2355">
        <f ca="1"/>
        <v>549.79999999999995</v>
      </c>
      <c r="Q151" s="4">
        <f t="shared" ca="1" si="42"/>
        <v>-2.5615099427030774E-2</v>
      </c>
      <c r="R151" s="4">
        <f t="shared" ca="1" si="43"/>
        <v>2.0628008251202257E-3</v>
      </c>
      <c r="S151" s="4">
        <f t="shared" ca="1" si="44"/>
        <v>3.4078212290502785E-2</v>
      </c>
      <c r="T151" s="4">
        <f t="shared" ca="1" si="52"/>
        <v>-4.4328951391012783E-3</v>
      </c>
      <c r="U151" s="4">
        <f t="shared" ca="1" si="53"/>
        <v>2.1292372881355881E-2</v>
      </c>
      <c r="V151" s="4">
        <f t="shared" ca="1" si="45"/>
        <v>3.3945686900958449E-2</v>
      </c>
      <c r="W151" s="4">
        <f t="shared" ca="1" si="46"/>
        <v>-1.7183975942433594E-2</v>
      </c>
      <c r="X151" s="4">
        <f t="shared" ca="1" si="47"/>
        <v>5.3635280095352122E-3</v>
      </c>
      <c r="Y151" s="4">
        <f t="shared" ca="1" si="48"/>
        <v>3.9089055064582823E-3</v>
      </c>
      <c r="Z151" s="4">
        <f t="shared" ca="1" si="49"/>
        <v>2.3932987634623037E-2</v>
      </c>
      <c r="AA151" s="4">
        <f t="shared" ca="1" si="50"/>
        <v>1.8518518518518379E-2</v>
      </c>
      <c r="AB151" s="4">
        <f t="shared" ca="1" si="54"/>
        <v>5.3110221898872378E-2</v>
      </c>
      <c r="AC151" s="4">
        <f t="shared" ca="1" si="55"/>
        <v>1.4851485148514865E-2</v>
      </c>
      <c r="AD151" s="4"/>
      <c r="AE151" s="2" cm="1">
        <f t="array" aca="1" ref="AE151" ca="1">SUMPRODUCT(Q151:AB151,TRANSPOSE(Insights.!$H$4:$H$15))</f>
        <v>1.1566910874536351E-2</v>
      </c>
      <c r="AG151" s="10" vm="2342">
        <f ca="1"/>
        <v>45870</v>
      </c>
      <c r="AH151" s="1" vm="2356">
        <f ca="1"/>
        <v>102.15</v>
      </c>
      <c r="AI151" s="2">
        <f t="shared" ca="1" si="51"/>
        <v>1.3607440039158147E-2</v>
      </c>
      <c r="AJ151" s="1" vm="2357">
        <f ca="1"/>
        <v>101.83</v>
      </c>
      <c r="AK151" s="2">
        <f t="shared" ca="1" si="56"/>
        <v>1.1931650790533377E-2</v>
      </c>
      <c r="AL151" s="1" vm="2358">
        <f ca="1"/>
        <v>52.66</v>
      </c>
      <c r="AM151" s="2">
        <f t="shared" ca="1" si="57"/>
        <v>1.5381693885301972E-2</v>
      </c>
      <c r="AO151" s="9">
        <f t="shared" ca="1" si="58"/>
        <v>99.145688541519661</v>
      </c>
      <c r="AP151">
        <f t="shared" ca="1" si="59"/>
        <v>94.723664688427277</v>
      </c>
      <c r="AQ151">
        <f t="shared" ca="1" si="60"/>
        <v>96.704653371320205</v>
      </c>
      <c r="AR151">
        <f t="shared" ca="1" si="61"/>
        <v>107.37078193495775</v>
      </c>
      <c r="AT151" s="21">
        <f ca="1">MAX($AO$3:AO152)</f>
        <v>106.96839029133979</v>
      </c>
      <c r="AU151" s="2">
        <f t="shared" ca="1" si="62"/>
        <v>-7.313096633981464E-2</v>
      </c>
    </row>
    <row r="152" spans="1:47" x14ac:dyDescent="0.25">
      <c r="A152" vm="2359">
        <f ca="1"/>
        <v>45873</v>
      </c>
      <c r="B152" vm="2360">
        <f ca="1"/>
        <v>155.34</v>
      </c>
      <c r="C152" vm="2262">
        <f ca="1"/>
        <v>205</v>
      </c>
      <c r="D152" vm="2361">
        <f ca="1"/>
        <v>295.35000000000002</v>
      </c>
      <c r="E152" vm="2362">
        <f ca="1"/>
        <v>218.6</v>
      </c>
      <c r="F152" vm="2363">
        <f ca="1"/>
        <v>183.02</v>
      </c>
      <c r="G152" vm="2364">
        <f ca="1"/>
        <v>185.1</v>
      </c>
      <c r="H152" vm="2365">
        <f ca="1"/>
        <v>462</v>
      </c>
      <c r="I152" vm="2366">
        <f ca="1"/>
        <v>130.26</v>
      </c>
      <c r="J152" vm="2367">
        <f ca="1"/>
        <v>482.05</v>
      </c>
      <c r="K152" vm="1781">
        <f ca="1"/>
        <v>47.4</v>
      </c>
      <c r="L152" vm="921">
        <f ca="1"/>
        <v>256.7</v>
      </c>
      <c r="M152" vm="227">
        <f ca="1"/>
        <v>253.05</v>
      </c>
      <c r="N152" vm="2368">
        <f ca="1"/>
        <v>14.455</v>
      </c>
      <c r="O152" vm="2369">
        <f ca="1"/>
        <v>579</v>
      </c>
      <c r="Q152" s="4">
        <f t="shared" ca="1" si="42"/>
        <v>4.2545831892078834E-2</v>
      </c>
      <c r="R152" s="4">
        <f t="shared" ca="1" si="43"/>
        <v>-1.6468435498627643E-2</v>
      </c>
      <c r="S152" s="4">
        <f t="shared" ca="1" si="44"/>
        <v>-2.7552674230145846E-2</v>
      </c>
      <c r="T152" s="4">
        <f t="shared" ca="1" si="52"/>
        <v>-6.141563027789454E-4</v>
      </c>
      <c r="U152" s="4">
        <f t="shared" ca="1" si="53"/>
        <v>1.2550565294056737E-2</v>
      </c>
      <c r="V152" s="4">
        <f t="shared" ca="1" si="45"/>
        <v>-7.467490665636678E-3</v>
      </c>
      <c r="W152" s="4">
        <f t="shared" ca="1" si="46"/>
        <v>8.5236586165446937E-3</v>
      </c>
      <c r="X152" s="4">
        <f t="shared" ca="1" si="47"/>
        <v>-1.2052953961667723E-2</v>
      </c>
      <c r="Y152" s="4">
        <f t="shared" ca="1" si="48"/>
        <v>-1.2696800406297615E-2</v>
      </c>
      <c r="Z152" s="4">
        <f t="shared" ca="1" si="49"/>
        <v>-1.7335410985586219E-2</v>
      </c>
      <c r="AA152" s="4">
        <f t="shared" ca="1" si="50"/>
        <v>-1.0606060606060508E-2</v>
      </c>
      <c r="AB152" s="4">
        <f t="shared" ca="1" si="54"/>
        <v>-4.2832469775474835E-2</v>
      </c>
      <c r="AC152" s="4">
        <f t="shared" ca="1" si="55"/>
        <v>-1.2195121951219523E-2</v>
      </c>
      <c r="AD152" s="4"/>
      <c r="AE152" s="2" cm="1">
        <f t="array" aca="1" ref="AE152" ca="1">SUMPRODUCT(Q152:AB152,TRANSPOSE(Insights.!$H$4:$H$15))</f>
        <v>-7.246735228939624E-3</v>
      </c>
      <c r="AG152" s="10" vm="2359">
        <f ca="1"/>
        <v>45873</v>
      </c>
      <c r="AH152" s="1" vm="2370">
        <f ca="1"/>
        <v>103.54</v>
      </c>
      <c r="AI152" s="2">
        <f t="shared" ca="1" si="51"/>
        <v>-2.2696542399073261E-3</v>
      </c>
      <c r="AJ152" s="1" vm="2371">
        <f ca="1"/>
        <v>103.045</v>
      </c>
      <c r="AK152" s="2">
        <f t="shared" ca="1" si="56"/>
        <v>-2.3776020185356517E-3</v>
      </c>
      <c r="AL152" s="1" vm="1982">
        <f ca="1"/>
        <v>53.47</v>
      </c>
      <c r="AM152" s="2">
        <f t="shared" ca="1" si="57"/>
        <v>2.8053113895643023E-3</v>
      </c>
      <c r="AO152" s="9">
        <f t="shared" ca="1" si="58"/>
        <v>100.29249788447396</v>
      </c>
      <c r="AP152">
        <f t="shared" ca="1" si="59"/>
        <v>96.012611275964375</v>
      </c>
      <c r="AQ152">
        <f t="shared" ca="1" si="60"/>
        <v>97.85849952516638</v>
      </c>
      <c r="AR152">
        <f t="shared" ca="1" si="61"/>
        <v>109.02232643490677</v>
      </c>
      <c r="AT152" s="21">
        <f ca="1">MAX($AO$3:AO153)</f>
        <v>106.96839029133979</v>
      </c>
      <c r="AU152" s="2">
        <f t="shared" ca="1" si="62"/>
        <v>-6.240995483509959E-2</v>
      </c>
    </row>
    <row r="153" spans="1:47" x14ac:dyDescent="0.25">
      <c r="A153" vm="2372">
        <f ca="1"/>
        <v>45874</v>
      </c>
      <c r="B153" vm="2373">
        <f ca="1"/>
        <v>154.18</v>
      </c>
      <c r="C153" vm="104">
        <f ca="1"/>
        <v>202.5</v>
      </c>
      <c r="D153" vm="2374">
        <f ca="1"/>
        <v>291.60000000000002</v>
      </c>
      <c r="E153" vm="2375">
        <f ca="1"/>
        <v>215</v>
      </c>
      <c r="F153" vm="2376">
        <f ca="1"/>
        <v>184.58</v>
      </c>
      <c r="G153" vm="239">
        <f ca="1"/>
        <v>180</v>
      </c>
      <c r="H153" vm="2377">
        <f ca="1"/>
        <v>457.1</v>
      </c>
      <c r="I153" vm="2378">
        <f ca="1"/>
        <v>130.18</v>
      </c>
      <c r="J153" vm="2379">
        <f ca="1"/>
        <v>488.1</v>
      </c>
      <c r="K153" vm="2380">
        <f ca="1"/>
        <v>46.6</v>
      </c>
      <c r="L153" vm="2381">
        <f ca="1"/>
        <v>252.25</v>
      </c>
      <c r="M153" vm="2065">
        <f ca="1"/>
        <v>250</v>
      </c>
      <c r="N153" vm="2382">
        <f ca="1"/>
        <v>15.07</v>
      </c>
      <c r="O153" vm="2383">
        <f ca="1"/>
        <v>554.20000000000005</v>
      </c>
      <c r="Q153" s="4">
        <f t="shared" ca="1" si="42"/>
        <v>6.6357000663574972E-4</v>
      </c>
      <c r="R153" s="4">
        <f t="shared" ca="1" si="43"/>
        <v>-7.6744186046512342E-3</v>
      </c>
      <c r="S153" s="4">
        <f t="shared" ca="1" si="44"/>
        <v>-3.8055555555555509E-2</v>
      </c>
      <c r="T153" s="4">
        <f t="shared" ca="1" si="52"/>
        <v>9.3716392687048788E-3</v>
      </c>
      <c r="U153" s="4">
        <f t="shared" ca="1" si="53"/>
        <v>-1.3419381274329067E-2</v>
      </c>
      <c r="V153" s="4">
        <f t="shared" ca="1" si="45"/>
        <v>-1.9457776624725032E-3</v>
      </c>
      <c r="W153" s="4">
        <f t="shared" ca="1" si="46"/>
        <v>3.2181168057211051E-2</v>
      </c>
      <c r="X153" s="4">
        <f t="shared" ca="1" si="47"/>
        <v>7.2000000000000952E-3</v>
      </c>
      <c r="Y153" s="4">
        <f t="shared" ca="1" si="48"/>
        <v>-2.4005486968451395E-3</v>
      </c>
      <c r="Z153" s="4">
        <f t="shared" ca="1" si="49"/>
        <v>1.8235877106045573E-2</v>
      </c>
      <c r="AA153" s="4">
        <f t="shared" ca="1" si="50"/>
        <v>-1.5313935681470103E-2</v>
      </c>
      <c r="AB153" s="4">
        <f t="shared" ca="1" si="54"/>
        <v>1.2089498376037344E-2</v>
      </c>
      <c r="AC153" s="4">
        <f t="shared" ca="1" si="55"/>
        <v>-1.9259259259259309E-2</v>
      </c>
      <c r="AD153" s="4"/>
      <c r="AE153" s="2" cm="1">
        <f t="array" aca="1" ref="AE153" ca="1">SUMPRODUCT(Q153:AB153,TRANSPOSE(Insights.!$H$4:$H$15))</f>
        <v>-4.6331405640972101E-4</v>
      </c>
      <c r="AG153" s="10" vm="2372">
        <f ca="1"/>
        <v>45874</v>
      </c>
      <c r="AH153" s="1" vm="2384">
        <f ca="1"/>
        <v>103.30500000000001</v>
      </c>
      <c r="AI153" s="2">
        <f t="shared" ca="1" si="51"/>
        <v>-1.0164077246987979E-3</v>
      </c>
      <c r="AJ153" s="1" vm="2385">
        <f ca="1"/>
        <v>102.8</v>
      </c>
      <c r="AK153" s="2">
        <f t="shared" ca="1" si="56"/>
        <v>2.1400778210116655E-3</v>
      </c>
      <c r="AL153" s="1" vm="2386">
        <f ca="1"/>
        <v>53.62</v>
      </c>
      <c r="AM153" s="2">
        <f t="shared" ca="1" si="57"/>
        <v>2.0514733308467648E-3</v>
      </c>
      <c r="AO153" s="9">
        <f t="shared" ca="1" si="58"/>
        <v>99.565704706856195</v>
      </c>
      <c r="AP153">
        <f t="shared" ca="1" si="59"/>
        <v>95.794695845697305</v>
      </c>
      <c r="AQ153">
        <f t="shared" ca="1" si="60"/>
        <v>97.625830959164475</v>
      </c>
      <c r="AR153">
        <f t="shared" ca="1" si="61"/>
        <v>109.32816800897142</v>
      </c>
      <c r="AT153" s="21">
        <f ca="1">MAX($AO$3:AO154)</f>
        <v>106.96839029133979</v>
      </c>
      <c r="AU153" s="2">
        <f t="shared" ca="1" si="62"/>
        <v>-6.9204421645699177E-2</v>
      </c>
    </row>
    <row r="154" spans="1:47" x14ac:dyDescent="0.25">
      <c r="A154" vm="2387">
        <f ca="1"/>
        <v>45875</v>
      </c>
      <c r="B154" vm="2388">
        <f ca="1"/>
        <v>153.88</v>
      </c>
      <c r="C154" vm="2389">
        <f ca="1"/>
        <v>198.6</v>
      </c>
      <c r="D154" vm="2390">
        <f ca="1"/>
        <v>290.89999999999998</v>
      </c>
      <c r="E154" vm="1299">
        <f ca="1"/>
        <v>213.35</v>
      </c>
      <c r="F154" vm="2391">
        <f ca="1"/>
        <v>190.52</v>
      </c>
      <c r="G154" vm="2392">
        <f ca="1"/>
        <v>173.15</v>
      </c>
      <c r="H154" vm="1947">
        <f ca="1"/>
        <v>450.1</v>
      </c>
      <c r="I154" vm="2393">
        <f ca="1"/>
        <v>131.4</v>
      </c>
      <c r="J154" vm="2394">
        <f ca="1"/>
        <v>481.55</v>
      </c>
      <c r="K154" vm="2194">
        <f ca="1"/>
        <v>46.8</v>
      </c>
      <c r="L154" vm="1539">
        <f ca="1"/>
        <v>256.85000000000002</v>
      </c>
      <c r="M154" vm="679">
        <f ca="1"/>
        <v>251.8</v>
      </c>
      <c r="N154" vm="2395">
        <f ca="1"/>
        <v>15.08</v>
      </c>
      <c r="O154" vm="2396">
        <f ca="1"/>
        <v>560.9</v>
      </c>
      <c r="Q154" s="4">
        <f t="shared" ca="1" si="42"/>
        <v>1.5583554376657816E-2</v>
      </c>
      <c r="R154" s="4">
        <f t="shared" ca="1" si="43"/>
        <v>-3.6559643777829831E-2</v>
      </c>
      <c r="S154" s="4">
        <f t="shared" ca="1" si="44"/>
        <v>1.357204735778228E-2</v>
      </c>
      <c r="T154" s="4">
        <f t="shared" ca="1" si="52"/>
        <v>-1.2176560121764934E-3</v>
      </c>
      <c r="U154" s="4">
        <f t="shared" ca="1" si="53"/>
        <v>9.5524867614993347E-3</v>
      </c>
      <c r="V154" s="4">
        <f t="shared" ca="1" si="45"/>
        <v>2.7293995321029385E-3</v>
      </c>
      <c r="W154" s="4">
        <f t="shared" ca="1" si="46"/>
        <v>2.6243963888306077E-3</v>
      </c>
      <c r="X154" s="4">
        <f t="shared" ca="1" si="47"/>
        <v>-1.1914217633042123E-2</v>
      </c>
      <c r="Y154" s="4">
        <f t="shared" ca="1" si="48"/>
        <v>-1.9938123066345681E-2</v>
      </c>
      <c r="Z154" s="4">
        <f t="shared" ca="1" si="49"/>
        <v>1.8298617870352363E-2</v>
      </c>
      <c r="AA154" s="4">
        <f t="shared" ca="1" si="50"/>
        <v>-9.1090868695845595E-3</v>
      </c>
      <c r="AB154" s="4">
        <f t="shared" ca="1" si="54"/>
        <v>5.1880905687288426E-2</v>
      </c>
      <c r="AC154" s="4">
        <f t="shared" ca="1" si="55"/>
        <v>4.733131923464251E-2</v>
      </c>
      <c r="AD154" s="4"/>
      <c r="AE154" s="2" cm="1">
        <f t="array" aca="1" ref="AE154" ca="1">SUMPRODUCT(Q154:AB154,TRANSPOSE(Insights.!$H$4:$H$15))</f>
        <v>1.049229197566262E-3</v>
      </c>
      <c r="AG154" s="10" vm="2387">
        <f ca="1"/>
        <v>45875</v>
      </c>
      <c r="AH154" s="1" vm="2397">
        <f ca="1"/>
        <v>103.2</v>
      </c>
      <c r="AI154" s="2">
        <f t="shared" ca="1" si="51"/>
        <v>-1.6472868217054515E-3</v>
      </c>
      <c r="AJ154" s="1" vm="2398">
        <f ca="1"/>
        <v>103.02</v>
      </c>
      <c r="AK154" s="2">
        <f t="shared" ca="1" si="56"/>
        <v>2.1840419336052186E-3</v>
      </c>
      <c r="AL154" s="1" vm="2070">
        <f ca="1"/>
        <v>53.73</v>
      </c>
      <c r="AM154" s="2">
        <f t="shared" ca="1" si="57"/>
        <v>1.0980830076307457E-2</v>
      </c>
      <c r="AO154" s="9">
        <f t="shared" ca="1" si="58"/>
        <v>99.519574516329172</v>
      </c>
      <c r="AP154">
        <f t="shared" ca="1" si="59"/>
        <v>95.697329376854569</v>
      </c>
      <c r="AQ154">
        <f t="shared" ca="1" si="60"/>
        <v>97.834757834758022</v>
      </c>
      <c r="AR154">
        <f t="shared" ca="1" si="61"/>
        <v>109.55245182995216</v>
      </c>
      <c r="AT154" s="21">
        <f ca="1">MAX($AO$3:AO155)</f>
        <v>106.96839029133979</v>
      </c>
      <c r="AU154" s="2">
        <f t="shared" ca="1" si="62"/>
        <v>-6.9635672320794706E-2</v>
      </c>
    </row>
    <row r="155" spans="1:47" x14ac:dyDescent="0.25">
      <c r="A155" vm="2399">
        <f ca="1"/>
        <v>45876</v>
      </c>
      <c r="B155" vm="907">
        <f ca="1"/>
        <v>154.30000000000001</v>
      </c>
      <c r="C155" vm="2400">
        <f ca="1"/>
        <v>208</v>
      </c>
      <c r="D155" vm="2401">
        <f ca="1"/>
        <v>285.10000000000002</v>
      </c>
      <c r="E155" vm="2402">
        <f ca="1"/>
        <v>205.55</v>
      </c>
      <c r="F155" vm="2403">
        <f ca="1"/>
        <v>191.02</v>
      </c>
      <c r="G155" vm="2404">
        <f ca="1"/>
        <v>175.5</v>
      </c>
      <c r="H155" vm="2405">
        <f ca="1"/>
        <v>446</v>
      </c>
      <c r="I155" vm="2406">
        <f ca="1"/>
        <v>131.24</v>
      </c>
      <c r="J155" vm="2407">
        <f ca="1"/>
        <v>486.15</v>
      </c>
      <c r="K155" vm="2408">
        <f ca="1"/>
        <v>55.5</v>
      </c>
      <c r="L155" vm="2409">
        <f ca="1"/>
        <v>261.55</v>
      </c>
      <c r="M155" vm="2410">
        <f ca="1"/>
        <v>248.8</v>
      </c>
      <c r="N155" vm="2411">
        <f ca="1"/>
        <v>15.315</v>
      </c>
      <c r="O155" vm="2412">
        <f ca="1"/>
        <v>590</v>
      </c>
      <c r="Q155" s="4">
        <f t="shared" ca="1" si="42"/>
        <v>-8.8148873653280946E-3</v>
      </c>
      <c r="R155" s="4">
        <f t="shared" ca="1" si="43"/>
        <v>-2.4324981756264075E-3</v>
      </c>
      <c r="S155" s="4">
        <f t="shared" ca="1" si="44"/>
        <v>1.025641025641022E-2</v>
      </c>
      <c r="T155" s="4">
        <f t="shared" ca="1" si="52"/>
        <v>-2.4382810118868115E-3</v>
      </c>
      <c r="U155" s="4">
        <f t="shared" ca="1" si="53"/>
        <v>-1.3781754602488872E-2</v>
      </c>
      <c r="V155" s="4">
        <f t="shared" ca="1" si="45"/>
        <v>1.7368762151652506E-2</v>
      </c>
      <c r="W155" s="4">
        <f t="shared" ca="1" si="46"/>
        <v>-9.4230970579001205E-4</v>
      </c>
      <c r="X155" s="4">
        <f t="shared" ca="1" si="47"/>
        <v>-3.4163987138264851E-3</v>
      </c>
      <c r="Y155" s="4">
        <f t="shared" ca="1" si="48"/>
        <v>1.4556296036478455E-2</v>
      </c>
      <c r="Z155" s="4">
        <f t="shared" ca="1" si="49"/>
        <v>-2.4851844771555109E-3</v>
      </c>
      <c r="AA155" s="4">
        <f t="shared" ca="1" si="50"/>
        <v>5.8295964125560928E-3</v>
      </c>
      <c r="AB155" s="4">
        <f t="shared" ca="1" si="54"/>
        <v>2.0677966101694922E-2</v>
      </c>
      <c r="AC155" s="4">
        <f t="shared" ca="1" si="55"/>
        <v>-7.2115384615384359E-3</v>
      </c>
      <c r="AD155" s="4"/>
      <c r="AE155" s="2" cm="1">
        <f t="array" aca="1" ref="AE155" ca="1">SUMPRODUCT(Q155:AB155,TRANSPOSE(Insights.!$H$4:$H$15))</f>
        <v>1.6784083562650116E-3</v>
      </c>
      <c r="AG155" s="10" vm="2399">
        <f ca="1"/>
        <v>45876</v>
      </c>
      <c r="AH155" s="1" vm="2413">
        <f ca="1"/>
        <v>103.03</v>
      </c>
      <c r="AI155" s="2">
        <f t="shared" ca="1" si="51"/>
        <v>7.2794331748033958E-3</v>
      </c>
      <c r="AJ155" s="1" vm="2414">
        <f ca="1"/>
        <v>103.245</v>
      </c>
      <c r="AK155" s="2">
        <f t="shared" ca="1" si="56"/>
        <v>2.8088527289455989E-3</v>
      </c>
      <c r="AL155" s="1" vm="2415">
        <f ca="1"/>
        <v>54.32</v>
      </c>
      <c r="AM155" s="2">
        <f t="shared" ca="1" si="57"/>
        <v>4.4182621502208974E-3</v>
      </c>
      <c r="AO155" s="9">
        <f t="shared" ca="1" si="58"/>
        <v>99.623993359641076</v>
      </c>
      <c r="AP155">
        <f t="shared" ca="1" si="59"/>
        <v>95.539688427299666</v>
      </c>
      <c r="AQ155">
        <f t="shared" ca="1" si="60"/>
        <v>98.048433048433239</v>
      </c>
      <c r="AR155">
        <f t="shared" ca="1" si="61"/>
        <v>110.75542868793973</v>
      </c>
      <c r="AT155" s="21">
        <f ca="1">MAX($AO$3:AO156)</f>
        <v>106.96839029133979</v>
      </c>
      <c r="AU155" s="2">
        <f t="shared" ca="1" si="62"/>
        <v>-6.8659506903819612E-2</v>
      </c>
    </row>
    <row r="156" spans="1:47" x14ac:dyDescent="0.25">
      <c r="A156" vm="2416">
        <f ca="1"/>
        <v>45877</v>
      </c>
      <c r="B156" vm="2417">
        <f ca="1"/>
        <v>156.97999999999999</v>
      </c>
      <c r="C156" vm="2418">
        <f ca="1"/>
        <v>206.5</v>
      </c>
      <c r="D156" vm="2419">
        <f ca="1"/>
        <v>289.25</v>
      </c>
      <c r="E156" vm="2420">
        <f ca="1"/>
        <v>205.05</v>
      </c>
      <c r="F156" vm="2421">
        <f ca="1"/>
        <v>190.84</v>
      </c>
      <c r="G156" vm="910">
        <f ca="1"/>
        <v>177.3</v>
      </c>
      <c r="H156" vm="2422">
        <f ca="1"/>
        <v>448.6</v>
      </c>
      <c r="I156" vm="2423">
        <f ca="1"/>
        <v>130.91999999999999</v>
      </c>
      <c r="J156" vm="2424">
        <f ca="1"/>
        <v>479.45</v>
      </c>
      <c r="K156" vm="2425">
        <f ca="1"/>
        <v>58</v>
      </c>
      <c r="L156" vm="2426">
        <f ca="1"/>
        <v>260.89999999999998</v>
      </c>
      <c r="M156" vm="2427">
        <f ca="1"/>
        <v>247.95</v>
      </c>
      <c r="N156" vm="2428">
        <f ca="1"/>
        <v>15.18</v>
      </c>
      <c r="O156" vm="2429">
        <f ca="1"/>
        <v>602.20000000000005</v>
      </c>
      <c r="Q156" s="4">
        <f t="shared" ca="1" si="42"/>
        <v>0</v>
      </c>
      <c r="R156" s="4">
        <f t="shared" ca="1" si="43"/>
        <v>-2.4628139478176103E-2</v>
      </c>
      <c r="S156" s="4">
        <f t="shared" ca="1" si="44"/>
        <v>-1.5792442188381384E-2</v>
      </c>
      <c r="T156" s="4">
        <f t="shared" ca="1" si="52"/>
        <v>2.0164986251145933E-2</v>
      </c>
      <c r="U156" s="4">
        <f t="shared" ca="1" si="53"/>
        <v>3.8585879653769695E-3</v>
      </c>
      <c r="V156" s="4">
        <f t="shared" ca="1" si="45"/>
        <v>1.01923811950555E-3</v>
      </c>
      <c r="W156" s="4">
        <f t="shared" ca="1" si="46"/>
        <v>-2.8295954726471617E-3</v>
      </c>
      <c r="X156" s="4">
        <f t="shared" ca="1" si="47"/>
        <v>6.6545674531155452E-3</v>
      </c>
      <c r="Y156" s="4">
        <f t="shared" ca="1" si="48"/>
        <v>-8.643042350907626E-4</v>
      </c>
      <c r="Z156" s="4">
        <f t="shared" ca="1" si="49"/>
        <v>1.0732081257186721E-2</v>
      </c>
      <c r="AA156" s="4">
        <f t="shared" ca="1" si="50"/>
        <v>1.1145786892554632E-3</v>
      </c>
      <c r="AB156" s="4">
        <f t="shared" ca="1" si="54"/>
        <v>-2.4908668216538921E-3</v>
      </c>
      <c r="AC156" s="4">
        <f t="shared" ca="1" si="55"/>
        <v>1.937046004842613E-2</v>
      </c>
      <c r="AD156" s="4"/>
      <c r="AE156" s="2" cm="1">
        <f t="array" aca="1" ref="AE156" ca="1">SUMPRODUCT(Q156:AB156,TRANSPOSE(Insights.!$H$4:$H$15))</f>
        <v>-1.1627782355250256E-3</v>
      </c>
      <c r="AG156" s="10" vm="2416">
        <f ca="1"/>
        <v>45877</v>
      </c>
      <c r="AH156" s="1" vm="2430">
        <f ca="1"/>
        <v>103.78</v>
      </c>
      <c r="AI156" s="2">
        <f t="shared" ca="1" si="51"/>
        <v>5.7814607824242525E-3</v>
      </c>
      <c r="AJ156" s="1" vm="2431">
        <f ca="1"/>
        <v>103.535</v>
      </c>
      <c r="AK156" s="2">
        <f t="shared" ca="1" si="56"/>
        <v>6.036605978654519E-3</v>
      </c>
      <c r="AL156" s="1" vm="2432">
        <f ca="1"/>
        <v>54.56</v>
      </c>
      <c r="AM156" s="2">
        <f t="shared" ca="1" si="57"/>
        <v>-4.2155425219941867E-3</v>
      </c>
      <c r="AO156" s="9">
        <f t="shared" ca="1" si="58"/>
        <v>99.791203102580397</v>
      </c>
      <c r="AP156">
        <f t="shared" ca="1" si="59"/>
        <v>96.235163204747735</v>
      </c>
      <c r="AQ156">
        <f t="shared" ca="1" si="60"/>
        <v>98.323836657170176</v>
      </c>
      <c r="AR156">
        <f t="shared" ca="1" si="61"/>
        <v>111.24477520644314</v>
      </c>
      <c r="AT156" s="21">
        <f ca="1">MAX($AO$3:AO157)</f>
        <v>106.96839029133979</v>
      </c>
      <c r="AU156" s="2">
        <f t="shared" ca="1" si="62"/>
        <v>-6.7096337237678938E-2</v>
      </c>
    </row>
    <row r="157" spans="1:47" x14ac:dyDescent="0.25">
      <c r="A157" vm="2433">
        <f ca="1"/>
        <v>45880</v>
      </c>
      <c r="B157" vm="2434">
        <f ca="1"/>
        <v>157.13999999999999</v>
      </c>
      <c r="C157" vm="2435">
        <f ca="1"/>
        <v>210.5</v>
      </c>
      <c r="D157" vm="2436">
        <f ca="1"/>
        <v>289</v>
      </c>
      <c r="E157" vm="401">
        <f ca="1"/>
        <v>200</v>
      </c>
      <c r="F157" vm="2437">
        <f ca="1"/>
        <v>190.3</v>
      </c>
      <c r="G157" vm="2438">
        <f ca="1"/>
        <v>174.5</v>
      </c>
      <c r="H157" vm="2236">
        <f ca="1"/>
        <v>449.1</v>
      </c>
      <c r="I157" vm="2439">
        <f ca="1"/>
        <v>133.56</v>
      </c>
      <c r="J157" vm="2440">
        <f ca="1"/>
        <v>481.3</v>
      </c>
      <c r="K157" vm="2441">
        <f ca="1"/>
        <v>61</v>
      </c>
      <c r="L157" vm="2442">
        <f ca="1"/>
        <v>263.7</v>
      </c>
      <c r="M157" vm="2443">
        <f ca="1"/>
        <v>249.6</v>
      </c>
      <c r="N157" vm="2428">
        <f ca="1"/>
        <v>15.18</v>
      </c>
      <c r="O157" vm="2444">
        <f ca="1"/>
        <v>600.70000000000005</v>
      </c>
      <c r="Q157" s="4">
        <f t="shared" ca="1" si="42"/>
        <v>-6.5876152832674562E-3</v>
      </c>
      <c r="R157" s="4">
        <f t="shared" ca="1" si="43"/>
        <v>-8.799999999999919E-3</v>
      </c>
      <c r="S157" s="4">
        <f t="shared" ca="1" si="44"/>
        <v>2.2636103151862486E-2</v>
      </c>
      <c r="T157" s="4">
        <f t="shared" ca="1" si="52"/>
        <v>-6.8882899071579518E-3</v>
      </c>
      <c r="U157" s="4">
        <f t="shared" ca="1" si="53"/>
        <v>3.1165593185122908E-4</v>
      </c>
      <c r="V157" s="4">
        <f t="shared" ca="1" si="45"/>
        <v>-2.2909507445588728E-3</v>
      </c>
      <c r="W157" s="4">
        <f t="shared" ca="1" si="46"/>
        <v>-1.7866526537047012E-3</v>
      </c>
      <c r="X157" s="4">
        <f t="shared" ca="1" si="47"/>
        <v>5.2083333333334814E-3</v>
      </c>
      <c r="Y157" s="4">
        <f t="shared" ca="1" si="48"/>
        <v>-3.9792387543251539E-3</v>
      </c>
      <c r="Z157" s="4">
        <f t="shared" ca="1" si="49"/>
        <v>-7.5843761850580282E-4</v>
      </c>
      <c r="AA157" s="4">
        <f t="shared" ca="1" si="50"/>
        <v>1.0465375194834037E-2</v>
      </c>
      <c r="AB157" s="4">
        <f t="shared" ca="1" si="54"/>
        <v>-2.4804394872648738E-2</v>
      </c>
      <c r="AC157" s="4">
        <f t="shared" ca="1" si="55"/>
        <v>-4.7505938242280443E-3</v>
      </c>
      <c r="AD157" s="4"/>
      <c r="AE157" s="2" cm="1">
        <f t="array" aca="1" ref="AE157" ca="1">SUMPRODUCT(Q157:AB157,TRANSPOSE(Insights.!$H$4:$H$15))</f>
        <v>-1.3441587909180227E-3</v>
      </c>
      <c r="AG157" s="10" vm="2433">
        <f ca="1"/>
        <v>45880</v>
      </c>
      <c r="AH157" s="1" vm="2445">
        <f ca="1"/>
        <v>104.38</v>
      </c>
      <c r="AI157" s="2">
        <f t="shared" ca="1" si="51"/>
        <v>2.4429967426711219E-3</v>
      </c>
      <c r="AJ157" s="1" vm="2446">
        <f ca="1"/>
        <v>104.16</v>
      </c>
      <c r="AK157" s="2">
        <f t="shared" ca="1" si="56"/>
        <v>2.4001536098317011E-4</v>
      </c>
      <c r="AL157" s="1" vm="2299">
        <f ca="1"/>
        <v>54.33</v>
      </c>
      <c r="AM157" s="2">
        <f t="shared" ca="1" si="57"/>
        <v>2.7609055770292379E-3</v>
      </c>
      <c r="AO157" s="9">
        <f t="shared" ca="1" si="58"/>
        <v>99.675168063515855</v>
      </c>
      <c r="AP157">
        <f t="shared" ca="1" si="59"/>
        <v>96.791543026706179</v>
      </c>
      <c r="AQ157">
        <f t="shared" ca="1" si="60"/>
        <v>98.917378917379096</v>
      </c>
      <c r="AR157">
        <f t="shared" ca="1" si="61"/>
        <v>110.77581812621069</v>
      </c>
      <c r="AT157" s="21">
        <f ca="1">MAX($AO$3:AO158)</f>
        <v>106.96839029133979</v>
      </c>
      <c r="AU157" s="2">
        <f t="shared" ca="1" si="62"/>
        <v>-6.8181097312580485E-2</v>
      </c>
    </row>
    <row r="158" spans="1:47" x14ac:dyDescent="0.25">
      <c r="A158" vm="2447">
        <f ca="1"/>
        <v>45881</v>
      </c>
      <c r="B158" vm="77">
        <f ca="1"/>
        <v>156.78</v>
      </c>
      <c r="C158" vm="2302">
        <f ca="1"/>
        <v>209.5</v>
      </c>
      <c r="D158" vm="2448">
        <f ca="1"/>
        <v>287.85000000000002</v>
      </c>
      <c r="E158" vm="2449">
        <f ca="1"/>
        <v>198.24</v>
      </c>
      <c r="F158" vm="1480">
        <f ca="1"/>
        <v>189.96</v>
      </c>
      <c r="G158" vm="2450">
        <f ca="1"/>
        <v>178.45</v>
      </c>
      <c r="H158" vm="2193">
        <f ca="1"/>
        <v>453.8</v>
      </c>
      <c r="I158" vm="2451">
        <f ca="1"/>
        <v>132.63999999999999</v>
      </c>
      <c r="J158" vm="2452">
        <f ca="1"/>
        <v>481.45</v>
      </c>
      <c r="K158" vm="2453">
        <f ca="1"/>
        <v>63.5</v>
      </c>
      <c r="L158" vm="2454">
        <f ca="1"/>
        <v>263.5</v>
      </c>
      <c r="M158" vm="838">
        <f ca="1"/>
        <v>250.9</v>
      </c>
      <c r="N158" vm="2395">
        <f ca="1"/>
        <v>15.08</v>
      </c>
      <c r="O158" vm="2455">
        <f ca="1"/>
        <v>585.79999999999995</v>
      </c>
      <c r="Q158" s="4">
        <f t="shared" ca="1" si="42"/>
        <v>-4.6419098143236637E-3</v>
      </c>
      <c r="R158" s="4">
        <f t="shared" ca="1" si="43"/>
        <v>1.0643664245359119E-2</v>
      </c>
      <c r="S158" s="4">
        <f t="shared" ca="1" si="44"/>
        <v>-2.4936957130848869E-2</v>
      </c>
      <c r="T158" s="4">
        <f t="shared" ca="1" si="52"/>
        <v>7.3884197828710807E-3</v>
      </c>
      <c r="U158" s="4">
        <f t="shared" ca="1" si="53"/>
        <v>3.0117353826981663E-3</v>
      </c>
      <c r="V158" s="4">
        <f t="shared" ca="1" si="45"/>
        <v>-1.0077816047965427E-2</v>
      </c>
      <c r="W158" s="4">
        <f t="shared" ca="1" si="46"/>
        <v>1.221309749420918E-2</v>
      </c>
      <c r="X158" s="4">
        <f t="shared" ca="1" si="47"/>
        <v>-7.7720207253886286E-3</v>
      </c>
      <c r="Y158" s="4">
        <f t="shared" ca="1" si="48"/>
        <v>1.3201320132013139E-2</v>
      </c>
      <c r="Z158" s="4">
        <f t="shared" ca="1" si="49"/>
        <v>9.4876660341558505E-4</v>
      </c>
      <c r="AA158" s="4">
        <f t="shared" ca="1" si="50"/>
        <v>-2.1264874394006261E-2</v>
      </c>
      <c r="AB158" s="4">
        <f t="shared" ca="1" si="54"/>
        <v>4.7797883236599947E-3</v>
      </c>
      <c r="AC158" s="4">
        <f t="shared" ca="1" si="55"/>
        <v>-1.6706443914081159E-2</v>
      </c>
      <c r="AD158" s="4"/>
      <c r="AE158" s="2" cm="1">
        <f t="array" aca="1" ref="AE158" ca="1">SUMPRODUCT(Q158:AB158,TRANSPOSE(Insights.!$H$4:$H$15))</f>
        <v>-9.0617534948722763E-4</v>
      </c>
      <c r="AG158" s="10" vm="2447">
        <f ca="1"/>
        <v>45881</v>
      </c>
      <c r="AH158" s="1" vm="2456">
        <f ca="1"/>
        <v>104.63500000000001</v>
      </c>
      <c r="AI158" s="2">
        <f t="shared" ca="1" si="51"/>
        <v>-1.4335547378985236E-4</v>
      </c>
      <c r="AJ158" s="1" vm="2457">
        <f ca="1"/>
        <v>104.185</v>
      </c>
      <c r="AK158" s="2">
        <f t="shared" ca="1" si="56"/>
        <v>1.1997888371646503E-3</v>
      </c>
      <c r="AL158" s="1" vm="2458">
        <f ca="1"/>
        <v>54.48</v>
      </c>
      <c r="AM158" s="2">
        <f t="shared" ca="1" si="57"/>
        <v>8.8105726872247381E-3</v>
      </c>
      <c r="AO158" s="9">
        <f t="shared" ca="1" si="58"/>
        <v>99.541188810127053</v>
      </c>
      <c r="AP158">
        <f t="shared" ca="1" si="59"/>
        <v>97.028004451038541</v>
      </c>
      <c r="AQ158">
        <f t="shared" ca="1" si="60"/>
        <v>98.941120607787454</v>
      </c>
      <c r="AR158">
        <f t="shared" ca="1" si="61"/>
        <v>111.08165970027532</v>
      </c>
      <c r="AT158" s="21">
        <f ca="1">MAX($AO$3:AO159)</f>
        <v>106.96839029133979</v>
      </c>
      <c r="AU158" s="2">
        <f t="shared" ca="1" si="62"/>
        <v>-6.9433609882171399E-2</v>
      </c>
    </row>
    <row r="159" spans="1:47" x14ac:dyDescent="0.25">
      <c r="A159" vm="2459">
        <f ca="1"/>
        <v>45882</v>
      </c>
      <c r="B159" vm="224">
        <f ca="1"/>
        <v>155.19999999999999</v>
      </c>
      <c r="C159" vm="1595">
        <f ca="1"/>
        <v>206</v>
      </c>
      <c r="D159" vm="2460">
        <f ca="1"/>
        <v>291.64999999999998</v>
      </c>
      <c r="E159" vm="2461">
        <f ca="1"/>
        <v>200.35</v>
      </c>
      <c r="F159" vm="2462">
        <f ca="1"/>
        <v>192.28</v>
      </c>
      <c r="G159" vm="670">
        <f ca="1"/>
        <v>174</v>
      </c>
      <c r="H159" vm="2463">
        <f ca="1"/>
        <v>444.15</v>
      </c>
      <c r="I159" vm="2464">
        <f ca="1"/>
        <v>133.62</v>
      </c>
      <c r="J159" vm="2465">
        <f ca="1"/>
        <v>482.9</v>
      </c>
      <c r="K159" vm="2466">
        <f ca="1"/>
        <v>59.5</v>
      </c>
      <c r="L159" vm="953">
        <f ca="1"/>
        <v>263.75</v>
      </c>
      <c r="M159" vm="2467">
        <f ca="1"/>
        <v>248.95</v>
      </c>
      <c r="N159" vm="2468">
        <f ca="1"/>
        <v>15.01</v>
      </c>
      <c r="O159" vm="2469">
        <f ca="1"/>
        <v>588.6</v>
      </c>
      <c r="Q159" s="4">
        <f t="shared" ca="1" si="42"/>
        <v>-4.9966688874083509E-3</v>
      </c>
      <c r="R159" s="4">
        <f t="shared" ca="1" si="43"/>
        <v>7.4868979286257797E-4</v>
      </c>
      <c r="S159" s="4">
        <f t="shared" ca="1" si="44"/>
        <v>-5.7471264367814356E-4</v>
      </c>
      <c r="T159" s="4">
        <f t="shared" ca="1" si="52"/>
        <v>-1.3620715461757138E-2</v>
      </c>
      <c r="U159" s="4">
        <f t="shared" ca="1" si="53"/>
        <v>5.4876786084077089E-3</v>
      </c>
      <c r="V159" s="4">
        <f t="shared" ca="1" si="45"/>
        <v>6.9587628865979134E-3</v>
      </c>
      <c r="W159" s="4">
        <f t="shared" ca="1" si="46"/>
        <v>3.203661327231111E-2</v>
      </c>
      <c r="X159" s="4">
        <f t="shared" ca="1" si="47"/>
        <v>6.2261498292830453E-3</v>
      </c>
      <c r="Y159" s="4">
        <f t="shared" ca="1" si="48"/>
        <v>1.6286644951140072E-2</v>
      </c>
      <c r="Z159" s="4">
        <f t="shared" ca="1" si="49"/>
        <v>8.7203791469194769E-3</v>
      </c>
      <c r="AA159" s="4">
        <f t="shared" ca="1" si="50"/>
        <v>7.4299223235394507E-3</v>
      </c>
      <c r="AB159" s="4">
        <f t="shared" ca="1" si="54"/>
        <v>2.3785253143051355E-2</v>
      </c>
      <c r="AC159" s="4">
        <f t="shared" ca="1" si="55"/>
        <v>2.4271844660195274E-3</v>
      </c>
      <c r="AD159" s="4"/>
      <c r="AE159" s="2" cm="1">
        <f t="array" aca="1" ref="AE159" ca="1">SUMPRODUCT(Q159:AB159,TRANSPOSE(Insights.!$H$4:$H$15))</f>
        <v>6.7724513459659387E-3</v>
      </c>
      <c r="AG159" s="10" vm="2459">
        <f ca="1"/>
        <v>45882</v>
      </c>
      <c r="AH159" s="1" vm="2470">
        <f ca="1"/>
        <v>104.62</v>
      </c>
      <c r="AI159" s="2">
        <f t="shared" ca="1" si="51"/>
        <v>7.5511374498182793E-3</v>
      </c>
      <c r="AJ159" s="1" vm="2471">
        <f ca="1"/>
        <v>104.31</v>
      </c>
      <c r="AK159" s="2">
        <f t="shared" ca="1" si="56"/>
        <v>5.2727447032883124E-3</v>
      </c>
      <c r="AL159" s="1" vm="2472">
        <f ca="1"/>
        <v>54.96</v>
      </c>
      <c r="AM159" s="2">
        <f t="shared" ca="1" si="57"/>
        <v>9.8253275109170257E-3</v>
      </c>
      <c r="AO159" s="9">
        <f t="shared" ca="1" si="58"/>
        <v>99.45098703856867</v>
      </c>
      <c r="AP159">
        <f t="shared" ca="1" si="59"/>
        <v>97.014094955489583</v>
      </c>
      <c r="AQ159">
        <f t="shared" ca="1" si="60"/>
        <v>99.059829059829241</v>
      </c>
      <c r="AR159">
        <f t="shared" ca="1" si="61"/>
        <v>112.06035273728216</v>
      </c>
      <c r="AT159" s="21">
        <f ca="1">MAX($AO$3:AO160)</f>
        <v>106.96839029133979</v>
      </c>
      <c r="AU159" s="2">
        <f t="shared" ca="1" si="62"/>
        <v>-7.0276866205957411E-2</v>
      </c>
    </row>
    <row r="160" spans="1:47" x14ac:dyDescent="0.25">
      <c r="A160" vm="2473">
        <f ca="1"/>
        <v>45883</v>
      </c>
      <c r="B160" vm="2474">
        <f ca="1"/>
        <v>156.28</v>
      </c>
      <c r="C160" vm="2418">
        <f ca="1"/>
        <v>206.5</v>
      </c>
      <c r="D160" vm="2475">
        <f ca="1"/>
        <v>296.39999999999998</v>
      </c>
      <c r="E160" vm="436">
        <f ca="1"/>
        <v>200.5</v>
      </c>
      <c r="F160" vm="2476">
        <f ca="1"/>
        <v>198.44</v>
      </c>
      <c r="G160" vm="2477">
        <f ca="1"/>
        <v>173.9</v>
      </c>
      <c r="H160" vm="2478">
        <f ca="1"/>
        <v>447.45</v>
      </c>
      <c r="I160" vm="2479">
        <f ca="1"/>
        <v>131.80000000000001</v>
      </c>
      <c r="J160" vm="2480">
        <f ca="1"/>
        <v>485.55</v>
      </c>
      <c r="K160" vm="2481">
        <f ca="1"/>
        <v>58.5</v>
      </c>
      <c r="L160" vm="2482">
        <f ca="1"/>
        <v>266.05</v>
      </c>
      <c r="M160" vm="790">
        <f ca="1"/>
        <v>250.5</v>
      </c>
      <c r="N160" vm="2483">
        <f ca="1"/>
        <v>14.935</v>
      </c>
      <c r="O160" vm="2182">
        <f ca="1"/>
        <v>602.6</v>
      </c>
      <c r="Q160" s="4">
        <f t="shared" ca="1" si="42"/>
        <v>-6.3608972212922943E-3</v>
      </c>
      <c r="R160" s="4">
        <f t="shared" ca="1" si="43"/>
        <v>3.7406483790523692E-2</v>
      </c>
      <c r="S160" s="4">
        <f t="shared" ca="1" si="44"/>
        <v>-2.9902242668200185E-2</v>
      </c>
      <c r="T160" s="4">
        <f t="shared" ca="1" si="52"/>
        <v>1.5174506828528056E-3</v>
      </c>
      <c r="U160" s="4">
        <f t="shared" ca="1" si="53"/>
        <v>-7.2083204613326846E-4</v>
      </c>
      <c r="V160" s="4">
        <f t="shared" ca="1" si="45"/>
        <v>-1.4973125159969292E-2</v>
      </c>
      <c r="W160" s="4">
        <f t="shared" ca="1" si="46"/>
        <v>-6.1479540415239065E-3</v>
      </c>
      <c r="X160" s="4">
        <f t="shared" ca="1" si="47"/>
        <v>-5.5888223552894578E-3</v>
      </c>
      <c r="Y160" s="4">
        <f t="shared" ca="1" si="48"/>
        <v>-8.9406207827259498E-3</v>
      </c>
      <c r="Z160" s="4">
        <f t="shared" ca="1" si="49"/>
        <v>-1.9921067468520959E-2</v>
      </c>
      <c r="AA160" s="4">
        <f t="shared" ca="1" si="50"/>
        <v>-6.5929154095429876E-3</v>
      </c>
      <c r="AB160" s="4">
        <f t="shared" ca="1" si="54"/>
        <v>4.8954530368403582E-2</v>
      </c>
      <c r="AC160" s="4">
        <f t="shared" ca="1" si="55"/>
        <v>-7.2639225181597711E-3</v>
      </c>
      <c r="AD160" s="4"/>
      <c r="AE160" s="2" cm="1">
        <f t="array" aca="1" ref="AE160" ca="1">SUMPRODUCT(Q160:AB160,TRANSPOSE(Insights.!$H$4:$H$15))</f>
        <v>9.3587400992040147E-4</v>
      </c>
      <c r="AG160" s="10" vm="2473">
        <f ca="1"/>
        <v>45883</v>
      </c>
      <c r="AH160" s="1" vm="2484">
        <f ca="1"/>
        <v>105.41</v>
      </c>
      <c r="AI160" s="2">
        <f t="shared" ca="1" si="51"/>
        <v>-7.0676406413052728E-3</v>
      </c>
      <c r="AJ160" s="1" vm="2485">
        <f ca="1"/>
        <v>104.86</v>
      </c>
      <c r="AK160" s="2">
        <f t="shared" ca="1" si="56"/>
        <v>-2.7179095937439612E-3</v>
      </c>
      <c r="AL160" s="1" vm="2408">
        <f ca="1"/>
        <v>55.5</v>
      </c>
      <c r="AM160" s="2">
        <f t="shared" ca="1" si="57"/>
        <v>2.1621621621621401E-3</v>
      </c>
      <c r="AO160" s="9">
        <f t="shared" ca="1" si="58"/>
        <v>100.12451400959567</v>
      </c>
      <c r="AP160">
        <f t="shared" ca="1" si="59"/>
        <v>97.746661721068207</v>
      </c>
      <c r="AQ160">
        <f t="shared" ca="1" si="60"/>
        <v>99.582146248813103</v>
      </c>
      <c r="AR160">
        <f t="shared" ca="1" si="61"/>
        <v>113.16138240391484</v>
      </c>
      <c r="AT160" s="21">
        <f ca="1">MAX($AO$3:AO161)</f>
        <v>106.96839029133979</v>
      </c>
      <c r="AU160" s="2">
        <f t="shared" ca="1" si="62"/>
        <v>-6.3980361517118167E-2</v>
      </c>
    </row>
    <row r="161" spans="1:47" x14ac:dyDescent="0.25">
      <c r="A161" vm="2486">
        <f ca="1"/>
        <v>45884</v>
      </c>
      <c r="B161" vm="2487">
        <f ca="1"/>
        <v>153.94</v>
      </c>
      <c r="C161" vm="2262">
        <f ca="1"/>
        <v>205</v>
      </c>
      <c r="D161" vm="2488">
        <f ca="1"/>
        <v>293.75</v>
      </c>
      <c r="E161" vm="2400">
        <f ca="1"/>
        <v>208</v>
      </c>
      <c r="F161" vm="2265">
        <f ca="1"/>
        <v>197.22</v>
      </c>
      <c r="G161" vm="2489">
        <f ca="1"/>
        <v>168.7</v>
      </c>
      <c r="H161" vm="2490">
        <f ca="1"/>
        <v>444.5</v>
      </c>
      <c r="I161" vm="2491">
        <f ca="1"/>
        <v>132</v>
      </c>
      <c r="J161" vm="2492">
        <f ca="1"/>
        <v>485.2</v>
      </c>
      <c r="K161" vm="2441">
        <f ca="1"/>
        <v>61</v>
      </c>
      <c r="L161" vm="2493">
        <f ca="1"/>
        <v>260.75</v>
      </c>
      <c r="M161" vm="2494">
        <f ca="1"/>
        <v>249.1</v>
      </c>
      <c r="N161" vm="2495">
        <f ca="1"/>
        <v>14.84</v>
      </c>
      <c r="O161" vm="2496">
        <f ca="1"/>
        <v>632.1</v>
      </c>
      <c r="Q161" s="4">
        <f t="shared" ca="1" si="42"/>
        <v>3.908355795148255E-2</v>
      </c>
      <c r="R161" s="4">
        <f t="shared" ca="1" si="43"/>
        <v>4.8076923076922906E-3</v>
      </c>
      <c r="S161" s="4">
        <f t="shared" ca="1" si="44"/>
        <v>-8.8915234143449595E-3</v>
      </c>
      <c r="T161" s="4">
        <f t="shared" ca="1" si="52"/>
        <v>9.8484848484849952E-3</v>
      </c>
      <c r="U161" s="4">
        <f t="shared" ca="1" si="53"/>
        <v>-2.3083264633140921E-2</v>
      </c>
      <c r="V161" s="4">
        <f t="shared" ca="1" si="45"/>
        <v>1.3771599324412076E-2</v>
      </c>
      <c r="W161" s="4">
        <f t="shared" ca="1" si="46"/>
        <v>5.070479667376615E-3</v>
      </c>
      <c r="X161" s="4">
        <f t="shared" ca="1" si="47"/>
        <v>1.6057808109193328E-3</v>
      </c>
      <c r="Y161" s="4">
        <f t="shared" ca="1" si="48"/>
        <v>-1.7021276595752255E-4</v>
      </c>
      <c r="Z161" s="4">
        <f t="shared" ca="1" si="49"/>
        <v>-9.7794822627037536E-3</v>
      </c>
      <c r="AA161" s="4">
        <f t="shared" ca="1" si="50"/>
        <v>-8.7739032620921531E-3</v>
      </c>
      <c r="AB161" s="4">
        <f t="shared" ca="1" si="54"/>
        <v>-7.5937351684861598E-3</v>
      </c>
      <c r="AC161" s="4">
        <f t="shared" ca="1" si="55"/>
        <v>7.3170731707317138E-3</v>
      </c>
      <c r="AD161" s="4"/>
      <c r="AE161" s="2" cm="1">
        <f t="array" aca="1" ref="AE161" ca="1">SUMPRODUCT(Q161:AB161,TRANSPOSE(Insights.!$H$4:$H$15))</f>
        <v>-6.9389652780069253E-5</v>
      </c>
      <c r="AG161" s="10" vm="2486">
        <f ca="1"/>
        <v>45884</v>
      </c>
      <c r="AH161" s="1" vm="2497">
        <f ca="1"/>
        <v>104.66500000000001</v>
      </c>
      <c r="AI161" s="2">
        <f t="shared" ca="1" si="51"/>
        <v>1.4809153011989817E-3</v>
      </c>
      <c r="AJ161" s="1" vm="2498">
        <f ca="1"/>
        <v>104.575</v>
      </c>
      <c r="AK161" s="2">
        <f t="shared" ca="1" si="56"/>
        <v>1.6734401147502354E-3</v>
      </c>
      <c r="AL161" s="1" vm="552">
        <f ca="1"/>
        <v>55.62</v>
      </c>
      <c r="AM161" s="2">
        <f t="shared" ca="1" si="57"/>
        <v>-3.4160373966198865E-3</v>
      </c>
      <c r="AO161" s="9">
        <f t="shared" ca="1" si="58"/>
        <v>100.21821794001316</v>
      </c>
      <c r="AP161">
        <f t="shared" ca="1" si="59"/>
        <v>97.055823442136472</v>
      </c>
      <c r="AQ161">
        <f t="shared" ca="1" si="60"/>
        <v>99.311490978157835</v>
      </c>
      <c r="AR161">
        <f t="shared" ca="1" si="61"/>
        <v>113.40605566316655</v>
      </c>
      <c r="AT161" s="21">
        <f ca="1">MAX($AO$3:AO162)</f>
        <v>106.96839029133979</v>
      </c>
      <c r="AU161" s="2">
        <f t="shared" ca="1" si="62"/>
        <v>-6.3104365064686974E-2</v>
      </c>
    </row>
    <row r="162" spans="1:47" x14ac:dyDescent="0.25">
      <c r="A162" vm="2499">
        <f ca="1"/>
        <v>45887</v>
      </c>
      <c r="B162" vm="2500">
        <f ca="1"/>
        <v>156.06</v>
      </c>
      <c r="C162" vm="2418">
        <f ca="1"/>
        <v>206.5</v>
      </c>
      <c r="D162" vm="2501">
        <f ca="1"/>
        <v>293.7</v>
      </c>
      <c r="E162" vm="2274">
        <f ca="1"/>
        <v>209</v>
      </c>
      <c r="F162" vm="2502">
        <f ca="1"/>
        <v>198.22</v>
      </c>
      <c r="G162" vm="2503">
        <f ca="1"/>
        <v>167.2</v>
      </c>
      <c r="H162" vm="2291">
        <f ca="1"/>
        <v>440.6</v>
      </c>
      <c r="I162" vm="2504">
        <f ca="1"/>
        <v>133.30000000000001</v>
      </c>
      <c r="J162" vm="2505">
        <f ca="1"/>
        <v>474</v>
      </c>
      <c r="K162" vm="2506">
        <f ca="1"/>
        <v>59</v>
      </c>
      <c r="L162" vm="2507">
        <f ca="1"/>
        <v>258.2</v>
      </c>
      <c r="M162" vm="2508">
        <f ca="1"/>
        <v>249.5</v>
      </c>
      <c r="N162" vm="2509">
        <f ca="1"/>
        <v>15.42</v>
      </c>
      <c r="O162" vm="2510">
        <f ca="1"/>
        <v>627.29999999999995</v>
      </c>
      <c r="Q162" s="4">
        <f t="shared" ca="1" si="42"/>
        <v>-9.0791180285344497E-3</v>
      </c>
      <c r="R162" s="4">
        <f t="shared" ca="1" si="43"/>
        <v>7.1770334928229484E-3</v>
      </c>
      <c r="S162" s="4">
        <f t="shared" ca="1" si="44"/>
        <v>-1.8839712918660156E-2</v>
      </c>
      <c r="T162" s="4">
        <f t="shared" ca="1" si="52"/>
        <v>1.7404351087771941E-2</v>
      </c>
      <c r="U162" s="4">
        <f t="shared" ca="1" si="53"/>
        <v>1.13924050632912E-2</v>
      </c>
      <c r="V162" s="4">
        <f t="shared" ca="1" si="45"/>
        <v>-3.1782647699602817E-2</v>
      </c>
      <c r="W162" s="4">
        <f t="shared" ca="1" si="46"/>
        <v>-1.4024820906063939E-2</v>
      </c>
      <c r="X162" s="4">
        <f t="shared" ca="1" si="47"/>
        <v>3.4068136272544791E-3</v>
      </c>
      <c r="Y162" s="4">
        <f t="shared" ca="1" si="48"/>
        <v>8.512087163772275E-4</v>
      </c>
      <c r="Z162" s="4">
        <f t="shared" ca="1" si="49"/>
        <v>-6.0030983733539989E-3</v>
      </c>
      <c r="AA162" s="4">
        <f t="shared" ca="1" si="50"/>
        <v>-7.1493418066274073E-3</v>
      </c>
      <c r="AB162" s="4">
        <f t="shared" ca="1" si="54"/>
        <v>-6.0577076358998561E-3</v>
      </c>
      <c r="AC162" s="4">
        <f t="shared" ca="1" si="55"/>
        <v>-2.9055690072639195E-2</v>
      </c>
      <c r="AD162" s="4"/>
      <c r="AE162" s="2" cm="1">
        <f t="array" aca="1" ref="AE162" ca="1">SUMPRODUCT(Q162:AB162,TRANSPOSE(Insights.!$H$4:$H$15))</f>
        <v>-2.6260917332736459E-3</v>
      </c>
      <c r="AG162" s="10" vm="2499">
        <f ca="1"/>
        <v>45887</v>
      </c>
      <c r="AH162" s="1" vm="2511">
        <f ca="1"/>
        <v>104.82</v>
      </c>
      <c r="AI162" s="2">
        <f t="shared" ca="1" si="51"/>
        <v>-4.5792787635946519E-3</v>
      </c>
      <c r="AJ162" s="1" vm="2512">
        <f ca="1"/>
        <v>104.75</v>
      </c>
      <c r="AK162" s="2">
        <f t="shared" ca="1" si="56"/>
        <v>-1.4319809069207601E-4</v>
      </c>
      <c r="AL162" s="1" vm="2513">
        <f ca="1"/>
        <v>55.43</v>
      </c>
      <c r="AM162" s="2">
        <f t="shared" ca="1" si="57"/>
        <v>5.231823922063894E-3</v>
      </c>
      <c r="AO162" s="9">
        <f t="shared" ca="1" si="58"/>
        <v>100.21126383266807</v>
      </c>
      <c r="AP162">
        <f t="shared" ca="1" si="59"/>
        <v>97.199554896142402</v>
      </c>
      <c r="AQ162">
        <f t="shared" ca="1" si="60"/>
        <v>99.477682811016336</v>
      </c>
      <c r="AR162">
        <f t="shared" ca="1" si="61"/>
        <v>113.01865633601803</v>
      </c>
      <c r="AT162" s="21">
        <f ca="1">MAX($AO$3:AO163)</f>
        <v>106.96839029133979</v>
      </c>
      <c r="AU162" s="2">
        <f t="shared" ca="1" si="62"/>
        <v>-6.3169375927486282E-2</v>
      </c>
    </row>
    <row r="163" spans="1:47" x14ac:dyDescent="0.25">
      <c r="A163" vm="2514">
        <f ca="1"/>
        <v>45888</v>
      </c>
      <c r="B163" vm="2515">
        <f ca="1"/>
        <v>151.1</v>
      </c>
      <c r="C163" vm="436">
        <f ca="1"/>
        <v>200.5</v>
      </c>
      <c r="D163" vm="1898">
        <f ca="1"/>
        <v>293.95</v>
      </c>
      <c r="E163" vm="2435">
        <f ca="1"/>
        <v>210.5</v>
      </c>
      <c r="F163" vm="2516">
        <f ca="1"/>
        <v>195.44</v>
      </c>
      <c r="G163" vm="2517">
        <f ca="1"/>
        <v>164.05</v>
      </c>
      <c r="H163" vm="2518">
        <f ca="1"/>
        <v>437.45</v>
      </c>
      <c r="I163" vm="2292">
        <f ca="1"/>
        <v>135.62</v>
      </c>
      <c r="J163" vm="2519">
        <f ca="1"/>
        <v>479.4</v>
      </c>
      <c r="K163" vm="2520">
        <f ca="1"/>
        <v>57</v>
      </c>
      <c r="L163" vm="903">
        <f ca="1"/>
        <v>256.64999999999998</v>
      </c>
      <c r="M163" vm="2521">
        <f ca="1"/>
        <v>250.35</v>
      </c>
      <c r="N163" vm="2522">
        <f ca="1"/>
        <v>15.28</v>
      </c>
      <c r="O163" vm="1864">
        <f ca="1"/>
        <v>623.5</v>
      </c>
      <c r="Q163" s="4">
        <f t="shared" ca="1" si="42"/>
        <v>-9.816753926700228E-4</v>
      </c>
      <c r="R163" s="4">
        <f t="shared" ca="1" si="43"/>
        <v>4.2755344418052843E-3</v>
      </c>
      <c r="S163" s="4">
        <f t="shared" ca="1" si="44"/>
        <v>-2.4687595245352134E-2</v>
      </c>
      <c r="T163" s="4">
        <f t="shared" ca="1" si="52"/>
        <v>9.2906650936439572E-3</v>
      </c>
      <c r="U163" s="4">
        <f t="shared" ca="1" si="53"/>
        <v>-1.2724238631622753E-2</v>
      </c>
      <c r="V163" s="4">
        <f t="shared" ca="1" si="45"/>
        <v>-3.7061548643282372E-3</v>
      </c>
      <c r="W163" s="4">
        <f t="shared" ca="1" si="46"/>
        <v>-1.4531313958248027E-2</v>
      </c>
      <c r="X163" s="4">
        <f t="shared" ca="1" si="47"/>
        <v>-6.790493309366874E-3</v>
      </c>
      <c r="Y163" s="4">
        <f t="shared" ca="1" si="48"/>
        <v>2.7215512842320155E-3</v>
      </c>
      <c r="Z163" s="4">
        <f t="shared" ca="1" si="49"/>
        <v>-3.0391583869082361E-2</v>
      </c>
      <c r="AA163" s="4">
        <f t="shared" ca="1" si="50"/>
        <v>-6.8579266201851397E-3</v>
      </c>
      <c r="AB163" s="4">
        <f t="shared" ca="1" si="54"/>
        <v>-3.4482758620689613E-2</v>
      </c>
      <c r="AC163" s="4">
        <f t="shared" ca="1" si="55"/>
        <v>-2.7431421446383997E-2</v>
      </c>
      <c r="AD163" s="4"/>
      <c r="AE163" s="2" cm="1">
        <f t="array" aca="1" ref="AE163" ca="1">SUMPRODUCT(Q163:AB163,TRANSPOSE(Insights.!$H$4:$H$15))</f>
        <v>-9.2702989870476551E-3</v>
      </c>
      <c r="AG163" s="10" vm="2514">
        <f ca="1"/>
        <v>45888</v>
      </c>
      <c r="AH163" s="1" vm="2523">
        <f ca="1"/>
        <v>104.34</v>
      </c>
      <c r="AI163" s="2">
        <f t="shared" ca="1" si="51"/>
        <v>-5.7504312823462023E-3</v>
      </c>
      <c r="AJ163" s="1" vm="2524">
        <f ca="1"/>
        <v>104.735</v>
      </c>
      <c r="AK163" s="2">
        <f t="shared" ca="1" si="56"/>
        <v>-5.5855253735618282E-3</v>
      </c>
      <c r="AL163" s="1" vm="2525">
        <f ca="1"/>
        <v>55.72</v>
      </c>
      <c r="AM163" s="2">
        <f t="shared" ca="1" si="57"/>
        <v>3.5893754486715501E-4</v>
      </c>
      <c r="AO163" s="9">
        <f t="shared" ca="1" si="58"/>
        <v>99.948099861136185</v>
      </c>
      <c r="AP163">
        <f t="shared" ca="1" si="59"/>
        <v>96.754451038575638</v>
      </c>
      <c r="AQ163">
        <f t="shared" ca="1" si="60"/>
        <v>99.463437796771331</v>
      </c>
      <c r="AR163">
        <f t="shared" ca="1" si="61"/>
        <v>113.60995004587632</v>
      </c>
      <c r="AT163" s="21">
        <f ca="1">MAX($AO$3:AO164)</f>
        <v>106.96839029133979</v>
      </c>
      <c r="AU163" s="2">
        <f t="shared" ca="1" si="62"/>
        <v>-6.5629579084840795E-2</v>
      </c>
    </row>
    <row r="164" spans="1:47" x14ac:dyDescent="0.25">
      <c r="A164" vm="2526">
        <f ca="1"/>
        <v>45889</v>
      </c>
      <c r="B164" vm="2527">
        <f ca="1"/>
        <v>150.54</v>
      </c>
      <c r="C164" vm="520">
        <f ca="1"/>
        <v>195</v>
      </c>
      <c r="D164" vm="2528">
        <f ca="1"/>
        <v>294.75</v>
      </c>
      <c r="E164" vm="1263">
        <f ca="1"/>
        <v>211.4</v>
      </c>
      <c r="F164" vm="1999">
        <f ca="1"/>
        <v>192.6</v>
      </c>
      <c r="G164" vm="902">
        <f ca="1"/>
        <v>160</v>
      </c>
      <c r="H164" vm="2177">
        <f ca="1"/>
        <v>434.45</v>
      </c>
      <c r="I164" vm="2529">
        <f ca="1"/>
        <v>136.88</v>
      </c>
      <c r="J164" vm="2530">
        <f ca="1"/>
        <v>473.3</v>
      </c>
      <c r="K164" vm="2520">
        <f ca="1"/>
        <v>57</v>
      </c>
      <c r="L164" vm="1050">
        <f ca="1"/>
        <v>248.85</v>
      </c>
      <c r="M164" vm="2531">
        <f ca="1"/>
        <v>248.65</v>
      </c>
      <c r="N164" vm="2532">
        <f ca="1"/>
        <v>15.265000000000001</v>
      </c>
      <c r="O164" vm="2533">
        <f ca="1"/>
        <v>602</v>
      </c>
      <c r="Q164" s="4">
        <f t="shared" ca="1" si="42"/>
        <v>1.83426138224696E-2</v>
      </c>
      <c r="R164" s="4">
        <f t="shared" ca="1" si="43"/>
        <v>-5.6764427625355385E-3</v>
      </c>
      <c r="S164" s="4">
        <f t="shared" ca="1" si="44"/>
        <v>3.2499999999999973E-2</v>
      </c>
      <c r="T164" s="4">
        <f t="shared" ca="1" si="52"/>
        <v>-3.3606078316774646E-3</v>
      </c>
      <c r="U164" s="4">
        <f t="shared" ca="1" si="53"/>
        <v>1.3733361504331354E-2</v>
      </c>
      <c r="V164" s="4">
        <f t="shared" ca="1" si="45"/>
        <v>9.2998538594413205E-4</v>
      </c>
      <c r="W164" s="4">
        <f t="shared" ca="1" si="46"/>
        <v>-9.3457943925232545E-3</v>
      </c>
      <c r="X164" s="4">
        <f t="shared" ca="1" si="47"/>
        <v>1.146189422883559E-2</v>
      </c>
      <c r="Y164" s="4">
        <f t="shared" ca="1" si="48"/>
        <v>6.2765055131468461E-3</v>
      </c>
      <c r="Z164" s="4">
        <f t="shared" ca="1" si="49"/>
        <v>3.4157122764717496E-3</v>
      </c>
      <c r="AA164" s="4">
        <f t="shared" ca="1" si="50"/>
        <v>1.3810565082288395E-3</v>
      </c>
      <c r="AB164" s="4">
        <f t="shared" ca="1" si="54"/>
        <v>-1.295681063122911E-2</v>
      </c>
      <c r="AC164" s="4">
        <f t="shared" ca="1" si="55"/>
        <v>2.0512820512821328E-3</v>
      </c>
      <c r="AD164" s="4"/>
      <c r="AE164" s="2" cm="1">
        <f t="array" aca="1" ref="AE164" ca="1">SUMPRODUCT(Q164:AB164,TRANSPOSE(Insights.!$H$4:$H$15))</f>
        <v>4.5358233238399518E-3</v>
      </c>
      <c r="AG164" s="10" vm="2526">
        <f ca="1"/>
        <v>45889</v>
      </c>
      <c r="AH164" s="1" vm="2534">
        <f ca="1"/>
        <v>103.74</v>
      </c>
      <c r="AI164" s="2">
        <f t="shared" ca="1" si="51"/>
        <v>7.2296124927717642E-4</v>
      </c>
      <c r="AJ164" s="1" vm="2535">
        <f ca="1"/>
        <v>104.15</v>
      </c>
      <c r="AK164" s="2">
        <f t="shared" ca="1" si="56"/>
        <v>3.8406144983196278E-3</v>
      </c>
      <c r="AL164" s="1" vm="2536">
        <f ca="1"/>
        <v>55.74</v>
      </c>
      <c r="AM164" s="2">
        <f t="shared" ca="1" si="57"/>
        <v>-2.1528525296018453E-3</v>
      </c>
      <c r="AO164" s="9">
        <f t="shared" ca="1" si="58"/>
        <v>99.021551092236152</v>
      </c>
      <c r="AP164">
        <f t="shared" ca="1" si="59"/>
        <v>96.19807121661718</v>
      </c>
      <c r="AQ164">
        <f t="shared" ca="1" si="60"/>
        <v>98.907882241215773</v>
      </c>
      <c r="AR164">
        <f t="shared" ca="1" si="61"/>
        <v>113.65072892241827</v>
      </c>
      <c r="AT164" s="21">
        <f ca="1">MAX($AO$3:AO165)</f>
        <v>106.96839029133979</v>
      </c>
      <c r="AU164" s="2">
        <f t="shared" ca="1" si="62"/>
        <v>-7.4291472251377888E-2</v>
      </c>
    </row>
    <row r="165" spans="1:47" x14ac:dyDescent="0.25">
      <c r="A165" vm="2537">
        <f ca="1"/>
        <v>45890</v>
      </c>
      <c r="B165" vm="2538">
        <f ca="1"/>
        <v>150.68</v>
      </c>
      <c r="C165" vm="2539">
        <f ca="1"/>
        <v>195.4</v>
      </c>
      <c r="D165" vm="2540">
        <f ca="1"/>
        <v>296.60000000000002</v>
      </c>
      <c r="E165" vm="2541">
        <f ca="1"/>
        <v>210.2</v>
      </c>
      <c r="F165" vm="2542">
        <f ca="1"/>
        <v>190.8</v>
      </c>
      <c r="G165" vm="2543">
        <f ca="1"/>
        <v>165.2</v>
      </c>
      <c r="H165" vm="2544">
        <f ca="1"/>
        <v>435.05</v>
      </c>
      <c r="I165" vm="2545">
        <f ca="1"/>
        <v>136.41999999999999</v>
      </c>
      <c r="J165" vm="2546">
        <f ca="1"/>
        <v>479.8</v>
      </c>
      <c r="K165" vm="2425">
        <f ca="1"/>
        <v>58</v>
      </c>
      <c r="L165" vm="1573">
        <f ca="1"/>
        <v>249.7</v>
      </c>
      <c r="M165" vm="696">
        <f ca="1"/>
        <v>251.5</v>
      </c>
      <c r="N165" vm="2547">
        <f ca="1"/>
        <v>15.545</v>
      </c>
      <c r="O165" vm="2548">
        <f ca="1"/>
        <v>594.20000000000005</v>
      </c>
      <c r="Q165" s="4">
        <f t="shared" ca="1" si="42"/>
        <v>7.076230299131625E-3</v>
      </c>
      <c r="R165" s="4">
        <f t="shared" ca="1" si="43"/>
        <v>1.3796384395813543E-2</v>
      </c>
      <c r="S165" s="4">
        <f t="shared" ca="1" si="44"/>
        <v>-1.2711864406779627E-2</v>
      </c>
      <c r="T165" s="4">
        <f t="shared" ca="1" si="52"/>
        <v>-4.9846063627032589E-3</v>
      </c>
      <c r="U165" s="4">
        <f t="shared" ca="1" si="53"/>
        <v>-1.1879949979157978E-2</v>
      </c>
      <c r="V165" s="4">
        <f t="shared" ca="1" si="45"/>
        <v>7.1675073002388512E-3</v>
      </c>
      <c r="W165" s="4">
        <f t="shared" ca="1" si="46"/>
        <v>2.3689727463312327E-2</v>
      </c>
      <c r="X165" s="4">
        <f t="shared" ca="1" si="47"/>
        <v>-1.9880715705766772E-4</v>
      </c>
      <c r="Y165" s="4">
        <f t="shared" ca="1" si="48"/>
        <v>7.5859743762642928E-3</v>
      </c>
      <c r="Z165" s="4">
        <f t="shared" ca="1" si="49"/>
        <v>2.0024028834601415E-2</v>
      </c>
      <c r="AA165" s="4">
        <f t="shared" ca="1" si="50"/>
        <v>-6.895759108148436E-3</v>
      </c>
      <c r="AB165" s="4">
        <f t="shared" ca="1" si="54"/>
        <v>4.5439246045102522E-3</v>
      </c>
      <c r="AC165" s="4">
        <f t="shared" ca="1" si="55"/>
        <v>2.2517911975435068E-2</v>
      </c>
      <c r="AD165" s="4"/>
      <c r="AE165" s="2" cm="1">
        <f t="array" aca="1" ref="AE165" ca="1">SUMPRODUCT(Q165:AB165,TRANSPOSE(Insights.!$H$4:$H$15))</f>
        <v>3.6376239743180147E-3</v>
      </c>
      <c r="AG165" s="10" vm="2537">
        <f ca="1"/>
        <v>45890</v>
      </c>
      <c r="AH165" s="1" vm="2549">
        <f ca="1"/>
        <v>103.815</v>
      </c>
      <c r="AI165" s="2">
        <f t="shared" ca="1" si="51"/>
        <v>8.0913162837741304E-3</v>
      </c>
      <c r="AJ165" s="1" vm="2550">
        <f ca="1"/>
        <v>104.55</v>
      </c>
      <c r="AK165" s="2">
        <f t="shared" ca="1" si="56"/>
        <v>5.3084648493544329E-3</v>
      </c>
      <c r="AL165" s="1" vm="552">
        <f ca="1"/>
        <v>55.62</v>
      </c>
      <c r="AM165" s="2">
        <f t="shared" ca="1" si="57"/>
        <v>5.3937432578210487E-3</v>
      </c>
      <c r="AO165" s="9">
        <f t="shared" ca="1" si="58"/>
        <v>99.47069535324313</v>
      </c>
      <c r="AP165">
        <f t="shared" ca="1" si="59"/>
        <v>96.267618694362</v>
      </c>
      <c r="AQ165">
        <f t="shared" ca="1" si="60"/>
        <v>99.287749287749477</v>
      </c>
      <c r="AR165">
        <f t="shared" ca="1" si="61"/>
        <v>113.40605566316654</v>
      </c>
      <c r="AT165" s="21">
        <f ca="1">MAX($AO$3:AO166)</f>
        <v>106.96839029133979</v>
      </c>
      <c r="AU165" s="2">
        <f t="shared" ca="1" si="62"/>
        <v>-7.0092621920138209E-2</v>
      </c>
    </row>
    <row r="166" spans="1:47" x14ac:dyDescent="0.25">
      <c r="A166" vm="2551">
        <f ca="1"/>
        <v>45891</v>
      </c>
      <c r="B166" vm="2552">
        <f ca="1"/>
        <v>151.76</v>
      </c>
      <c r="C166" vm="2553">
        <f ca="1"/>
        <v>199.8</v>
      </c>
      <c r="D166" vm="2554">
        <f ca="1"/>
        <v>298.85000000000002</v>
      </c>
      <c r="E166" vm="2555">
        <f ca="1"/>
        <v>213.1</v>
      </c>
      <c r="F166" vm="2556">
        <f ca="1"/>
        <v>195.32</v>
      </c>
      <c r="G166" vm="2557">
        <f ca="1"/>
        <v>163.1</v>
      </c>
      <c r="H166" vm="2558">
        <f ca="1"/>
        <v>432.05</v>
      </c>
      <c r="I166" vm="2118">
        <f ca="1"/>
        <v>135.74</v>
      </c>
      <c r="J166" vm="2559">
        <f ca="1"/>
        <v>474.1</v>
      </c>
      <c r="K166" vm="2506">
        <f ca="1"/>
        <v>59</v>
      </c>
      <c r="L166" vm="2560">
        <f ca="1"/>
        <v>254.7</v>
      </c>
      <c r="M166" vm="1589">
        <f ca="1"/>
        <v>251.45</v>
      </c>
      <c r="N166" vm="2561">
        <f ca="1"/>
        <v>15.654999999999999</v>
      </c>
      <c r="O166" vm="2562">
        <f ca="1"/>
        <v>596.9</v>
      </c>
      <c r="Q166" s="4">
        <f t="shared" ca="1" si="42"/>
        <v>-1.2456084318109184E-2</v>
      </c>
      <c r="R166" s="4">
        <f t="shared" ca="1" si="43"/>
        <v>-6.3350539652744509E-3</v>
      </c>
      <c r="S166" s="4">
        <f t="shared" ca="1" si="44"/>
        <v>1.4714898835070489E-2</v>
      </c>
      <c r="T166" s="4">
        <f t="shared" ca="1" si="52"/>
        <v>-7.6617062030354122E-3</v>
      </c>
      <c r="U166" s="4">
        <f t="shared" ca="1" si="53"/>
        <v>1.8983336848765742E-3</v>
      </c>
      <c r="V166" s="4">
        <f t="shared" ca="1" si="45"/>
        <v>2.0690564048497784E-2</v>
      </c>
      <c r="W166" s="4">
        <f t="shared" ca="1" si="46"/>
        <v>7.0653286913782143E-3</v>
      </c>
      <c r="X166" s="4">
        <f t="shared" ca="1" si="47"/>
        <v>5.7665539868760884E-3</v>
      </c>
      <c r="Y166" s="4">
        <f t="shared" ca="1" si="48"/>
        <v>-3.5134682951313279E-3</v>
      </c>
      <c r="Z166" s="4">
        <f t="shared" ca="1" si="49"/>
        <v>-1.1778563015311105E-3</v>
      </c>
      <c r="AA166" s="4">
        <f t="shared" ca="1" si="50"/>
        <v>4.1661844693900996E-3</v>
      </c>
      <c r="AB166" s="4">
        <f t="shared" ca="1" si="54"/>
        <v>7.203886748199162E-3</v>
      </c>
      <c r="AC166" s="4">
        <f t="shared" ca="1" si="55"/>
        <v>1.6016016016015877E-2</v>
      </c>
      <c r="AD166" s="4"/>
      <c r="AE166" s="2" cm="1">
        <f t="array" aca="1" ref="AE166" ca="1">SUMPRODUCT(Q166:AB166,TRANSPOSE(Insights.!$H$4:$H$15))</f>
        <v>1.8133203637025121E-3</v>
      </c>
      <c r="AG166" s="10" vm="2551">
        <f ca="1"/>
        <v>45891</v>
      </c>
      <c r="AH166" s="1" vm="2563">
        <f ca="1"/>
        <v>104.655</v>
      </c>
      <c r="AI166" s="2">
        <f t="shared" ca="1" si="51"/>
        <v>6.8797477425828202E-3</v>
      </c>
      <c r="AJ166" s="1" vm="297">
        <f ca="1"/>
        <v>105.105</v>
      </c>
      <c r="AK166" s="2">
        <f t="shared" ca="1" si="56"/>
        <v>-9.5142952285820481E-4</v>
      </c>
      <c r="AL166" s="1" vm="1569">
        <f ca="1"/>
        <v>55.92</v>
      </c>
      <c r="AM166" s="2">
        <f t="shared" ca="1" si="57"/>
        <v>-8.4048640915593831E-3</v>
      </c>
      <c r="AO166" s="9">
        <f t="shared" ca="1" si="58"/>
        <v>99.832532339402178</v>
      </c>
      <c r="AP166">
        <f t="shared" ca="1" si="59"/>
        <v>97.046550445103847</v>
      </c>
      <c r="AQ166">
        <f t="shared" ca="1" si="60"/>
        <v>99.814814814815009</v>
      </c>
      <c r="AR166">
        <f t="shared" ca="1" si="61"/>
        <v>114.01773881129583</v>
      </c>
      <c r="AT166" s="21">
        <f ca="1">MAX($AO$3:AO167)</f>
        <v>106.96839029133979</v>
      </c>
      <c r="AU166" s="2">
        <f t="shared" ca="1" si="62"/>
        <v>-6.6709968547739584E-2</v>
      </c>
    </row>
    <row r="167" spans="1:47" x14ac:dyDescent="0.25">
      <c r="A167" vm="2564">
        <f ca="1"/>
        <v>45894</v>
      </c>
      <c r="B167" vm="591">
        <f ca="1"/>
        <v>154.9</v>
      </c>
      <c r="C167" vm="2565">
        <f ca="1"/>
        <v>203</v>
      </c>
      <c r="D167" vm="2566">
        <f ca="1"/>
        <v>297.8</v>
      </c>
      <c r="E167" vm="2567">
        <f ca="1"/>
        <v>211.75</v>
      </c>
      <c r="F167" vm="2568">
        <f ca="1"/>
        <v>196.7</v>
      </c>
      <c r="G167" vm="142">
        <f ca="1"/>
        <v>165.5</v>
      </c>
      <c r="H167" vm="2569">
        <f ca="1"/>
        <v>433.85</v>
      </c>
      <c r="I167" vm="2570">
        <f ca="1"/>
        <v>134.69999999999999</v>
      </c>
      <c r="J167" vm="2571">
        <f ca="1"/>
        <v>475</v>
      </c>
      <c r="K167" vm="2466">
        <f ca="1"/>
        <v>59.5</v>
      </c>
      <c r="L167" vm="2572">
        <f ca="1"/>
        <v>254.4</v>
      </c>
      <c r="M167" vm="2573">
        <f ca="1"/>
        <v>252.9</v>
      </c>
      <c r="N167" vm="2574">
        <f ca="1"/>
        <v>15.46</v>
      </c>
      <c r="O167" vm="2575">
        <f ca="1"/>
        <v>601.20000000000005</v>
      </c>
      <c r="Q167" s="4">
        <f t="shared" ca="1" si="42"/>
        <v>2.037516170763265E-2</v>
      </c>
      <c r="R167" s="4">
        <f t="shared" ca="1" si="43"/>
        <v>-1.6528925619834212E-3</v>
      </c>
      <c r="S167" s="4">
        <f t="shared" ca="1" si="44"/>
        <v>1.0271903323262777E-2</v>
      </c>
      <c r="T167" s="4">
        <f t="shared" ca="1" si="52"/>
        <v>-9.3541202672604573E-3</v>
      </c>
      <c r="U167" s="4">
        <f t="shared" ca="1" si="53"/>
        <v>-4.0000000000000036E-3</v>
      </c>
      <c r="V167" s="4">
        <f t="shared" ca="1" si="45"/>
        <v>8.9089735313105933E-3</v>
      </c>
      <c r="W167" s="4">
        <f t="shared" ca="1" si="46"/>
        <v>-9.1509913573961654E-4</v>
      </c>
      <c r="X167" s="4">
        <f t="shared" ca="1" si="47"/>
        <v>5.1403716884144135E-3</v>
      </c>
      <c r="Y167" s="4">
        <f t="shared" ca="1" si="48"/>
        <v>3.6937541974477739E-3</v>
      </c>
      <c r="Z167" s="4">
        <f t="shared" ca="1" si="49"/>
        <v>5.5031446540880768E-3</v>
      </c>
      <c r="AA167" s="4">
        <f t="shared" ca="1" si="50"/>
        <v>-1.279243978333533E-2</v>
      </c>
      <c r="AB167" s="4">
        <f t="shared" ca="1" si="54"/>
        <v>-7.4850299401197917E-3</v>
      </c>
      <c r="AC167" s="4">
        <f t="shared" ca="1" si="55"/>
        <v>9.8522167487684609E-3</v>
      </c>
      <c r="AD167" s="4"/>
      <c r="AE167" s="2" cm="1">
        <f t="array" aca="1" ref="AE167" ca="1">SUMPRODUCT(Q167:AB167,TRANSPOSE(Insights.!$H$4:$H$15))</f>
        <v>1.2520903727297416E-3</v>
      </c>
      <c r="AG167" s="10" vm="2564">
        <f ca="1"/>
        <v>45894</v>
      </c>
      <c r="AH167" s="1" vm="2576">
        <f ca="1"/>
        <v>105.375</v>
      </c>
      <c r="AI167" s="2">
        <f t="shared" ca="1" si="51"/>
        <v>-2.27758007117429E-3</v>
      </c>
      <c r="AJ167" s="1" vm="2577">
        <f ca="1"/>
        <v>105.005</v>
      </c>
      <c r="AK167" s="2">
        <f t="shared" ca="1" si="56"/>
        <v>-2.0475215465929342E-3</v>
      </c>
      <c r="AL167" s="1" vm="2578">
        <f ca="1"/>
        <v>55.45</v>
      </c>
      <c r="AM167" s="2">
        <f t="shared" ca="1" si="57"/>
        <v>-1.0279531109107287E-2</v>
      </c>
      <c r="AO167" s="9">
        <f t="shared" ca="1" si="58"/>
        <v>100.01356070325321</v>
      </c>
      <c r="AP167">
        <f t="shared" ca="1" si="59"/>
        <v>97.714206231454</v>
      </c>
      <c r="AQ167">
        <f t="shared" ca="1" si="60"/>
        <v>99.719848053181565</v>
      </c>
      <c r="AR167">
        <f t="shared" ca="1" si="61"/>
        <v>113.05943521255998</v>
      </c>
      <c r="AT167" s="21">
        <f ca="1">MAX($AO$3:AO168)</f>
        <v>106.96839029133979</v>
      </c>
      <c r="AU167" s="2">
        <f t="shared" ca="1" si="62"/>
        <v>-6.5017614728466677E-2</v>
      </c>
    </row>
    <row r="168" spans="1:47" x14ac:dyDescent="0.25">
      <c r="A168" vm="2579">
        <f ca="1"/>
        <v>45895</v>
      </c>
      <c r="B168" vm="2474">
        <f ca="1"/>
        <v>156.28</v>
      </c>
      <c r="C168" vm="2262">
        <f ca="1"/>
        <v>205</v>
      </c>
      <c r="D168" vm="2580">
        <f ca="1"/>
        <v>298.89999999999998</v>
      </c>
      <c r="E168" vm="1263">
        <f ca="1"/>
        <v>211.4</v>
      </c>
      <c r="F168" vm="2581">
        <f ca="1"/>
        <v>196.52</v>
      </c>
      <c r="G168" vm="2503">
        <f ca="1"/>
        <v>167.2</v>
      </c>
      <c r="H168" vm="2582">
        <f ca="1"/>
        <v>428.3</v>
      </c>
      <c r="I168" vm="2583">
        <f ca="1"/>
        <v>133.44</v>
      </c>
      <c r="J168" vm="2584">
        <f ca="1"/>
        <v>473.1</v>
      </c>
      <c r="K168" vm="2585">
        <f ca="1"/>
        <v>60</v>
      </c>
      <c r="L168" vm="2586">
        <f ca="1"/>
        <v>255.8</v>
      </c>
      <c r="M168" vm="260">
        <f ca="1"/>
        <v>254.2</v>
      </c>
      <c r="N168" vm="2587">
        <f ca="1"/>
        <v>15.775</v>
      </c>
      <c r="O168" vm="2588">
        <f ca="1"/>
        <v>596.70000000000005</v>
      </c>
      <c r="Q168" s="4">
        <f t="shared" ca="1" si="42"/>
        <v>-7.923930269413626E-3</v>
      </c>
      <c r="R168" s="4">
        <f t="shared" ca="1" si="43"/>
        <v>1.6083254493850507E-2</v>
      </c>
      <c r="S168" s="4">
        <f t="shared" ca="1" si="44"/>
        <v>1.0167464114832603E-2</v>
      </c>
      <c r="T168" s="4">
        <f t="shared" ca="1" si="52"/>
        <v>1.0341726618704916E-2</v>
      </c>
      <c r="U168" s="4">
        <f t="shared" ca="1" si="53"/>
        <v>4.0160642570281624E-3</v>
      </c>
      <c r="V168" s="4">
        <f t="shared" ca="1" si="45"/>
        <v>-3.839262861530246E-4</v>
      </c>
      <c r="W168" s="4">
        <f t="shared" ca="1" si="46"/>
        <v>-6.1062487278651378E-4</v>
      </c>
      <c r="X168" s="4">
        <f t="shared" ca="1" si="47"/>
        <v>1.3571990558615132E-2</v>
      </c>
      <c r="Y168" s="4">
        <f t="shared" ca="1" si="48"/>
        <v>5.018400802944134E-3</v>
      </c>
      <c r="Z168" s="4">
        <f t="shared" ca="1" si="49"/>
        <v>5.2775605942141368E-3</v>
      </c>
      <c r="AA168" s="4">
        <f t="shared" ca="1" si="50"/>
        <v>1.7861312164370702E-2</v>
      </c>
      <c r="AB168" s="4">
        <f t="shared" ca="1" si="54"/>
        <v>6.7035361153000572E-4</v>
      </c>
      <c r="AC168" s="4">
        <f t="shared" ca="1" si="55"/>
        <v>-4.8780487804878092E-3</v>
      </c>
      <c r="AD168" s="4"/>
      <c r="AE168" s="2" cm="1">
        <f t="array" aca="1" ref="AE168" ca="1">SUMPRODUCT(Q168:AB168,TRANSPOSE(Insights.!$H$4:$H$15))</f>
        <v>6.3902899009436213E-3</v>
      </c>
      <c r="AG168" s="10" vm="2579">
        <f ca="1"/>
        <v>45895</v>
      </c>
      <c r="AH168" s="1" vm="2589">
        <f ca="1"/>
        <v>105.13500000000001</v>
      </c>
      <c r="AI168" s="2">
        <f t="shared" ca="1" si="51"/>
        <v>4.755790174537422E-3</v>
      </c>
      <c r="AJ168" s="1" vm="2590">
        <f ca="1"/>
        <v>104.79</v>
      </c>
      <c r="AK168" s="2">
        <f t="shared" ca="1" si="56"/>
        <v>7.9683175875560064E-3</v>
      </c>
      <c r="AL168" s="1" vm="2315">
        <f ca="1"/>
        <v>54.88</v>
      </c>
      <c r="AM168" s="2">
        <f t="shared" ca="1" si="57"/>
        <v>1.2755102040815647E-3</v>
      </c>
      <c r="AO168" s="9">
        <f t="shared" ca="1" si="58"/>
        <v>100.13878671975218</v>
      </c>
      <c r="AP168">
        <f t="shared" ca="1" si="59"/>
        <v>97.491654302670625</v>
      </c>
      <c r="AQ168">
        <f t="shared" ca="1" si="60"/>
        <v>99.5156695156697</v>
      </c>
      <c r="AR168">
        <f t="shared" ca="1" si="61"/>
        <v>111.89723723111436</v>
      </c>
      <c r="AT168" s="21">
        <f ca="1">MAX($AO$3:AO169)</f>
        <v>106.96839029133979</v>
      </c>
      <c r="AU168" s="2">
        <f t="shared" ca="1" si="62"/>
        <v>-6.3846932285196223E-2</v>
      </c>
    </row>
    <row r="169" spans="1:47" x14ac:dyDescent="0.25">
      <c r="A169" vm="2591">
        <f ca="1"/>
        <v>45896</v>
      </c>
      <c r="B169" vm="1087">
        <f ca="1"/>
        <v>156.22</v>
      </c>
      <c r="C169" vm="2157">
        <f ca="1"/>
        <v>204</v>
      </c>
      <c r="D169" vm="2592">
        <f ca="1"/>
        <v>300.39999999999998</v>
      </c>
      <c r="E169" vm="2593">
        <f ca="1"/>
        <v>214.8</v>
      </c>
      <c r="F169" vm="2594">
        <f ca="1"/>
        <v>196.4</v>
      </c>
      <c r="G169" vm="2595">
        <f ca="1"/>
        <v>168.9</v>
      </c>
      <c r="H169" vm="2596">
        <f ca="1"/>
        <v>435.95</v>
      </c>
      <c r="I169" vm="2597">
        <f ca="1"/>
        <v>134.82</v>
      </c>
      <c r="J169" vm="2571">
        <f ca="1"/>
        <v>475</v>
      </c>
      <c r="K169" vm="2598">
        <f ca="1"/>
        <v>61.5</v>
      </c>
      <c r="L169" vm="2295">
        <f ca="1"/>
        <v>257.14999999999998</v>
      </c>
      <c r="M169" vm="2599">
        <f ca="1"/>
        <v>257.64999999999998</v>
      </c>
      <c r="N169" vm="2600">
        <f ca="1"/>
        <v>15.65</v>
      </c>
      <c r="O169" vm="2601">
        <f ca="1"/>
        <v>597.1</v>
      </c>
      <c r="Q169" s="4">
        <f t="shared" ca="1" si="42"/>
        <v>-5.4313099041534141E-3</v>
      </c>
      <c r="R169" s="4">
        <f t="shared" ca="1" si="43"/>
        <v>1.4897579143389184E-2</v>
      </c>
      <c r="S169" s="4">
        <f t="shared" ca="1" si="44"/>
        <v>6.5127294256956958E-3</v>
      </c>
      <c r="T169" s="4">
        <f t="shared" ca="1" si="52"/>
        <v>-1.5427978044800339E-2</v>
      </c>
      <c r="U169" s="4">
        <f t="shared" ca="1" si="53"/>
        <v>-4.5263157894736006E-3</v>
      </c>
      <c r="V169" s="4">
        <f t="shared" ca="1" si="45"/>
        <v>-1.177826142619387E-2</v>
      </c>
      <c r="W169" s="4">
        <f t="shared" ca="1" si="46"/>
        <v>1.0794297352342275E-2</v>
      </c>
      <c r="X169" s="4">
        <f t="shared" ca="1" si="47"/>
        <v>-5.8218513487284795E-4</v>
      </c>
      <c r="Y169" s="4">
        <f t="shared" ca="1" si="48"/>
        <v>-3.4953395472701043E-3</v>
      </c>
      <c r="Z169" s="4">
        <f t="shared" ca="1" si="49"/>
        <v>2.7415905113746808E-2</v>
      </c>
      <c r="AA169" s="4">
        <f t="shared" ca="1" si="50"/>
        <v>-1.1469205184078124E-4</v>
      </c>
      <c r="AB169" s="4">
        <f t="shared" ca="1" si="54"/>
        <v>-1.3230614637414151E-2</v>
      </c>
      <c r="AC169" s="4">
        <f t="shared" ca="1" si="55"/>
        <v>-2.450980392156854E-3</v>
      </c>
      <c r="AD169" s="4"/>
      <c r="AE169" s="2" cm="1">
        <f t="array" aca="1" ref="AE169" ca="1">SUMPRODUCT(Q169:AB169,TRANSPOSE(Insights.!$H$4:$H$15))</f>
        <v>1.636650160737224E-3</v>
      </c>
      <c r="AG169" s="10" vm="2591">
        <f ca="1"/>
        <v>45896</v>
      </c>
      <c r="AH169" s="1" vm="2602">
        <f ca="1"/>
        <v>105.63500000000001</v>
      </c>
      <c r="AI169" s="2">
        <f t="shared" ca="1" si="51"/>
        <v>-2.3193070478535471E-3</v>
      </c>
      <c r="AJ169" s="1" vm="2603">
        <f ca="1"/>
        <v>105.625</v>
      </c>
      <c r="AK169" s="2">
        <f t="shared" ca="1" si="56"/>
        <v>-2.8402366863905515E-3</v>
      </c>
      <c r="AL169" s="1" vm="1716">
        <f ca="1"/>
        <v>54.95</v>
      </c>
      <c r="AM169" s="2">
        <f t="shared" ca="1" si="57"/>
        <v>1.2738853503184711E-3</v>
      </c>
      <c r="AO169" s="9">
        <f t="shared" ca="1" si="58"/>
        <v>100.77870259722015</v>
      </c>
      <c r="AP169">
        <f t="shared" ca="1" si="59"/>
        <v>97.955304154302667</v>
      </c>
      <c r="AQ169">
        <f t="shared" ca="1" si="60"/>
        <v>100.30864197530882</v>
      </c>
      <c r="AR169">
        <f t="shared" ca="1" si="61"/>
        <v>112.03996329901118</v>
      </c>
      <c r="AT169" s="21">
        <f ca="1">MAX($AO$3:AO170)</f>
        <v>106.96839029133979</v>
      </c>
      <c r="AU169" s="2">
        <f t="shared" ca="1" si="62"/>
        <v>-5.7864642790841025E-2</v>
      </c>
    </row>
    <row r="170" spans="1:47" x14ac:dyDescent="0.25">
      <c r="A170" vm="2604">
        <f ca="1"/>
        <v>45897</v>
      </c>
      <c r="B170" vm="2605">
        <f ca="1"/>
        <v>154.38</v>
      </c>
      <c r="C170" vm="2606">
        <f ca="1"/>
        <v>203.5</v>
      </c>
      <c r="D170" vm="1150">
        <f ca="1"/>
        <v>299.35000000000002</v>
      </c>
      <c r="E170" vm="2607">
        <f ca="1"/>
        <v>218</v>
      </c>
      <c r="F170" vm="2608">
        <f ca="1"/>
        <v>198.52</v>
      </c>
      <c r="G170" vm="2609">
        <f ca="1"/>
        <v>170</v>
      </c>
      <c r="H170" vm="2610">
        <f ca="1"/>
        <v>435.9</v>
      </c>
      <c r="I170" vm="2611">
        <f ca="1"/>
        <v>132.74</v>
      </c>
      <c r="J170" vm="2612">
        <f ca="1"/>
        <v>472.85</v>
      </c>
      <c r="K170" vm="2585">
        <f ca="1"/>
        <v>60</v>
      </c>
      <c r="L170" vm="2613">
        <f ca="1"/>
        <v>264.2</v>
      </c>
      <c r="M170" vm="2614">
        <f ca="1"/>
        <v>257.5</v>
      </c>
      <c r="N170" vm="2615">
        <f ca="1"/>
        <v>15.565</v>
      </c>
      <c r="O170" vm="2616">
        <f ca="1"/>
        <v>589.20000000000005</v>
      </c>
      <c r="Q170" s="4">
        <f t="shared" ca="1" si="42"/>
        <v>-5.7822036620622796E-3</v>
      </c>
      <c r="R170" s="4">
        <f t="shared" ca="1" si="43"/>
        <v>5.5045871559633586E-3</v>
      </c>
      <c r="S170" s="4">
        <f t="shared" ca="1" si="44"/>
        <v>-5.5294117647058827E-2</v>
      </c>
      <c r="T170" s="4">
        <f t="shared" ca="1" si="52"/>
        <v>1.1902968208527875E-2</v>
      </c>
      <c r="U170" s="4">
        <f t="shared" ca="1" si="53"/>
        <v>1.3746431214971544E-3</v>
      </c>
      <c r="V170" s="4">
        <f t="shared" ca="1" si="45"/>
        <v>-3.7958284751910765E-2</v>
      </c>
      <c r="W170" s="4">
        <f t="shared" ca="1" si="46"/>
        <v>-1.5313318557324318E-2</v>
      </c>
      <c r="X170" s="4">
        <f t="shared" ca="1" si="47"/>
        <v>4.8543689320388328E-3</v>
      </c>
      <c r="Y170" s="4">
        <f t="shared" ca="1" si="48"/>
        <v>3.1735426757975027E-3</v>
      </c>
      <c r="Z170" s="4">
        <f t="shared" ca="1" si="49"/>
        <v>-4.333838001514001E-2</v>
      </c>
      <c r="AA170" s="4">
        <f t="shared" ca="1" si="50"/>
        <v>-2.5235145675612802E-3</v>
      </c>
      <c r="AB170" s="4">
        <f t="shared" ca="1" si="54"/>
        <v>-1.9517990495587223E-2</v>
      </c>
      <c r="AC170" s="4">
        <f t="shared" ca="1" si="55"/>
        <v>-3.292383292383283E-2</v>
      </c>
      <c r="AD170" s="4"/>
      <c r="AE170" s="2" cm="1">
        <f t="array" aca="1" ref="AE170" ca="1">SUMPRODUCT(Q170:AB170,TRANSPOSE(Insights.!$H$4:$H$15))</f>
        <v>-1.0143477251182087E-2</v>
      </c>
      <c r="AG170" s="10" vm="2604">
        <f ca="1"/>
        <v>45897</v>
      </c>
      <c r="AH170" s="1" vm="2617">
        <f ca="1"/>
        <v>105.39</v>
      </c>
      <c r="AI170" s="2">
        <f t="shared" ca="1" si="51"/>
        <v>-5.930353923522147E-3</v>
      </c>
      <c r="AJ170" s="1" vm="2618">
        <f ca="1"/>
        <v>105.325</v>
      </c>
      <c r="AK170" s="2">
        <f t="shared" ca="1" si="56"/>
        <v>-6.9784001898884895E-3</v>
      </c>
      <c r="AL170" s="1" vm="2619">
        <f ca="1"/>
        <v>55.02</v>
      </c>
      <c r="AM170" s="2">
        <f t="shared" ca="1" si="57"/>
        <v>-7.8153398764085891E-3</v>
      </c>
      <c r="AO170" s="9">
        <f t="shared" ca="1" si="58"/>
        <v>100.94364207702478</v>
      </c>
      <c r="AP170">
        <f t="shared" ca="1" si="59"/>
        <v>97.728115727002958</v>
      </c>
      <c r="AQ170">
        <f t="shared" ca="1" si="60"/>
        <v>100.02374169040853</v>
      </c>
      <c r="AR170">
        <f t="shared" ca="1" si="61"/>
        <v>112.18268936690801</v>
      </c>
      <c r="AT170" s="21">
        <f ca="1">MAX($AO$3:AO171)</f>
        <v>106.96839029133979</v>
      </c>
      <c r="AU170" s="2">
        <f t="shared" ca="1" si="62"/>
        <v>-5.6322696807028394E-2</v>
      </c>
    </row>
    <row r="171" spans="1:47" x14ac:dyDescent="0.25">
      <c r="A171" vm="2620">
        <f ca="1"/>
        <v>45898</v>
      </c>
      <c r="B171" vm="2621">
        <f ca="1"/>
        <v>148.52000000000001</v>
      </c>
      <c r="C171" vm="2622">
        <f ca="1"/>
        <v>196.8</v>
      </c>
      <c r="D171" vm="2623">
        <f ca="1"/>
        <v>300.3</v>
      </c>
      <c r="E171" vm="205">
        <f ca="1"/>
        <v>219.2</v>
      </c>
      <c r="F171" vm="2624">
        <f ca="1"/>
        <v>195.48</v>
      </c>
      <c r="G171" vm="1355">
        <f ca="1"/>
        <v>160.6</v>
      </c>
      <c r="H171" vm="2625">
        <f ca="1"/>
        <v>434.8</v>
      </c>
      <c r="I171" vm="2626">
        <f ca="1"/>
        <v>134.32</v>
      </c>
      <c r="J171" vm="2627">
        <f ca="1"/>
        <v>473.5</v>
      </c>
      <c r="K171" vm="2425">
        <f ca="1"/>
        <v>58</v>
      </c>
      <c r="L171" vm="2628">
        <f ca="1"/>
        <v>252.75</v>
      </c>
      <c r="M171" vm="343">
        <f ca="1"/>
        <v>258.75</v>
      </c>
      <c r="N171" vm="2629">
        <f ca="1"/>
        <v>15.475</v>
      </c>
      <c r="O171" vm="2630">
        <f ca="1"/>
        <v>577.70000000000005</v>
      </c>
      <c r="Q171" s="4">
        <f t="shared" ca="1" si="42"/>
        <v>-2.0678513731825499E-2</v>
      </c>
      <c r="R171" s="4">
        <f t="shared" ca="1" si="43"/>
        <v>4.333941605839442E-3</v>
      </c>
      <c r="S171" s="4">
        <f t="shared" ca="1" si="44"/>
        <v>9.028642590286573E-3</v>
      </c>
      <c r="T171" s="4">
        <f t="shared" ca="1" si="52"/>
        <v>-2.0845741512804938E-3</v>
      </c>
      <c r="U171" s="4">
        <f t="shared" ca="1" si="53"/>
        <v>-6.3357972544878516E-3</v>
      </c>
      <c r="V171" s="4">
        <f t="shared" ca="1" si="45"/>
        <v>-1.8852679773767589E-3</v>
      </c>
      <c r="W171" s="4">
        <f t="shared" ca="1" si="46"/>
        <v>2.5578064252096411E-3</v>
      </c>
      <c r="X171" s="4">
        <f t="shared" ca="1" si="47"/>
        <v>-5.603864734299524E-3</v>
      </c>
      <c r="Y171" s="4">
        <f t="shared" ca="1" si="48"/>
        <v>9.990009990010762E-4</v>
      </c>
      <c r="Z171" s="4">
        <f t="shared" ca="1" si="49"/>
        <v>5.1434223541049207E-3</v>
      </c>
      <c r="AA171" s="4">
        <f t="shared" ca="1" si="50"/>
        <v>-8.2796688132474872E-3</v>
      </c>
      <c r="AB171" s="4">
        <f t="shared" ca="1" si="54"/>
        <v>1.2290115977150684E-2</v>
      </c>
      <c r="AC171" s="4">
        <f t="shared" ca="1" si="55"/>
        <v>-1.0162601626017009E-3</v>
      </c>
      <c r="AD171" s="4"/>
      <c r="AE171" s="2" cm="1">
        <f t="array" aca="1" ref="AE171" ca="1">SUMPRODUCT(Q171:AB171,TRANSPOSE(Insights.!$H$4:$H$15))</f>
        <v>-7.2041570491715413E-4</v>
      </c>
      <c r="AG171" s="10" vm="2620">
        <f ca="1"/>
        <v>45898</v>
      </c>
      <c r="AH171" s="1" vm="2631">
        <f ca="1"/>
        <v>104.765</v>
      </c>
      <c r="AI171" s="2">
        <f t="shared" ca="1" si="51"/>
        <v>1.4317758793491731E-3</v>
      </c>
      <c r="AJ171" s="1" vm="2632">
        <f ca="1"/>
        <v>104.59</v>
      </c>
      <c r="AK171" s="2">
        <f t="shared" ca="1" si="56"/>
        <v>2.2946744430634158E-3</v>
      </c>
      <c r="AL171" s="1" vm="932">
        <f ca="1"/>
        <v>54.59</v>
      </c>
      <c r="AM171" s="2">
        <f t="shared" ca="1" si="57"/>
        <v>2.3813885326982032E-3</v>
      </c>
      <c r="AO171" s="9">
        <f t="shared" ca="1" si="58"/>
        <v>99.919722539965008</v>
      </c>
      <c r="AP171">
        <f t="shared" ca="1" si="59"/>
        <v>97.148553412462903</v>
      </c>
      <c r="AQ171">
        <f t="shared" ca="1" si="60"/>
        <v>99.325735992402826</v>
      </c>
      <c r="AR171">
        <f t="shared" ca="1" si="61"/>
        <v>111.30594352125605</v>
      </c>
      <c r="AT171" s="21">
        <f ca="1">MAX($AO$3:AO172)</f>
        <v>106.96839029133979</v>
      </c>
      <c r="AU171" s="2">
        <f t="shared" ca="1" si="62"/>
        <v>-6.5894866064423185E-2</v>
      </c>
    </row>
    <row r="172" spans="1:47" x14ac:dyDescent="0.25">
      <c r="A172" vm="2633">
        <f ca="1"/>
        <v>45901</v>
      </c>
      <c r="B172" vm="1676">
        <f ca="1"/>
        <v>148.24</v>
      </c>
      <c r="C172" vm="2634">
        <f ca="1"/>
        <v>196.6</v>
      </c>
      <c r="D172" vm="2174">
        <f ca="1"/>
        <v>300.60000000000002</v>
      </c>
      <c r="E172" vm="2635">
        <f ca="1"/>
        <v>220.15</v>
      </c>
      <c r="F172" vm="2636">
        <f ca="1"/>
        <v>195.98</v>
      </c>
      <c r="G172" vm="2637">
        <f ca="1"/>
        <v>162.05000000000001</v>
      </c>
      <c r="H172" vm="2638">
        <f ca="1"/>
        <v>431.2</v>
      </c>
      <c r="I172" vm="2639">
        <f ca="1"/>
        <v>134.04</v>
      </c>
      <c r="J172" vm="2640">
        <f ca="1"/>
        <v>470.5</v>
      </c>
      <c r="K172" vm="2641">
        <f ca="1"/>
        <v>57.5</v>
      </c>
      <c r="L172" vm="2642">
        <f ca="1"/>
        <v>254.05</v>
      </c>
      <c r="M172" vm="2310">
        <f ca="1"/>
        <v>257.3</v>
      </c>
      <c r="N172" vm="2643">
        <f ca="1"/>
        <v>15.154999999999999</v>
      </c>
      <c r="O172" vm="2644">
        <f ca="1"/>
        <v>584.79999999999995</v>
      </c>
      <c r="Q172" s="4">
        <f t="shared" ca="1" si="42"/>
        <v>-4.6189376443417363E-3</v>
      </c>
      <c r="R172" s="4">
        <f t="shared" ca="1" si="43"/>
        <v>-1.4308426073131986E-2</v>
      </c>
      <c r="S172" s="4">
        <f t="shared" ca="1" si="44"/>
        <v>-1.8204257945078739E-2</v>
      </c>
      <c r="T172" s="4">
        <f t="shared" ca="1" si="52"/>
        <v>1.1936735302894519E-2</v>
      </c>
      <c r="U172" s="4">
        <f t="shared" ca="1" si="53"/>
        <v>-1.7003188097768351E-2</v>
      </c>
      <c r="V172" s="4">
        <f t="shared" ca="1" si="45"/>
        <v>-9.0393955747436472E-3</v>
      </c>
      <c r="W172" s="4">
        <f t="shared" ca="1" si="46"/>
        <v>-9.8989692825798281E-3</v>
      </c>
      <c r="X172" s="4">
        <f t="shared" ca="1" si="47"/>
        <v>-1.010493587252248E-2</v>
      </c>
      <c r="Y172" s="4">
        <f t="shared" ca="1" si="48"/>
        <v>-2.4950099800399306E-3</v>
      </c>
      <c r="Z172" s="4">
        <f t="shared" ca="1" si="49"/>
        <v>-3.1489864199960582E-3</v>
      </c>
      <c r="AA172" s="4">
        <f t="shared" ca="1" si="50"/>
        <v>3.8265306122449161E-3</v>
      </c>
      <c r="AB172" s="4">
        <f t="shared" ca="1" si="54"/>
        <v>6.3269493844049229E-3</v>
      </c>
      <c r="AC172" s="4">
        <f t="shared" ca="1" si="55"/>
        <v>-7.1210579857579059E-3</v>
      </c>
      <c r="AD172" s="4"/>
      <c r="AE172" s="2" cm="1">
        <f t="array" aca="1" ref="AE172" ca="1">SUMPRODUCT(Q172:AB172,TRANSPOSE(Insights.!$H$4:$H$15))</f>
        <v>-6.0203617382535235E-3</v>
      </c>
      <c r="AG172" s="10" vm="2633">
        <f ca="1"/>
        <v>45901</v>
      </c>
      <c r="AH172" s="1" vm="2645">
        <f ca="1"/>
        <v>104.91500000000001</v>
      </c>
      <c r="AI172" s="2">
        <f t="shared" ca="1" si="51"/>
        <v>-8.1971119477672882E-3</v>
      </c>
      <c r="AJ172" s="1" vm="2646">
        <f ca="1"/>
        <v>104.83</v>
      </c>
      <c r="AK172" s="2">
        <f t="shared" ca="1" si="56"/>
        <v>-1.0874749594581679E-2</v>
      </c>
      <c r="AL172" s="1" vm="2647">
        <f ca="1"/>
        <v>54.72</v>
      </c>
      <c r="AM172" s="2">
        <f t="shared" ca="1" si="57"/>
        <v>-9.6856725146199363E-3</v>
      </c>
      <c r="AO172" s="9">
        <f t="shared" ca="1" si="58"/>
        <v>99.847738802616263</v>
      </c>
      <c r="AP172">
        <f t="shared" ca="1" si="59"/>
        <v>97.287648367952528</v>
      </c>
      <c r="AQ172">
        <f t="shared" ca="1" si="60"/>
        <v>99.553656220323063</v>
      </c>
      <c r="AR172">
        <f t="shared" ca="1" si="61"/>
        <v>111.57100621877873</v>
      </c>
      <c r="AT172" s="21">
        <f ca="1">MAX($AO$3:AO173)</f>
        <v>106.96839029133979</v>
      </c>
      <c r="AU172" s="2">
        <f t="shared" ca="1" si="62"/>
        <v>-6.6567810072953981E-2</v>
      </c>
    </row>
    <row r="173" spans="1:47" x14ac:dyDescent="0.25">
      <c r="A173" vm="2648">
        <f ca="1"/>
        <v>45902</v>
      </c>
      <c r="B173" vm="2649">
        <f ca="1"/>
        <v>146.9</v>
      </c>
      <c r="C173" vm="2650">
        <f ca="1"/>
        <v>195.2</v>
      </c>
      <c r="D173" vm="2651">
        <f ca="1"/>
        <v>299.85000000000002</v>
      </c>
      <c r="E173" vm="2652">
        <f ca="1"/>
        <v>217</v>
      </c>
      <c r="F173" vm="2653">
        <f ca="1"/>
        <v>194.04</v>
      </c>
      <c r="G173" vm="2654">
        <f ca="1"/>
        <v>159.1</v>
      </c>
      <c r="H173" vm="2655">
        <f ca="1"/>
        <v>432.85</v>
      </c>
      <c r="I173" vm="2656">
        <f ca="1"/>
        <v>135.63999999999999</v>
      </c>
      <c r="J173" vm="2657">
        <f ca="1"/>
        <v>462.5</v>
      </c>
      <c r="K173" vm="2520">
        <f ca="1"/>
        <v>57</v>
      </c>
      <c r="L173" vm="2658">
        <f ca="1"/>
        <v>253.25</v>
      </c>
      <c r="M173" vm="2560">
        <f ca="1"/>
        <v>254.7</v>
      </c>
      <c r="N173" vm="2659">
        <f ca="1"/>
        <v>15.085000000000001</v>
      </c>
      <c r="O173" vm="2660">
        <f ca="1"/>
        <v>588.5</v>
      </c>
      <c r="Q173" s="4">
        <f t="shared" ca="1" si="42"/>
        <v>6.6291017567121635E-4</v>
      </c>
      <c r="R173" s="4">
        <f t="shared" ca="1" si="43"/>
        <v>1.8433179723502224E-2</v>
      </c>
      <c r="S173" s="4">
        <f t="shared" ca="1" si="44"/>
        <v>4.714016341923255E-3</v>
      </c>
      <c r="T173" s="4">
        <f t="shared" ca="1" si="52"/>
        <v>-1.7693895606014642E-3</v>
      </c>
      <c r="U173" s="4">
        <f t="shared" ca="1" si="53"/>
        <v>0</v>
      </c>
      <c r="V173" s="4">
        <f t="shared" ca="1" si="45"/>
        <v>-9.8025867937372446E-3</v>
      </c>
      <c r="W173" s="4">
        <f t="shared" ca="1" si="46"/>
        <v>-9.688723974438207E-3</v>
      </c>
      <c r="X173" s="4">
        <f t="shared" ca="1" si="47"/>
        <v>9.8154691794261062E-4</v>
      </c>
      <c r="Y173" s="4">
        <f t="shared" ca="1" si="48"/>
        <v>1.0005002501249916E-3</v>
      </c>
      <c r="Z173" s="4">
        <f t="shared" ca="1" si="49"/>
        <v>2.1520236920039348E-2</v>
      </c>
      <c r="AA173" s="4">
        <f t="shared" ca="1" si="50"/>
        <v>-4.2739979207577772E-3</v>
      </c>
      <c r="AB173" s="4">
        <f t="shared" ca="1" si="54"/>
        <v>1.6992353440951513E-2</v>
      </c>
      <c r="AC173" s="4">
        <f t="shared" ca="1" si="55"/>
        <v>8.19672131147553E-3</v>
      </c>
      <c r="AD173" s="4"/>
      <c r="AE173" s="2" cm="1">
        <f t="array" aca="1" ref="AE173" ca="1">SUMPRODUCT(Q173:AB173,TRANSPOSE(Insights.!$H$4:$H$15))</f>
        <v>4.2779503713047664E-3</v>
      </c>
      <c r="AG173" s="10" vm="2648">
        <f ca="1"/>
        <v>45902</v>
      </c>
      <c r="AH173" s="1" vm="2661">
        <f ca="1"/>
        <v>104.05500000000001</v>
      </c>
      <c r="AI173" s="2">
        <f t="shared" ca="1" si="51"/>
        <v>4.6609965883426252E-3</v>
      </c>
      <c r="AJ173" s="1" vm="2662">
        <f ca="1"/>
        <v>103.69</v>
      </c>
      <c r="AK173" s="2">
        <f t="shared" ca="1" si="56"/>
        <v>6.6062301089786502E-3</v>
      </c>
      <c r="AL173" s="1" vm="997">
        <f ca="1"/>
        <v>54.19</v>
      </c>
      <c r="AM173" s="2">
        <f t="shared" ca="1" si="57"/>
        <v>2.7680383834656208E-3</v>
      </c>
      <c r="AO173" s="9">
        <f t="shared" ca="1" si="58"/>
        <v>99.246619296277871</v>
      </c>
      <c r="AP173">
        <f t="shared" ca="1" si="59"/>
        <v>96.490170623145403</v>
      </c>
      <c r="AQ173">
        <f t="shared" ca="1" si="60"/>
        <v>98.471035137701975</v>
      </c>
      <c r="AR173">
        <f t="shared" ca="1" si="61"/>
        <v>110.49036599041702</v>
      </c>
      <c r="AT173" s="21">
        <f ca="1">MAX($AO$3:AO174)</f>
        <v>106.96839029133979</v>
      </c>
      <c r="AU173" s="2">
        <f t="shared" ca="1" si="62"/>
        <v>-7.2187409514444911E-2</v>
      </c>
    </row>
    <row r="174" spans="1:47" x14ac:dyDescent="0.25">
      <c r="A174" vm="2663">
        <f ca="1"/>
        <v>45903</v>
      </c>
      <c r="B174" vm="2664">
        <f ca="1"/>
        <v>145.46</v>
      </c>
      <c r="C174" vm="2622">
        <f ca="1"/>
        <v>196.8</v>
      </c>
      <c r="D174" vm="2665">
        <f ca="1"/>
        <v>300.14999999999998</v>
      </c>
      <c r="E174" vm="2666">
        <f ca="1"/>
        <v>221</v>
      </c>
      <c r="F174" vm="2667">
        <f ca="1"/>
        <v>192.16</v>
      </c>
      <c r="G174" vm="2668">
        <f ca="1"/>
        <v>159.85</v>
      </c>
      <c r="H174" vm="2669">
        <f ca="1"/>
        <v>431</v>
      </c>
      <c r="I174" vm="2670">
        <f ca="1"/>
        <v>135.4</v>
      </c>
      <c r="J174" vm="2657">
        <f ca="1"/>
        <v>462.5</v>
      </c>
      <c r="K174" vm="2671">
        <f ca="1"/>
        <v>56</v>
      </c>
      <c r="L174" vm="2672">
        <f ca="1"/>
        <v>258.7</v>
      </c>
      <c r="M174" vm="2673">
        <f ca="1"/>
        <v>254.95</v>
      </c>
      <c r="N174" vm="2674">
        <f ca="1"/>
        <v>15.095000000000001</v>
      </c>
      <c r="O174" vm="2675">
        <f ca="1"/>
        <v>598.5</v>
      </c>
      <c r="Q174" s="4">
        <f t="shared" ca="1" si="42"/>
        <v>1.2255713812520552E-2</v>
      </c>
      <c r="R174" s="4">
        <f t="shared" ca="1" si="43"/>
        <v>-5.4298642533936681E-2</v>
      </c>
      <c r="S174" s="4">
        <f t="shared" ca="1" si="44"/>
        <v>1.3762902721301318E-2</v>
      </c>
      <c r="T174" s="4">
        <f t="shared" ca="1" si="52"/>
        <v>9.6011816838994513E-3</v>
      </c>
      <c r="U174" s="4">
        <f t="shared" ca="1" si="53"/>
        <v>7.1351351351351955E-3</v>
      </c>
      <c r="V174" s="4">
        <f t="shared" ca="1" si="45"/>
        <v>1.1412072047298105E-2</v>
      </c>
      <c r="W174" s="4">
        <f t="shared" ca="1" si="46"/>
        <v>4.9125728559533677E-2</v>
      </c>
      <c r="X174" s="4">
        <f t="shared" ca="1" si="47"/>
        <v>2.0396156109040886E-2</v>
      </c>
      <c r="Y174" s="4">
        <f t="shared" ca="1" si="48"/>
        <v>1.4992503748127994E-3</v>
      </c>
      <c r="Z174" s="4">
        <f t="shared" ca="1" si="49"/>
        <v>1.2369540007730828E-2</v>
      </c>
      <c r="AA174" s="4">
        <f t="shared" ca="1" si="50"/>
        <v>8.7006960556843538E-3</v>
      </c>
      <c r="AB174" s="4">
        <f t="shared" ca="1" si="54"/>
        <v>3.0075187969924588E-3</v>
      </c>
      <c r="AC174" s="4">
        <f t="shared" ca="1" si="55"/>
        <v>2.1341463414634054E-2</v>
      </c>
      <c r="AD174" s="4"/>
      <c r="AE174" s="2" cm="1">
        <f t="array" aca="1" ref="AE174" ca="1">SUMPRODUCT(Q174:AB174,TRANSPOSE(Insights.!$H$4:$H$15))</f>
        <v>4.4308071803723717E-3</v>
      </c>
      <c r="AG174" s="10" vm="2663">
        <f ca="1"/>
        <v>45903</v>
      </c>
      <c r="AH174" s="1" vm="2676">
        <f ca="1"/>
        <v>104.54</v>
      </c>
      <c r="AI174" s="2">
        <f t="shared" ca="1" si="51"/>
        <v>1.0761431031184321E-2</v>
      </c>
      <c r="AJ174" s="1" vm="2677">
        <f ca="1"/>
        <v>104.375</v>
      </c>
      <c r="AK174" s="2">
        <f t="shared" ca="1" si="56"/>
        <v>8.5748502994011933E-3</v>
      </c>
      <c r="AL174" s="1" vm="966">
        <f ca="1"/>
        <v>54.34</v>
      </c>
      <c r="AM174" s="2">
        <f t="shared" ca="1" si="57"/>
        <v>5.1527419948471653E-3</v>
      </c>
      <c r="AO174" s="9">
        <f t="shared" ca="1" si="58"/>
        <v>99.671191408147138</v>
      </c>
      <c r="AP174">
        <f t="shared" ca="1" si="59"/>
        <v>96.939910979228486</v>
      </c>
      <c r="AQ174">
        <f t="shared" ca="1" si="60"/>
        <v>99.121557454890961</v>
      </c>
      <c r="AR174">
        <f t="shared" ca="1" si="61"/>
        <v>110.79620756448166</v>
      </c>
      <c r="AT174" s="21">
        <f ca="1">MAX($AO$3:AO175)</f>
        <v>106.96839029133979</v>
      </c>
      <c r="AU174" s="2">
        <f t="shared" ca="1" si="62"/>
        <v>-6.8218273298475851E-2</v>
      </c>
    </row>
    <row r="175" spans="1:47" x14ac:dyDescent="0.25">
      <c r="A175" vm="2678">
        <f ca="1"/>
        <v>45904</v>
      </c>
      <c r="B175" vm="2679">
        <f ca="1"/>
        <v>147.12</v>
      </c>
      <c r="C175" vm="452">
        <f ca="1"/>
        <v>201</v>
      </c>
      <c r="D175" vm="2174">
        <f ca="1"/>
        <v>300.60000000000002</v>
      </c>
      <c r="E175" vm="2274">
        <f ca="1"/>
        <v>209</v>
      </c>
      <c r="F175" vm="2680">
        <f ca="1"/>
        <v>201.6</v>
      </c>
      <c r="G175" vm="2637">
        <f ca="1"/>
        <v>162.05000000000001</v>
      </c>
      <c r="H175" vm="2681">
        <f ca="1"/>
        <v>434.75</v>
      </c>
      <c r="I175" vm="2682">
        <f ca="1"/>
        <v>136.69999999999999</v>
      </c>
      <c r="J175" vm="2683">
        <f ca="1"/>
        <v>465.8</v>
      </c>
      <c r="K175" vm="2408">
        <f ca="1"/>
        <v>55.5</v>
      </c>
      <c r="L175" vm="2684">
        <f ca="1"/>
        <v>261.89999999999998</v>
      </c>
      <c r="M175" vm="2685">
        <f ca="1"/>
        <v>260.14999999999998</v>
      </c>
      <c r="N175" vm="2522">
        <f ca="1"/>
        <v>15.28</v>
      </c>
      <c r="O175" vm="2686">
        <f ca="1"/>
        <v>600.29999999999995</v>
      </c>
      <c r="Q175" s="4">
        <f t="shared" ca="1" si="42"/>
        <v>2.5196335078534027E-2</v>
      </c>
      <c r="R175" s="4">
        <f t="shared" ca="1" si="43"/>
        <v>1.8899521531100527E-2</v>
      </c>
      <c r="S175" s="4">
        <f t="shared" ca="1" si="44"/>
        <v>-4.905893242826298E-2</v>
      </c>
      <c r="T175" s="4">
        <f t="shared" ca="1" si="52"/>
        <v>-1.4630577907814857E-4</v>
      </c>
      <c r="U175" s="4">
        <f t="shared" ca="1" si="53"/>
        <v>-1.1163589523400574E-2</v>
      </c>
      <c r="V175" s="4">
        <f t="shared" ca="1" si="45"/>
        <v>-3.2762370853724798E-2</v>
      </c>
      <c r="W175" s="4">
        <f t="shared" ca="1" si="46"/>
        <v>-1.2797619047619002E-2</v>
      </c>
      <c r="X175" s="4">
        <f t="shared" ca="1" si="47"/>
        <v>-3.5172016144531915E-2</v>
      </c>
      <c r="Y175" s="4">
        <f t="shared" ca="1" si="48"/>
        <v>-2.7944111776447178E-2</v>
      </c>
      <c r="Z175" s="4">
        <f t="shared" ca="1" si="49"/>
        <v>9.4692630775105036E-2</v>
      </c>
      <c r="AA175" s="4">
        <f t="shared" ca="1" si="50"/>
        <v>-2.9557216791259444E-2</v>
      </c>
      <c r="AB175" s="4">
        <f t="shared" ca="1" si="54"/>
        <v>-7.496251874062998E-3</v>
      </c>
      <c r="AC175" s="4">
        <f t="shared" ca="1" si="55"/>
        <v>3.2338308457711351E-2</v>
      </c>
      <c r="AD175" s="4"/>
      <c r="AE175" s="2" cm="1">
        <f t="array" aca="1" ref="AE175" ca="1">SUMPRODUCT(Q175:AB175,TRANSPOSE(Insights.!$H$4:$H$15))</f>
        <v>-3.420573357868174E-3</v>
      </c>
      <c r="AG175" s="10" vm="2678">
        <f ca="1"/>
        <v>45904</v>
      </c>
      <c r="AH175" s="1" vm="2687">
        <f ca="1"/>
        <v>105.66500000000001</v>
      </c>
      <c r="AI175" s="2">
        <f t="shared" ca="1" si="51"/>
        <v>-9.889745895045654E-3</v>
      </c>
      <c r="AJ175" s="1" vm="2688">
        <f ca="1"/>
        <v>105.27</v>
      </c>
      <c r="AK175" s="2">
        <f t="shared" ca="1" si="56"/>
        <v>-7.0770399924003913E-3</v>
      </c>
      <c r="AL175" s="1" vm="2689">
        <f ca="1"/>
        <v>54.62</v>
      </c>
      <c r="AM175" s="2">
        <f t="shared" ca="1" si="57"/>
        <v>-7.1402416697180504E-3</v>
      </c>
      <c r="AO175" s="9">
        <f t="shared" ca="1" si="58"/>
        <v>100.11281523871463</v>
      </c>
      <c r="AP175">
        <f t="shared" ca="1" si="59"/>
        <v>97.983123145400597</v>
      </c>
      <c r="AQ175">
        <f t="shared" ca="1" si="60"/>
        <v>99.971509971510145</v>
      </c>
      <c r="AR175">
        <f t="shared" ca="1" si="61"/>
        <v>111.36711183606897</v>
      </c>
      <c r="AT175" s="21">
        <f ca="1">MAX($AO$3:AO176)</f>
        <v>106.96839029133979</v>
      </c>
      <c r="AU175" s="2">
        <f t="shared" ca="1" si="62"/>
        <v>-6.4089728133266965E-2</v>
      </c>
    </row>
    <row r="176" spans="1:47" x14ac:dyDescent="0.25">
      <c r="A176" vm="2690">
        <f ca="1"/>
        <v>45905</v>
      </c>
      <c r="B176" vm="2230">
        <f ca="1"/>
        <v>142.30000000000001</v>
      </c>
      <c r="C176" vm="1500">
        <f ca="1"/>
        <v>207.5</v>
      </c>
      <c r="D176" vm="2691">
        <f ca="1"/>
        <v>292.2</v>
      </c>
      <c r="E176" vm="1283">
        <f ca="1"/>
        <v>212.95</v>
      </c>
      <c r="F176" vm="2692">
        <f ca="1"/>
        <v>199.02</v>
      </c>
      <c r="G176" vm="1025">
        <f ca="1"/>
        <v>154.1</v>
      </c>
      <c r="H176" vm="2693">
        <f ca="1"/>
        <v>421.9</v>
      </c>
      <c r="I176" vm="2694">
        <f ca="1"/>
        <v>136.68</v>
      </c>
      <c r="J176" vm="2695">
        <f ca="1"/>
        <v>460.6</v>
      </c>
      <c r="K176" vm="2408">
        <f ca="1"/>
        <v>55.5</v>
      </c>
      <c r="L176" vm="2696">
        <f ca="1"/>
        <v>286.7</v>
      </c>
      <c r="M176" vm="1068">
        <f ca="1"/>
        <v>251</v>
      </c>
      <c r="N176" vm="2697">
        <f ca="1"/>
        <v>15.664999999999999</v>
      </c>
      <c r="O176" vm="2698">
        <f ca="1"/>
        <v>595.79999999999995</v>
      </c>
      <c r="Q176" s="4">
        <f t="shared" ca="1" si="42"/>
        <v>-8.9371209703159593E-3</v>
      </c>
      <c r="R176" s="4">
        <f t="shared" ca="1" si="43"/>
        <v>2.3479690068091141E-3</v>
      </c>
      <c r="S176" s="4">
        <f t="shared" ca="1" si="44"/>
        <v>2.1739130434782483E-2</v>
      </c>
      <c r="T176" s="4">
        <f t="shared" ca="1" si="52"/>
        <v>-1.4047410008779737E-2</v>
      </c>
      <c r="U176" s="4">
        <f t="shared" ca="1" si="53"/>
        <v>0</v>
      </c>
      <c r="V176" s="4">
        <f t="shared" ca="1" si="45"/>
        <v>1.3633169360505848E-2</v>
      </c>
      <c r="W176" s="4">
        <f t="shared" ca="1" si="46"/>
        <v>1.0953672997688457E-2</v>
      </c>
      <c r="X176" s="4">
        <f t="shared" ca="1" si="47"/>
        <v>-7.5697211155378863E-3</v>
      </c>
      <c r="Y176" s="4">
        <f t="shared" ca="1" si="48"/>
        <v>-3.935660506502292E-3</v>
      </c>
      <c r="Z176" s="4">
        <f t="shared" ca="1" si="49"/>
        <v>3.4356470177886456E-2</v>
      </c>
      <c r="AA176" s="4">
        <f t="shared" ca="1" si="50"/>
        <v>2.8442758947619939E-3</v>
      </c>
      <c r="AB176" s="4">
        <f t="shared" ca="1" si="54"/>
        <v>2.114803625377637E-2</v>
      </c>
      <c r="AC176" s="4">
        <f t="shared" ca="1" si="55"/>
        <v>1.2048192771084265E-2</v>
      </c>
      <c r="AD176" s="4"/>
      <c r="AE176" s="2" cm="1">
        <f t="array" aca="1" ref="AE176" ca="1">SUMPRODUCT(Q176:AB176,TRANSPOSE(Insights.!$H$4:$H$15))</f>
        <v>5.3961995507405738E-3</v>
      </c>
      <c r="AG176" s="10" vm="2690">
        <f ca="1"/>
        <v>45905</v>
      </c>
      <c r="AH176" s="1" vm="2470">
        <f ca="1"/>
        <v>104.62</v>
      </c>
      <c r="AI176" s="2">
        <f t="shared" ca="1" si="51"/>
        <v>3.4410246606766393E-3</v>
      </c>
      <c r="AJ176" s="1" vm="2699">
        <f ca="1"/>
        <v>104.52500000000001</v>
      </c>
      <c r="AK176" s="2">
        <f t="shared" ca="1" si="56"/>
        <v>6.4577852188472118E-3</v>
      </c>
      <c r="AL176" s="1" vm="2700">
        <f ca="1"/>
        <v>54.23</v>
      </c>
      <c r="AM176" s="2">
        <f t="shared" ca="1" si="57"/>
        <v>8.113590263691739E-3</v>
      </c>
      <c r="AO176" s="9">
        <f t="shared" ca="1" si="58"/>
        <v>99.7703720101279</v>
      </c>
      <c r="AP176">
        <f t="shared" ca="1" si="59"/>
        <v>97.014094955489625</v>
      </c>
      <c r="AQ176">
        <f t="shared" ca="1" si="60"/>
        <v>99.264007597341106</v>
      </c>
      <c r="AR176">
        <f t="shared" ca="1" si="61"/>
        <v>110.57192374350092</v>
      </c>
      <c r="AT176" s="21">
        <f ca="1">MAX($AO$3:AO177)</f>
        <v>106.96839029133979</v>
      </c>
      <c r="AU176" s="2">
        <f t="shared" ca="1" si="62"/>
        <v>-6.7291077874569449E-2</v>
      </c>
    </row>
    <row r="177" spans="1:47" x14ac:dyDescent="0.25">
      <c r="A177" vm="2701">
        <f ca="1"/>
        <v>45908</v>
      </c>
      <c r="B177" vm="2702">
        <f ca="1"/>
        <v>144.24</v>
      </c>
      <c r="C177" vm="2287">
        <f ca="1"/>
        <v>210</v>
      </c>
      <c r="D177" vm="2703">
        <f ca="1"/>
        <v>291.05</v>
      </c>
      <c r="E177" vm="1315">
        <f ca="1"/>
        <v>213.45</v>
      </c>
      <c r="F177" vm="2704">
        <f ca="1"/>
        <v>201.2</v>
      </c>
      <c r="G177" vm="2705">
        <f ca="1"/>
        <v>157.44999999999999</v>
      </c>
      <c r="H177" vm="2706">
        <f ca="1"/>
        <v>423.1</v>
      </c>
      <c r="I177" vm="2707">
        <f ca="1"/>
        <v>134.76</v>
      </c>
      <c r="J177" vm="2695">
        <f ca="1"/>
        <v>460.6</v>
      </c>
      <c r="K177" vm="2708">
        <f ca="1"/>
        <v>56.5</v>
      </c>
      <c r="L177" vm="2709">
        <f ca="1"/>
        <v>296.55</v>
      </c>
      <c r="M177" vm="2494">
        <f ca="1"/>
        <v>249.1</v>
      </c>
      <c r="N177" vm="2710">
        <f ca="1"/>
        <v>15.525</v>
      </c>
      <c r="O177" vm="2711">
        <f ca="1"/>
        <v>608.4</v>
      </c>
      <c r="Q177" s="4">
        <f t="shared" ca="1" si="42"/>
        <v>-1.6747181964573254E-2</v>
      </c>
      <c r="R177" s="4">
        <f t="shared" ca="1" si="43"/>
        <v>1.7568517217146917E-2</v>
      </c>
      <c r="S177" s="4">
        <f t="shared" ca="1" si="44"/>
        <v>1.4925373134328401E-2</v>
      </c>
      <c r="T177" s="4">
        <f t="shared" ca="1" si="52"/>
        <v>7.1237756010686937E-3</v>
      </c>
      <c r="U177" s="4">
        <f t="shared" ca="1" si="53"/>
        <v>1.4329135909682877E-2</v>
      </c>
      <c r="V177" s="4">
        <f t="shared" ca="1" si="45"/>
        <v>6.9328896283971098E-3</v>
      </c>
      <c r="W177" s="4">
        <f t="shared" ca="1" si="46"/>
        <v>1.3916500994035852E-2</v>
      </c>
      <c r="X177" s="4">
        <f t="shared" ca="1" si="47"/>
        <v>1.9269369731031771E-2</v>
      </c>
      <c r="Y177" s="4">
        <f t="shared" ca="1" si="48"/>
        <v>1.1681841607971144E-2</v>
      </c>
      <c r="Z177" s="4">
        <f t="shared" ca="1" si="49"/>
        <v>-2.7819929185634806E-2</v>
      </c>
      <c r="AA177" s="4">
        <f t="shared" ca="1" si="50"/>
        <v>6.3814701016307041E-3</v>
      </c>
      <c r="AB177" s="4">
        <f t="shared" ca="1" si="54"/>
        <v>1.1505588428666336E-3</v>
      </c>
      <c r="AC177" s="4">
        <f t="shared" ca="1" si="55"/>
        <v>3.5714285714285809E-2</v>
      </c>
      <c r="AD177" s="4"/>
      <c r="AE177" s="2" cm="1">
        <f t="array" aca="1" ref="AE177" ca="1">SUMPRODUCT(Q177:AB177,TRANSPOSE(Insights.!$H$4:$H$15))</f>
        <v>5.8222552459808044E-3</v>
      </c>
      <c r="AG177" s="10" vm="2701">
        <f ca="1"/>
        <v>45908</v>
      </c>
      <c r="AH177" s="1" vm="2712">
        <f ca="1"/>
        <v>104.98</v>
      </c>
      <c r="AI177" s="2">
        <f t="shared" ca="1" si="51"/>
        <v>3.6673652124212808E-3</v>
      </c>
      <c r="AJ177" s="1" vm="2713">
        <f ca="1"/>
        <v>105.2</v>
      </c>
      <c r="AK177" s="2">
        <f t="shared" ca="1" si="56"/>
        <v>-9.5057034220635828E-5</v>
      </c>
      <c r="AL177" s="1" vm="2714">
        <f ca="1"/>
        <v>54.67</v>
      </c>
      <c r="AM177" s="2">
        <f t="shared" ca="1" si="57"/>
        <v>2.5608194622279701E-3</v>
      </c>
      <c r="AO177" s="9">
        <f t="shared" ca="1" si="58"/>
        <v>100.30875284674617</v>
      </c>
      <c r="AP177">
        <f t="shared" ca="1" si="59"/>
        <v>97.347922848664695</v>
      </c>
      <c r="AQ177">
        <f t="shared" ca="1" si="60"/>
        <v>99.905033238366755</v>
      </c>
      <c r="AR177">
        <f t="shared" ca="1" si="61"/>
        <v>111.46905902742385</v>
      </c>
      <c r="AT177" s="21">
        <f ca="1">MAX($AO$3:AO178)</f>
        <v>106.96839029133979</v>
      </c>
      <c r="AU177" s="2">
        <f t="shared" ca="1" si="62"/>
        <v>-6.2257994408024486E-2</v>
      </c>
    </row>
    <row r="178" spans="1:47" x14ac:dyDescent="0.25">
      <c r="A178" vm="2715">
        <f ca="1"/>
        <v>45909</v>
      </c>
      <c r="B178" vm="2716">
        <f ca="1"/>
        <v>145.24</v>
      </c>
      <c r="C178" vm="2717">
        <f ca="1"/>
        <v>217.5</v>
      </c>
      <c r="D178" vm="620">
        <f ca="1"/>
        <v>294.45</v>
      </c>
      <c r="E178" vm="2718">
        <f ca="1"/>
        <v>217.2</v>
      </c>
      <c r="F178" vm="2157">
        <f ca="1"/>
        <v>204</v>
      </c>
      <c r="G178" vm="771">
        <f ca="1"/>
        <v>159.80000000000001</v>
      </c>
      <c r="H178" vm="2719">
        <f ca="1"/>
        <v>425.8</v>
      </c>
      <c r="I178" vm="2720">
        <f ca="1"/>
        <v>135.72</v>
      </c>
      <c r="J178" vm="2721">
        <f ca="1"/>
        <v>467.2</v>
      </c>
      <c r="K178" vm="2722">
        <f ca="1"/>
        <v>83</v>
      </c>
      <c r="L178" vm="2723">
        <f ca="1"/>
        <v>288.3</v>
      </c>
      <c r="M178" vm="2724">
        <f ca="1"/>
        <v>253.9</v>
      </c>
      <c r="N178" vm="2532">
        <f ca="1"/>
        <v>15.265000000000001</v>
      </c>
      <c r="O178" vm="2725">
        <f ca="1"/>
        <v>609.1</v>
      </c>
      <c r="Q178" s="4">
        <f t="shared" ca="1" si="42"/>
        <v>5.568293481821085E-3</v>
      </c>
      <c r="R178" s="4">
        <f t="shared" ca="1" si="43"/>
        <v>-3.2918968692449257E-2</v>
      </c>
      <c r="S178" s="4">
        <f t="shared" ca="1" si="44"/>
        <v>0.10544430538172711</v>
      </c>
      <c r="T178" s="4">
        <f t="shared" ca="1" si="52"/>
        <v>-1.0020630710285805E-2</v>
      </c>
      <c r="U178" s="4">
        <f t="shared" ca="1" si="53"/>
        <v>-1.5839041095890405E-2</v>
      </c>
      <c r="V178" s="4">
        <f t="shared" ca="1" si="45"/>
        <v>4.4340402093087317E-2</v>
      </c>
      <c r="W178" s="4">
        <f t="shared" ca="1" si="46"/>
        <v>-3.4313725490196068E-2</v>
      </c>
      <c r="X178" s="4">
        <f t="shared" ca="1" si="47"/>
        <v>5.5139818826310805E-3</v>
      </c>
      <c r="Y178" s="4">
        <f t="shared" ca="1" si="48"/>
        <v>-1.7660044150110354E-2</v>
      </c>
      <c r="Z178" s="4">
        <f t="shared" ca="1" si="49"/>
        <v>9.2611862643080078E-2</v>
      </c>
      <c r="AA178" s="4">
        <f t="shared" ca="1" si="50"/>
        <v>4.4621888210427674E-3</v>
      </c>
      <c r="AB178" s="4">
        <f t="shared" ca="1" si="54"/>
        <v>-1.1984895747824797E-2</v>
      </c>
      <c r="AC178" s="4">
        <f t="shared" ca="1" si="55"/>
        <v>2.0689655172413834E-2</v>
      </c>
      <c r="AD178" s="4"/>
      <c r="AE178" s="2" cm="1">
        <f t="array" aca="1" ref="AE178" ca="1">SUMPRODUCT(Q178:AB178,TRANSPOSE(Insights.!$H$4:$H$15))</f>
        <v>8.5313243665657065E-3</v>
      </c>
      <c r="AG178" s="10" vm="2715">
        <f ca="1"/>
        <v>45909</v>
      </c>
      <c r="AH178" s="1" vm="2726">
        <f ca="1"/>
        <v>105.36499999999999</v>
      </c>
      <c r="AI178" s="2">
        <f t="shared" ca="1" si="51"/>
        <v>5.409766051345466E-3</v>
      </c>
      <c r="AJ178" s="1" vm="2727">
        <f ca="1"/>
        <v>105.19</v>
      </c>
      <c r="AK178" s="2">
        <f t="shared" ca="1" si="56"/>
        <v>5.5613651487784743E-3</v>
      </c>
      <c r="AL178" s="1" vm="2097">
        <f ca="1"/>
        <v>54.81</v>
      </c>
      <c r="AM178" s="2">
        <f t="shared" ca="1" si="57"/>
        <v>-3.1016237912789846E-3</v>
      </c>
      <c r="AO178" s="9">
        <f t="shared" ca="1" si="58"/>
        <v>100.89277600922593</v>
      </c>
      <c r="AP178">
        <f t="shared" ca="1" si="59"/>
        <v>97.704933234421361</v>
      </c>
      <c r="AQ178">
        <f t="shared" ca="1" si="60"/>
        <v>99.895536562203404</v>
      </c>
      <c r="AR178">
        <f t="shared" ca="1" si="61"/>
        <v>111.75451116321751</v>
      </c>
      <c r="AT178" s="21">
        <f ca="1">MAX($AO$3:AO179)</f>
        <v>106.96839029133979</v>
      </c>
      <c r="AU178" s="2">
        <f t="shared" ca="1" si="62"/>
        <v>-5.6798221096590162E-2</v>
      </c>
    </row>
    <row r="179" spans="1:47" x14ac:dyDescent="0.25">
      <c r="A179" vm="2728">
        <f ca="1"/>
        <v>45910</v>
      </c>
      <c r="B179" vm="2729">
        <f ca="1"/>
        <v>151.68</v>
      </c>
      <c r="C179" vm="2730">
        <f ca="1"/>
        <v>222</v>
      </c>
      <c r="D179" vm="2419">
        <f ca="1"/>
        <v>289.25</v>
      </c>
      <c r="E179" vm="2731">
        <f ca="1"/>
        <v>210.05</v>
      </c>
      <c r="F179" vm="384">
        <f ca="1"/>
        <v>197</v>
      </c>
      <c r="G179" vm="2732">
        <f ca="1"/>
        <v>176.65</v>
      </c>
      <c r="H179" vm="2733">
        <f ca="1"/>
        <v>427.7</v>
      </c>
      <c r="I179" vm="2133">
        <f ca="1"/>
        <v>134.36000000000001</v>
      </c>
      <c r="J179" vm="2734">
        <f ca="1"/>
        <v>459.8</v>
      </c>
      <c r="K179" vm="2735">
        <f ca="1"/>
        <v>80.5</v>
      </c>
      <c r="L179" vm="40">
        <f ca="1"/>
        <v>315</v>
      </c>
      <c r="M179" vm="2736">
        <f ca="1"/>
        <v>255.3</v>
      </c>
      <c r="N179" vm="2737">
        <f ca="1"/>
        <v>15.35</v>
      </c>
      <c r="O179" vm="2738">
        <f ca="1"/>
        <v>601.79999999999995</v>
      </c>
      <c r="Q179" s="4">
        <f t="shared" ca="1" si="42"/>
        <v>-1.0423452768729691E-2</v>
      </c>
      <c r="R179" s="4">
        <f t="shared" ca="1" si="43"/>
        <v>2.8564627469649384E-3</v>
      </c>
      <c r="S179" s="4">
        <f t="shared" ca="1" si="44"/>
        <v>2.0379281064251353E-2</v>
      </c>
      <c r="T179" s="4">
        <f t="shared" ca="1" si="52"/>
        <v>7.1449836260790711E-3</v>
      </c>
      <c r="U179" s="4">
        <f t="shared" ca="1" si="53"/>
        <v>1.0656807307525051E-2</v>
      </c>
      <c r="V179" s="4">
        <f t="shared" ca="1" si="45"/>
        <v>-3.8238396624473703E-3</v>
      </c>
      <c r="W179" s="4">
        <f t="shared" ca="1" si="46"/>
        <v>4.0609137055835909E-4</v>
      </c>
      <c r="X179" s="4">
        <f t="shared" ca="1" si="47"/>
        <v>1.5471993732863343E-2</v>
      </c>
      <c r="Y179" s="4">
        <f t="shared" ca="1" si="48"/>
        <v>8.4701815038892292E-3</v>
      </c>
      <c r="Z179" s="4">
        <f t="shared" ca="1" si="49"/>
        <v>-1.238095238095227E-2</v>
      </c>
      <c r="AA179" s="4">
        <f t="shared" ca="1" si="50"/>
        <v>-9.3523497778813525E-4</v>
      </c>
      <c r="AB179" s="4">
        <f t="shared" ca="1" si="54"/>
        <v>-3.3067464273845104E-2</v>
      </c>
      <c r="AC179" s="4">
        <f t="shared" ca="1" si="55"/>
        <v>-2.2522522522522292E-3</v>
      </c>
      <c r="AD179" s="4"/>
      <c r="AE179" s="2" cm="1">
        <f t="array" aca="1" ref="AE179" ca="1">SUMPRODUCT(Q179:AB179,TRANSPOSE(Insights.!$H$4:$H$15))</f>
        <v>8.3499648824854854E-4</v>
      </c>
      <c r="AG179" s="10" vm="2728">
        <f ca="1"/>
        <v>45910</v>
      </c>
      <c r="AH179" s="1" vm="2739">
        <f ca="1"/>
        <v>105.935</v>
      </c>
      <c r="AI179" s="2">
        <f t="shared" ca="1" si="51"/>
        <v>5.0974654269126951E-3</v>
      </c>
      <c r="AJ179" s="1" vm="51">
        <f ca="1"/>
        <v>105.77500000000001</v>
      </c>
      <c r="AK179" s="2">
        <f t="shared" ca="1" si="56"/>
        <v>6.3341999527297688E-3</v>
      </c>
      <c r="AL179" s="1" vm="2740">
        <f ca="1"/>
        <v>54.64</v>
      </c>
      <c r="AM179" s="2">
        <f t="shared" ca="1" si="57"/>
        <v>6.5885797950220315E-3</v>
      </c>
      <c r="AO179" s="9">
        <f t="shared" ca="1" si="58"/>
        <v>101.75352500760388</v>
      </c>
      <c r="AP179">
        <f t="shared" ca="1" si="59"/>
        <v>98.233494065281903</v>
      </c>
      <c r="AQ179">
        <f t="shared" ca="1" si="60"/>
        <v>100.45109211775896</v>
      </c>
      <c r="AR179">
        <f t="shared" ca="1" si="61"/>
        <v>111.40789071261092</v>
      </c>
      <c r="AT179" s="21">
        <f ca="1">MAX($AO$3:AO180)</f>
        <v>106.96839029133979</v>
      </c>
      <c r="AU179" s="2">
        <f t="shared" ca="1" si="62"/>
        <v>-4.8751460777643363E-2</v>
      </c>
    </row>
    <row r="180" spans="1:47" x14ac:dyDescent="0.25">
      <c r="A180" vm="2741">
        <f ca="1"/>
        <v>45911</v>
      </c>
      <c r="B180" vm="2515">
        <f ca="1"/>
        <v>151.1</v>
      </c>
      <c r="C180" vm="2742">
        <f ca="1"/>
        <v>221.5</v>
      </c>
      <c r="D180" vm="2743">
        <f ca="1"/>
        <v>291.7</v>
      </c>
      <c r="E180" vm="2744">
        <f ca="1"/>
        <v>210.65</v>
      </c>
      <c r="F180" vm="2745">
        <f ca="1"/>
        <v>197.08</v>
      </c>
      <c r="G180" vm="2746">
        <f ca="1"/>
        <v>180.25</v>
      </c>
      <c r="H180" vm="2747">
        <f ca="1"/>
        <v>427.3</v>
      </c>
      <c r="I180" vm="2748">
        <f ca="1"/>
        <v>135.32</v>
      </c>
      <c r="J180" vm="2749">
        <f ca="1"/>
        <v>464.7</v>
      </c>
      <c r="K180" vm="2750">
        <f ca="1"/>
        <v>77</v>
      </c>
      <c r="L180" vm="2751">
        <f ca="1"/>
        <v>311.10000000000002</v>
      </c>
      <c r="M180" vm="2336">
        <f ca="1"/>
        <v>259.25</v>
      </c>
      <c r="N180" vm="2752">
        <f ca="1"/>
        <v>15.19</v>
      </c>
      <c r="O180" vm="2753">
        <f ca="1"/>
        <v>581.9</v>
      </c>
      <c r="Q180" s="4">
        <f t="shared" ca="1" si="42"/>
        <v>-2.3041474654377891E-2</v>
      </c>
      <c r="R180" s="4">
        <f t="shared" ca="1" si="43"/>
        <v>-1.2580109185853283E-2</v>
      </c>
      <c r="S180" s="4">
        <f t="shared" ca="1" si="44"/>
        <v>-3.5228848821081793E-2</v>
      </c>
      <c r="T180" s="4">
        <f t="shared" ca="1" si="52"/>
        <v>-4.2861365651787331E-3</v>
      </c>
      <c r="U180" s="4">
        <f t="shared" ca="1" si="53"/>
        <v>1.0544437271357898E-2</v>
      </c>
      <c r="V180" s="4">
        <f t="shared" ca="1" si="45"/>
        <v>1.1912640635340921E-3</v>
      </c>
      <c r="W180" s="4">
        <f t="shared" ca="1" si="46"/>
        <v>-1.4207428455449644E-2</v>
      </c>
      <c r="X180" s="4">
        <f t="shared" ca="1" si="47"/>
        <v>8.1002892960464479E-3</v>
      </c>
      <c r="Y180" s="4">
        <f t="shared" ca="1" si="48"/>
        <v>-7.8848131642098584E-3</v>
      </c>
      <c r="Z180" s="4">
        <f t="shared" ca="1" si="49"/>
        <v>-1.0125361620057949E-2</v>
      </c>
      <c r="AA180" s="4">
        <f t="shared" ca="1" si="50"/>
        <v>2.0126374912239564E-2</v>
      </c>
      <c r="AB180" s="4">
        <f t="shared" ca="1" si="54"/>
        <v>1.2888812510740699E-2</v>
      </c>
      <c r="AC180" s="4">
        <f t="shared" ca="1" si="55"/>
        <v>0</v>
      </c>
      <c r="AD180" s="4"/>
      <c r="AE180" s="2" cm="1">
        <f t="array" aca="1" ref="AE180" ca="1">SUMPRODUCT(Q180:AB180,TRANSPOSE(Insights.!$H$4:$H$15))</f>
        <v>-3.3948404179563372E-3</v>
      </c>
      <c r="AG180" s="10" vm="2741">
        <f ca="1"/>
        <v>45911</v>
      </c>
      <c r="AH180" s="1" vm="2754">
        <f ca="1"/>
        <v>106.47499999999999</v>
      </c>
      <c r="AI180" s="2">
        <f t="shared" ca="1" si="51"/>
        <v>8.4526884245139655E-4</v>
      </c>
      <c r="AJ180" s="1" vm="2755">
        <f ca="1"/>
        <v>106.44499999999999</v>
      </c>
      <c r="AK180" s="2">
        <f t="shared" ca="1" si="56"/>
        <v>4.2275353468923527E-4</v>
      </c>
      <c r="AL180" s="1" vm="584">
        <f ca="1"/>
        <v>55</v>
      </c>
      <c r="AM180" s="2">
        <f t="shared" ca="1" si="57"/>
        <v>7.2727272727268755E-4</v>
      </c>
      <c r="AO180" s="9">
        <f t="shared" ca="1" si="58"/>
        <v>101.83848884365214</v>
      </c>
      <c r="AP180">
        <f t="shared" ca="1" si="59"/>
        <v>98.734235905044514</v>
      </c>
      <c r="AQ180">
        <f t="shared" ca="1" si="60"/>
        <v>101.08736942070293</v>
      </c>
      <c r="AR180">
        <f t="shared" ca="1" si="61"/>
        <v>112.14191049036606</v>
      </c>
      <c r="AT180" s="21">
        <f ca="1">MAX($AO$3:AO181)</f>
        <v>106.96839029133979</v>
      </c>
      <c r="AU180" s="2">
        <f t="shared" ca="1" si="62"/>
        <v>-4.7957171587941216E-2</v>
      </c>
    </row>
    <row r="181" spans="1:47" x14ac:dyDescent="0.25">
      <c r="A181" vm="2756">
        <f ca="1"/>
        <v>45912</v>
      </c>
      <c r="B181" vm="2757">
        <f ca="1"/>
        <v>151.28</v>
      </c>
      <c r="C181" vm="2742">
        <f ca="1"/>
        <v>221.5</v>
      </c>
      <c r="D181" vm="2758">
        <f ca="1"/>
        <v>289.39999999999998</v>
      </c>
      <c r="E181" vm="2400">
        <f ca="1"/>
        <v>208</v>
      </c>
      <c r="F181" vm="2759">
        <f ca="1"/>
        <v>194.28</v>
      </c>
      <c r="G181" vm="2477">
        <f ca="1"/>
        <v>173.9</v>
      </c>
      <c r="H181" vm="2610">
        <f ca="1"/>
        <v>435.9</v>
      </c>
      <c r="I181" vm="2760">
        <f ca="1"/>
        <v>134.74</v>
      </c>
      <c r="J181" vm="2761">
        <f ca="1"/>
        <v>469.6</v>
      </c>
      <c r="K181" vm="2762">
        <f ca="1"/>
        <v>75.5</v>
      </c>
      <c r="L181" vm="2763">
        <f ca="1"/>
        <v>307.95</v>
      </c>
      <c r="M181" vm="2764">
        <f ca="1"/>
        <v>261.35000000000002</v>
      </c>
      <c r="N181" vm="2495">
        <f ca="1"/>
        <v>14.84</v>
      </c>
      <c r="O181" vm="2765">
        <f ca="1"/>
        <v>589.4</v>
      </c>
      <c r="Q181" s="4">
        <f t="shared" ca="1" si="42"/>
        <v>-1.3477088948786964E-2</v>
      </c>
      <c r="R181" s="4">
        <f t="shared" ca="1" si="43"/>
        <v>-1.3461538461538525E-2</v>
      </c>
      <c r="S181" s="4">
        <f t="shared" ca="1" si="44"/>
        <v>4.8016101207590589E-2</v>
      </c>
      <c r="T181" s="4">
        <f t="shared" ca="1" si="52"/>
        <v>-9.2029093068132228E-3</v>
      </c>
      <c r="U181" s="4">
        <f t="shared" ca="1" si="53"/>
        <v>-1.8632879045996642E-2</v>
      </c>
      <c r="V181" s="4">
        <f t="shared" ca="1" si="45"/>
        <v>-5.4204124801692233E-3</v>
      </c>
      <c r="W181" s="4">
        <f t="shared" ca="1" si="46"/>
        <v>1.4823965410747375E-2</v>
      </c>
      <c r="X181" s="4">
        <f t="shared" ca="1" si="47"/>
        <v>3.826286588865413E-3</v>
      </c>
      <c r="Y181" s="4">
        <f t="shared" ca="1" si="48"/>
        <v>-5.874222529371087E-3</v>
      </c>
      <c r="Z181" s="4">
        <f t="shared" ca="1" si="49"/>
        <v>-4.3838285435946478E-3</v>
      </c>
      <c r="AA181" s="4">
        <f t="shared" ca="1" si="50"/>
        <v>4.8176187198898379E-3</v>
      </c>
      <c r="AB181" s="4">
        <f t="shared" ca="1" si="54"/>
        <v>1.4082117407533179E-2</v>
      </c>
      <c r="AC181" s="4">
        <f t="shared" ca="1" si="55"/>
        <v>2.2573363431150906E-3</v>
      </c>
      <c r="AD181" s="4"/>
      <c r="AE181" s="2" cm="1">
        <f t="array" aca="1" ref="AE181" ca="1">SUMPRODUCT(Q181:AB181,TRANSPOSE(Insights.!$H$4:$H$15))</f>
        <v>1.7663653473043808E-4</v>
      </c>
      <c r="AG181" s="10" vm="2756">
        <f ca="1"/>
        <v>45912</v>
      </c>
      <c r="AH181" s="1" vm="2766">
        <f ca="1"/>
        <v>106.565</v>
      </c>
      <c r="AI181" s="2">
        <f t="shared" ca="1" si="51"/>
        <v>1.4075916107536557E-4</v>
      </c>
      <c r="AJ181" s="1" vm="2767">
        <f ca="1"/>
        <v>106.49</v>
      </c>
      <c r="AK181" s="2">
        <f t="shared" ca="1" si="56"/>
        <v>1.3616302000187819E-3</v>
      </c>
      <c r="AL181" s="1" vm="2768">
        <f ca="1"/>
        <v>55.04</v>
      </c>
      <c r="AM181" s="2">
        <f t="shared" ca="1" si="57"/>
        <v>-7.0857558139535426E-3</v>
      </c>
      <c r="AO181" s="9">
        <f t="shared" ca="1" si="58"/>
        <v>101.49276342562212</v>
      </c>
      <c r="AP181">
        <f t="shared" ca="1" si="59"/>
        <v>98.817692878338292</v>
      </c>
      <c r="AQ181">
        <f t="shared" ca="1" si="60"/>
        <v>101.13010446343796</v>
      </c>
      <c r="AR181">
        <f t="shared" ca="1" si="61"/>
        <v>112.22346824344996</v>
      </c>
      <c r="AT181" s="21">
        <f ca="1">MAX($AO$3:AO182)</f>
        <v>106.96839029133979</v>
      </c>
      <c r="AU181" s="2">
        <f t="shared" ca="1" si="62"/>
        <v>-5.1189205061459964E-2</v>
      </c>
    </row>
    <row r="182" spans="1:47" x14ac:dyDescent="0.25">
      <c r="A182" vm="2769">
        <f ca="1"/>
        <v>45915</v>
      </c>
      <c r="B182" vm="2770">
        <f ca="1"/>
        <v>150.46</v>
      </c>
      <c r="C182" vm="2730">
        <f ca="1"/>
        <v>222</v>
      </c>
      <c r="D182" vm="2771">
        <f ca="1"/>
        <v>287.7</v>
      </c>
      <c r="E182" vm="2772">
        <f ca="1"/>
        <v>205.2</v>
      </c>
      <c r="F182" vm="2773">
        <f ca="1"/>
        <v>197.16</v>
      </c>
      <c r="G182" vm="2774">
        <f ca="1"/>
        <v>182.25</v>
      </c>
      <c r="H182" vm="2775">
        <f ca="1"/>
        <v>438</v>
      </c>
      <c r="I182" vm="2776">
        <f ca="1"/>
        <v>133.5</v>
      </c>
      <c r="J182" vm="2777">
        <f ca="1"/>
        <v>460.85</v>
      </c>
      <c r="K182" vm="2750">
        <f ca="1"/>
        <v>77</v>
      </c>
      <c r="L182" vm="2778">
        <f ca="1"/>
        <v>306.60000000000002</v>
      </c>
      <c r="M182" vm="2779">
        <f ca="1"/>
        <v>262.35000000000002</v>
      </c>
      <c r="N182" vm="2780">
        <f ca="1"/>
        <v>14.64</v>
      </c>
      <c r="O182" vm="2781">
        <f ca="1"/>
        <v>597.70000000000005</v>
      </c>
      <c r="Q182" s="4">
        <f t="shared" ca="1" si="42"/>
        <v>2.732240437158362E-3</v>
      </c>
      <c r="R182" s="4">
        <f t="shared" ca="1" si="43"/>
        <v>-1.803118908382062E-2</v>
      </c>
      <c r="S182" s="4">
        <f t="shared" ca="1" si="44"/>
        <v>-2.9355281207133044E-2</v>
      </c>
      <c r="T182" s="4">
        <f t="shared" ca="1" si="52"/>
        <v>-5.2434456928838191E-3</v>
      </c>
      <c r="U182" s="4">
        <f t="shared" ca="1" si="53"/>
        <v>-8.4626234132582079E-3</v>
      </c>
      <c r="V182" s="4">
        <f t="shared" ca="1" si="45"/>
        <v>-2.1268111125880784E-2</v>
      </c>
      <c r="W182" s="4">
        <f t="shared" ca="1" si="46"/>
        <v>3.0432136335969417E-3</v>
      </c>
      <c r="X182" s="4">
        <f t="shared" ca="1" si="47"/>
        <v>-4.3834572136459693E-3</v>
      </c>
      <c r="Y182" s="4">
        <f t="shared" ca="1" si="48"/>
        <v>-1.3903371567604017E-3</v>
      </c>
      <c r="Z182" s="4">
        <f t="shared" ca="1" si="49"/>
        <v>-1.0926288323548694E-2</v>
      </c>
      <c r="AA182" s="4">
        <f t="shared" ca="1" si="50"/>
        <v>-1.92922374429223E-2</v>
      </c>
      <c r="AB182" s="4">
        <f t="shared" ca="1" si="54"/>
        <v>-8.8673247448554093E-3</v>
      </c>
      <c r="AC182" s="4">
        <f t="shared" ca="1" si="55"/>
        <v>-2.2522522522522292E-3</v>
      </c>
      <c r="AD182" s="4"/>
      <c r="AE182" s="2" cm="1">
        <f t="array" aca="1" ref="AE182" ca="1">SUMPRODUCT(Q182:AB182,TRANSPOSE(Insights.!$H$4:$H$15))</f>
        <v>-9.306591436242774E-3</v>
      </c>
      <c r="AG182" s="10" vm="2769">
        <f ca="1"/>
        <v>45915</v>
      </c>
      <c r="AH182" s="1" vm="2782">
        <f ca="1"/>
        <v>106.58</v>
      </c>
      <c r="AI182" s="2">
        <f t="shared" ca="1" si="51"/>
        <v>-8.4443610433476701E-3</v>
      </c>
      <c r="AJ182" s="1" vm="2783">
        <f ca="1"/>
        <v>106.63500000000001</v>
      </c>
      <c r="AK182" s="2">
        <f t="shared" ca="1" si="56"/>
        <v>-8.3931167065223189E-3</v>
      </c>
      <c r="AL182" s="1" vm="2784">
        <f ca="1"/>
        <v>54.65</v>
      </c>
      <c r="AM182" s="2">
        <f t="shared" ca="1" si="57"/>
        <v>-9.6980786825251464E-3</v>
      </c>
      <c r="AO182" s="9">
        <f t="shared" ca="1" si="58"/>
        <v>101.51069075565383</v>
      </c>
      <c r="AP182">
        <f t="shared" ca="1" si="59"/>
        <v>98.83160237388725</v>
      </c>
      <c r="AQ182">
        <f t="shared" ca="1" si="60"/>
        <v>101.26780626780644</v>
      </c>
      <c r="AR182">
        <f t="shared" ca="1" si="61"/>
        <v>111.4282801508819</v>
      </c>
      <c r="AT182" s="21">
        <f ca="1">MAX($AO$3:AO183)</f>
        <v>106.96839029133979</v>
      </c>
      <c r="AU182" s="2">
        <f t="shared" ca="1" si="62"/>
        <v>-5.1021610410527218E-2</v>
      </c>
    </row>
    <row r="183" spans="1:47" x14ac:dyDescent="0.25">
      <c r="A183" vm="2785">
        <f ca="1"/>
        <v>45916</v>
      </c>
      <c r="B183" vm="2173">
        <f ca="1"/>
        <v>147.26</v>
      </c>
      <c r="C183" vm="2742">
        <f ca="1"/>
        <v>221.5</v>
      </c>
      <c r="D183" vm="2786">
        <f ca="1"/>
        <v>287.3</v>
      </c>
      <c r="E183" vm="419">
        <f ca="1"/>
        <v>201.5</v>
      </c>
      <c r="F183" vm="2787">
        <f ca="1"/>
        <v>197.76</v>
      </c>
      <c r="G183" vm="1405">
        <f ca="1"/>
        <v>176.9</v>
      </c>
      <c r="H183" vm="2788">
        <f ca="1"/>
        <v>429.55</v>
      </c>
      <c r="I183" vm="2789">
        <f ca="1"/>
        <v>132.80000000000001</v>
      </c>
      <c r="J183" vm="2790">
        <f ca="1"/>
        <v>456.95</v>
      </c>
      <c r="K183" vm="2791">
        <f ca="1"/>
        <v>76.5</v>
      </c>
      <c r="L183" vm="2792">
        <f ca="1"/>
        <v>303.25</v>
      </c>
      <c r="M183" vm="2793">
        <f ca="1"/>
        <v>261.2</v>
      </c>
      <c r="N183" vm="2794">
        <f ca="1"/>
        <v>14.68</v>
      </c>
      <c r="O183" vm="2795">
        <f ca="1"/>
        <v>592.4</v>
      </c>
      <c r="Q183" s="4">
        <f t="shared" ca="1" si="42"/>
        <v>2.7929155313351606E-2</v>
      </c>
      <c r="R183" s="4">
        <f t="shared" ca="1" si="43"/>
        <v>9.4292803970223993E-3</v>
      </c>
      <c r="S183" s="4">
        <f t="shared" ca="1" si="44"/>
        <v>6.2182023742227699E-3</v>
      </c>
      <c r="T183" s="4">
        <f t="shared" ca="1" si="52"/>
        <v>2.0180722891566027E-2</v>
      </c>
      <c r="U183" s="4">
        <f t="shared" ca="1" si="53"/>
        <v>0</v>
      </c>
      <c r="V183" s="4">
        <f t="shared" ca="1" si="45"/>
        <v>-2.1866087192720318E-2</v>
      </c>
      <c r="W183" s="4">
        <f t="shared" ca="1" si="46"/>
        <v>-1.223705501618122E-2</v>
      </c>
      <c r="X183" s="4">
        <f t="shared" ca="1" si="47"/>
        <v>9.5712098009188562E-3</v>
      </c>
      <c r="Y183" s="4">
        <f t="shared" ca="1" si="48"/>
        <v>1.618517229376959E-2</v>
      </c>
      <c r="Z183" s="4">
        <f t="shared" ca="1" si="49"/>
        <v>-3.1821929101401358E-2</v>
      </c>
      <c r="AA183" s="4">
        <f t="shared" ca="1" si="50"/>
        <v>3.3756256547550212E-3</v>
      </c>
      <c r="AB183" s="4">
        <f t="shared" ca="1" si="54"/>
        <v>-1.2491559756920956E-2</v>
      </c>
      <c r="AC183" s="4">
        <f t="shared" ca="1" si="55"/>
        <v>-6.7720090293453827E-3</v>
      </c>
      <c r="AD183" s="4"/>
      <c r="AE183" s="2" cm="1">
        <f t="array" aca="1" ref="AE183" ca="1">SUMPRODUCT(Q183:AB183,TRANSPOSE(Insights.!$H$4:$H$15))</f>
        <v>1.3017178630246977E-3</v>
      </c>
      <c r="AG183" s="10" vm="2785">
        <f ca="1"/>
        <v>45916</v>
      </c>
      <c r="AH183" s="1" vm="2796">
        <f ca="1"/>
        <v>105.68</v>
      </c>
      <c r="AI183" s="2">
        <f t="shared" ca="1" si="51"/>
        <v>1.3247539742617942E-3</v>
      </c>
      <c r="AJ183" s="1" vm="2797">
        <f ca="1"/>
        <v>105.74</v>
      </c>
      <c r="AK183" s="2">
        <f t="shared" ca="1" si="56"/>
        <v>-8.03858520900258E-4</v>
      </c>
      <c r="AL183" s="1" vm="2798">
        <f ca="1"/>
        <v>54.12</v>
      </c>
      <c r="AM183" s="2">
        <f t="shared" ca="1" si="57"/>
        <v>-9.2387287509232419E-4</v>
      </c>
      <c r="AO183" s="9">
        <f t="shared" ca="1" si="58"/>
        <v>100.56597223038017</v>
      </c>
      <c r="AP183">
        <f t="shared" ca="1" si="59"/>
        <v>97.99703264094957</v>
      </c>
      <c r="AQ183">
        <f t="shared" ca="1" si="60"/>
        <v>100.41785375118724</v>
      </c>
      <c r="AR183">
        <f t="shared" ca="1" si="61"/>
        <v>110.3476399225202</v>
      </c>
      <c r="AT183" s="21">
        <f ca="1">MAX($AO$3:AO184)</f>
        <v>106.96839029133979</v>
      </c>
      <c r="AU183" s="2">
        <f t="shared" ca="1" si="62"/>
        <v>-5.9853364564260048E-2</v>
      </c>
    </row>
    <row r="184" spans="1:47" x14ac:dyDescent="0.25">
      <c r="A184" vm="2799">
        <f ca="1"/>
        <v>45917</v>
      </c>
      <c r="B184" vm="2800">
        <f ca="1"/>
        <v>144.04</v>
      </c>
      <c r="C184" vm="190">
        <f ca="1"/>
        <v>220</v>
      </c>
      <c r="D184" vm="2801">
        <f ca="1"/>
        <v>291.95</v>
      </c>
      <c r="E184" vm="2802">
        <f ca="1"/>
        <v>203.4</v>
      </c>
      <c r="F184" vm="2803">
        <f ca="1"/>
        <v>195.34</v>
      </c>
      <c r="G184" vm="2804">
        <f ca="1"/>
        <v>178</v>
      </c>
      <c r="H184" vm="2669">
        <f ca="1"/>
        <v>431</v>
      </c>
      <c r="I184" vm="2091">
        <f ca="1"/>
        <v>135.47999999999999</v>
      </c>
      <c r="J184" vm="2790">
        <f ca="1"/>
        <v>456.95</v>
      </c>
      <c r="K184" vm="2805">
        <f ca="1"/>
        <v>80</v>
      </c>
      <c r="L184" vm="2806">
        <f ca="1"/>
        <v>293.60000000000002</v>
      </c>
      <c r="M184" vm="2442">
        <f ca="1"/>
        <v>263.7</v>
      </c>
      <c r="N184" vm="2807">
        <f ca="1"/>
        <v>15.09</v>
      </c>
      <c r="O184" vm="2808">
        <f ca="1"/>
        <v>585</v>
      </c>
      <c r="Q184" s="4">
        <f t="shared" ca="1" si="42"/>
        <v>-7.9522862823061535E-3</v>
      </c>
      <c r="R184" s="4">
        <f t="shared" ca="1" si="43"/>
        <v>2.2861356932153409E-2</v>
      </c>
      <c r="S184" s="4">
        <f t="shared" ca="1" si="44"/>
        <v>3.6516853932584414E-3</v>
      </c>
      <c r="T184" s="4">
        <f t="shared" ca="1" si="52"/>
        <v>-1.4171833480956519E-2</v>
      </c>
      <c r="U184" s="4">
        <f t="shared" ca="1" si="53"/>
        <v>-1.5537805011489159E-2</v>
      </c>
      <c r="V184" s="4">
        <f t="shared" ca="1" si="45"/>
        <v>3.9988891974451768E-2</v>
      </c>
      <c r="W184" s="4">
        <f t="shared" ca="1" si="46"/>
        <v>8.0884611446707666E-3</v>
      </c>
      <c r="X184" s="4">
        <f t="shared" ca="1" si="47"/>
        <v>2.0857034508912076E-3</v>
      </c>
      <c r="Y184" s="4">
        <f t="shared" ca="1" si="48"/>
        <v>-1.5927384826168733E-2</v>
      </c>
      <c r="Z184" s="4">
        <f t="shared" ca="1" si="49"/>
        <v>7.1525885558580971E-3</v>
      </c>
      <c r="AA184" s="4">
        <f t="shared" ca="1" si="50"/>
        <v>9.2807424593965848E-4</v>
      </c>
      <c r="AB184" s="4">
        <f t="shared" ca="1" si="54"/>
        <v>6.7350427350427289E-2</v>
      </c>
      <c r="AC184" s="4">
        <f t="shared" ca="1" si="55"/>
        <v>3.1818181818181746E-2</v>
      </c>
      <c r="AD184" s="4"/>
      <c r="AE184" s="2" cm="1">
        <f t="array" aca="1" ref="AE184" ca="1">SUMPRODUCT(Q184:AB184,TRANSPOSE(Insights.!$H$4:$H$15))</f>
        <v>7.4193197745219923E-3</v>
      </c>
      <c r="AG184" s="10" vm="2799">
        <f ca="1"/>
        <v>45917</v>
      </c>
      <c r="AH184" s="1" vm="2809">
        <f ca="1"/>
        <v>105.82</v>
      </c>
      <c r="AI184" s="2">
        <f t="shared" ca="1" si="51"/>
        <v>8.079758079758026E-3</v>
      </c>
      <c r="AJ184" s="1" vm="2810">
        <f ca="1"/>
        <v>105.655</v>
      </c>
      <c r="AK184" s="2">
        <f t="shared" ca="1" si="56"/>
        <v>1.0931806350858997E-2</v>
      </c>
      <c r="AL184" s="1" vm="2811">
        <f ca="1"/>
        <v>54.07</v>
      </c>
      <c r="AM184" s="2">
        <f t="shared" ca="1" si="57"/>
        <v>1.4795635287590203E-2</v>
      </c>
      <c r="AO184" s="9">
        <f t="shared" ca="1" si="58"/>
        <v>100.6968807528449</v>
      </c>
      <c r="AP184">
        <f t="shared" ca="1" si="59"/>
        <v>98.126854599406528</v>
      </c>
      <c r="AQ184">
        <f t="shared" ca="1" si="60"/>
        <v>100.33713200379883</v>
      </c>
      <c r="AR184">
        <f t="shared" ca="1" si="61"/>
        <v>110.24569273116533</v>
      </c>
      <c r="AT184" s="21">
        <f ca="1">MAX($AO$3:AO185)</f>
        <v>106.96839029133979</v>
      </c>
      <c r="AU184" s="2">
        <f t="shared" ca="1" si="62"/>
        <v>-5.8629558895050726E-2</v>
      </c>
    </row>
    <row r="185" spans="1:47" x14ac:dyDescent="0.25">
      <c r="A185" vm="2812">
        <f ca="1"/>
        <v>45918</v>
      </c>
      <c r="B185" vm="2813">
        <f ca="1"/>
        <v>149.80000000000001</v>
      </c>
      <c r="C185" vm="1928">
        <f ca="1"/>
        <v>227</v>
      </c>
      <c r="D185" vm="2786">
        <f ca="1"/>
        <v>287.3</v>
      </c>
      <c r="E185" vm="2814">
        <f ca="1"/>
        <v>208.05</v>
      </c>
      <c r="F185" vm="2815">
        <f ca="1"/>
        <v>196.92</v>
      </c>
      <c r="G185" vm="2816">
        <f ca="1"/>
        <v>178.65</v>
      </c>
      <c r="H185" vm="2817">
        <f ca="1"/>
        <v>431.4</v>
      </c>
      <c r="I185" vm="2439">
        <f ca="1"/>
        <v>133.56</v>
      </c>
      <c r="J185" vm="2818">
        <f ca="1"/>
        <v>449.85</v>
      </c>
      <c r="K185" vm="2805">
        <f ca="1"/>
        <v>80</v>
      </c>
      <c r="L185" vm="2819">
        <f ca="1"/>
        <v>295.7</v>
      </c>
      <c r="M185" vm="2820">
        <f ca="1"/>
        <v>264.25</v>
      </c>
      <c r="N185" vm="2821">
        <f ca="1"/>
        <v>14.97</v>
      </c>
      <c r="O185" vm="2822">
        <f ca="1"/>
        <v>624.4</v>
      </c>
      <c r="Q185" s="4">
        <f t="shared" ca="1" si="42"/>
        <v>-2.1376085504342002E-2</v>
      </c>
      <c r="R185" s="4">
        <f t="shared" ca="1" si="43"/>
        <v>7.4501321797644238E-3</v>
      </c>
      <c r="S185" s="4">
        <f t="shared" ca="1" si="44"/>
        <v>-8.676182479709027E-3</v>
      </c>
      <c r="T185" s="4">
        <f t="shared" ca="1" si="52"/>
        <v>-5.9898173105732422E-4</v>
      </c>
      <c r="U185" s="4">
        <f t="shared" ca="1" si="53"/>
        <v>-2.8120484605979823E-2</v>
      </c>
      <c r="V185" s="4">
        <f t="shared" ca="1" si="45"/>
        <v>2.0026702269690944E-3</v>
      </c>
      <c r="W185" s="4">
        <f t="shared" ca="1" si="46"/>
        <v>3.5547430428601867E-3</v>
      </c>
      <c r="X185" s="4">
        <f t="shared" ca="1" si="47"/>
        <v>2.2705771050142154E-3</v>
      </c>
      <c r="Y185" s="4">
        <f t="shared" ca="1" si="48"/>
        <v>6.7873303167420573E-3</v>
      </c>
      <c r="Z185" s="4">
        <f t="shared" ca="1" si="49"/>
        <v>-1.2512681772066214E-2</v>
      </c>
      <c r="AA185" s="4">
        <f t="shared" ca="1" si="50"/>
        <v>2.4339360222531248E-2</v>
      </c>
      <c r="AB185" s="4">
        <f t="shared" ca="1" si="54"/>
        <v>1.2812299807816174E-3</v>
      </c>
      <c r="AC185" s="4">
        <f t="shared" ca="1" si="55"/>
        <v>-8.8105726872246271E-3</v>
      </c>
      <c r="AD185" s="4"/>
      <c r="AE185" s="2" cm="1">
        <f t="array" aca="1" ref="AE185" ca="1">SUMPRODUCT(Q185:AB185,TRANSPOSE(Insights.!$H$4:$H$15))</f>
        <v>-2.0460055310413663E-3</v>
      </c>
      <c r="AG185" s="10" vm="2812">
        <f ca="1"/>
        <v>45918</v>
      </c>
      <c r="AH185" s="1" vm="2823">
        <f ca="1"/>
        <v>106.675</v>
      </c>
      <c r="AI185" s="2">
        <f t="shared" ca="1" si="51"/>
        <v>5.202718537614226E-3</v>
      </c>
      <c r="AJ185" s="1" vm="2824">
        <f ca="1"/>
        <v>106.81</v>
      </c>
      <c r="AK185" s="2">
        <f t="shared" ca="1" si="56"/>
        <v>1.0766782136504283E-3</v>
      </c>
      <c r="AL185" s="1" vm="616">
        <f ca="1"/>
        <v>54.87</v>
      </c>
      <c r="AM185" s="2">
        <f t="shared" ca="1" si="57"/>
        <v>7.2899580827412436E-4</v>
      </c>
      <c r="AO185" s="9">
        <f t="shared" ca="1" si="58"/>
        <v>101.44398311144718</v>
      </c>
      <c r="AP185">
        <f t="shared" ca="1" si="59"/>
        <v>98.919695845697319</v>
      </c>
      <c r="AQ185">
        <f t="shared" ca="1" si="60"/>
        <v>101.43399810066494</v>
      </c>
      <c r="AR185">
        <f t="shared" ca="1" si="61"/>
        <v>111.87684779284339</v>
      </c>
      <c r="AT185" s="21">
        <f ca="1">MAX($AO$3:AO186)</f>
        <v>106.96839029133979</v>
      </c>
      <c r="AU185" s="2">
        <f t="shared" ca="1" si="62"/>
        <v>-5.1645230566210176E-2</v>
      </c>
    </row>
    <row r="186" spans="1:47" x14ac:dyDescent="0.25">
      <c r="A186" vm="2825">
        <f ca="1"/>
        <v>45919</v>
      </c>
      <c r="B186" vm="1841">
        <f ca="1"/>
        <v>150.1</v>
      </c>
      <c r="C186" vm="410">
        <f ca="1"/>
        <v>225</v>
      </c>
      <c r="D186" vm="2419">
        <f ca="1"/>
        <v>289.25</v>
      </c>
      <c r="E186" vm="2826">
        <f ca="1"/>
        <v>209.6</v>
      </c>
      <c r="F186" vm="2827">
        <f ca="1"/>
        <v>197.62</v>
      </c>
      <c r="G186" vm="2828">
        <f ca="1"/>
        <v>177.1</v>
      </c>
      <c r="H186" vm="2829">
        <f ca="1"/>
        <v>441.9</v>
      </c>
      <c r="I186" vm="2830">
        <f ca="1"/>
        <v>133.47999999999999</v>
      </c>
      <c r="J186" vm="2831">
        <f ca="1"/>
        <v>437.2</v>
      </c>
      <c r="K186" vm="2722">
        <f ca="1"/>
        <v>83</v>
      </c>
      <c r="L186" vm="2832">
        <f ca="1"/>
        <v>292</v>
      </c>
      <c r="M186" vm="2833">
        <f ca="1"/>
        <v>264.85000000000002</v>
      </c>
      <c r="N186" vm="2834">
        <f ca="1"/>
        <v>14.65</v>
      </c>
      <c r="O186" vm="2835">
        <f ca="1"/>
        <v>625.20000000000005</v>
      </c>
      <c r="Q186" s="4">
        <f t="shared" ca="1" si="42"/>
        <v>2.0477815699657675E-3</v>
      </c>
      <c r="R186" s="4">
        <f t="shared" ca="1" si="43"/>
        <v>1.0019083969465603E-2</v>
      </c>
      <c r="S186" s="4">
        <f t="shared" ca="1" si="44"/>
        <v>4.3760587238848014E-2</v>
      </c>
      <c r="T186" s="4">
        <f t="shared" ca="1" si="52"/>
        <v>-2.6370991908900021E-2</v>
      </c>
      <c r="U186" s="4">
        <f t="shared" ca="1" si="53"/>
        <v>-1.7383348581884617E-2</v>
      </c>
      <c r="V186" s="4">
        <f t="shared" ca="1" si="45"/>
        <v>3.6642238507661462E-2</v>
      </c>
      <c r="W186" s="4">
        <f t="shared" ca="1" si="46"/>
        <v>-1.811557534662489E-2</v>
      </c>
      <c r="X186" s="4">
        <f t="shared" ca="1" si="47"/>
        <v>1.6990749480838563E-3</v>
      </c>
      <c r="Y186" s="4">
        <f t="shared" ca="1" si="48"/>
        <v>7.4330164217804029E-3</v>
      </c>
      <c r="Z186" s="4">
        <f t="shared" ca="1" si="49"/>
        <v>1.7123287671227949E-4</v>
      </c>
      <c r="AA186" s="4">
        <f t="shared" ca="1" si="50"/>
        <v>-1.5501244625480748E-2</v>
      </c>
      <c r="AB186" s="4">
        <f t="shared" ca="1" si="54"/>
        <v>-6.078055022392892E-3</v>
      </c>
      <c r="AC186" s="4">
        <f t="shared" ca="1" si="55"/>
        <v>3.3333333333333437E-2</v>
      </c>
      <c r="AD186" s="4"/>
      <c r="AE186" s="2" cm="1">
        <f t="array" aca="1" ref="AE186" ca="1">SUMPRODUCT(Q186:AB186,TRANSPOSE(Insights.!$H$4:$H$15))</f>
        <v>1.234941486995086E-3</v>
      </c>
      <c r="AG186" s="10" vm="2825">
        <f ca="1"/>
        <v>45919</v>
      </c>
      <c r="AH186" s="1" vm="2836">
        <f ca="1"/>
        <v>107.23</v>
      </c>
      <c r="AI186" s="2">
        <f t="shared" ca="1" si="51"/>
        <v>2.6578382915227738E-3</v>
      </c>
      <c r="AJ186" s="1" vm="2837">
        <f ca="1"/>
        <v>106.925</v>
      </c>
      <c r="AK186" s="2">
        <f t="shared" ca="1" si="56"/>
        <v>2.3380874444705046E-3</v>
      </c>
      <c r="AL186" s="1" vm="2838">
        <f ca="1"/>
        <v>54.91</v>
      </c>
      <c r="AM186" s="2">
        <f t="shared" ca="1" si="57"/>
        <v>-1.8211619012928892E-3</v>
      </c>
      <c r="AO186" s="9">
        <f t="shared" ca="1" si="58"/>
        <v>101.23642816091029</v>
      </c>
      <c r="AP186">
        <f t="shared" ca="1" si="59"/>
        <v>99.434347181008889</v>
      </c>
      <c r="AQ186">
        <f t="shared" ca="1" si="60"/>
        <v>101.54320987654339</v>
      </c>
      <c r="AR186">
        <f t="shared" ca="1" si="61"/>
        <v>111.95840554592729</v>
      </c>
      <c r="AT186" s="21">
        <f ca="1">MAX($AO$3:AO187)</f>
        <v>106.96839029133979</v>
      </c>
      <c r="AU186" s="2">
        <f t="shared" ca="1" si="62"/>
        <v>-5.3585569669861166E-2</v>
      </c>
    </row>
    <row r="187" spans="1:47" x14ac:dyDescent="0.25">
      <c r="A187" vm="2839">
        <f ca="1"/>
        <v>45922</v>
      </c>
      <c r="B187" vm="1048">
        <f ca="1"/>
        <v>155.6</v>
      </c>
      <c r="C187" vm="2840">
        <f ca="1"/>
        <v>232.5</v>
      </c>
      <c r="D187" vm="2841">
        <f ca="1"/>
        <v>291.39999999999998</v>
      </c>
      <c r="E187" vm="1693">
        <f ca="1"/>
        <v>211.7</v>
      </c>
      <c r="F187" vm="2653">
        <f ca="1"/>
        <v>194.04</v>
      </c>
      <c r="G187" vm="2842">
        <f ca="1"/>
        <v>184.85</v>
      </c>
      <c r="H187" vm="2544">
        <f ca="1"/>
        <v>435.05</v>
      </c>
      <c r="I187" vm="2843">
        <f ca="1"/>
        <v>129.96</v>
      </c>
      <c r="J187" vm="2844">
        <f ca="1"/>
        <v>429.6</v>
      </c>
      <c r="K187" vm="2845">
        <f ca="1"/>
        <v>92</v>
      </c>
      <c r="L187" vm="2846">
        <f ca="1"/>
        <v>292.05</v>
      </c>
      <c r="M187" vm="2847">
        <f ca="1"/>
        <v>265.3</v>
      </c>
      <c r="N187" vm="2794">
        <f ca="1"/>
        <v>14.68</v>
      </c>
      <c r="O187" vm="2848">
        <f ca="1"/>
        <v>621.4</v>
      </c>
      <c r="Q187" s="4">
        <f t="shared" ca="1" si="42"/>
        <v>-2.2479564032697574E-2</v>
      </c>
      <c r="R187" s="4">
        <f t="shared" ca="1" si="43"/>
        <v>-8.9749645725081262E-3</v>
      </c>
      <c r="S187" s="4">
        <f t="shared" ca="1" si="44"/>
        <v>-6.0860156883959959E-2</v>
      </c>
      <c r="T187" s="4">
        <f t="shared" ca="1" si="52"/>
        <v>-9.3875038473376637E-3</v>
      </c>
      <c r="U187" s="4">
        <f t="shared" ca="1" si="53"/>
        <v>-1.3268156424581123E-2</v>
      </c>
      <c r="V187" s="4">
        <f t="shared" ca="1" si="45"/>
        <v>-2.9048843187660545E-2</v>
      </c>
      <c r="W187" s="4">
        <f t="shared" ca="1" si="46"/>
        <v>-3.8239538239538184E-2</v>
      </c>
      <c r="X187" s="4">
        <f t="shared" ca="1" si="47"/>
        <v>-3.7693177534866562E-3</v>
      </c>
      <c r="Y187" s="4">
        <f t="shared" ca="1" si="48"/>
        <v>-1.4584763212079577E-2</v>
      </c>
      <c r="Z187" s="4">
        <f t="shared" ca="1" si="49"/>
        <v>-6.8481424413624481E-4</v>
      </c>
      <c r="AA187" s="4">
        <f t="shared" ca="1" si="50"/>
        <v>-1.0113780025284513E-2</v>
      </c>
      <c r="AB187" s="4">
        <f t="shared" ca="1" si="54"/>
        <v>-3.862246540070724E-3</v>
      </c>
      <c r="AC187" s="4">
        <f t="shared" ca="1" si="55"/>
        <v>3.0107526881720359E-2</v>
      </c>
      <c r="AD187" s="4"/>
      <c r="AE187" s="2" cm="1">
        <f t="array" aca="1" ref="AE187" ca="1">SUMPRODUCT(Q187:AB187,TRANSPOSE(Insights.!$H$4:$H$15))</f>
        <v>-1.4514779082787034E-2</v>
      </c>
      <c r="AG187" s="10" vm="2839">
        <f ca="1"/>
        <v>45922</v>
      </c>
      <c r="AH187" s="1" vm="2849">
        <f ca="1"/>
        <v>107.515</v>
      </c>
      <c r="AI187" s="2">
        <f t="shared" ca="1" si="51"/>
        <v>-5.441101241687174E-3</v>
      </c>
      <c r="AJ187" s="1" vm="2850">
        <f ca="1"/>
        <v>107.175</v>
      </c>
      <c r="AK187" s="2">
        <f t="shared" ca="1" si="56"/>
        <v>6.531373921156991E-4</v>
      </c>
      <c r="AL187" s="1" vm="2097">
        <f ca="1"/>
        <v>54.81</v>
      </c>
      <c r="AM187" s="2">
        <f t="shared" ca="1" si="57"/>
        <v>3.1016237912788736E-3</v>
      </c>
      <c r="AO187" s="9">
        <f t="shared" ca="1" si="58"/>
        <v>101.36144922604139</v>
      </c>
      <c r="AP187">
        <f t="shared" ca="1" si="59"/>
        <v>99.698627596439138</v>
      </c>
      <c r="AQ187">
        <f t="shared" ca="1" si="60"/>
        <v>101.78062678062696</v>
      </c>
      <c r="AR187">
        <f t="shared" ca="1" si="61"/>
        <v>111.75451116321754</v>
      </c>
      <c r="AT187" s="21">
        <f ca="1">MAX($AO$3:AO188)</f>
        <v>106.96839029133979</v>
      </c>
      <c r="AU187" s="2">
        <f t="shared" ca="1" si="62"/>
        <v>-5.2416803225955766E-2</v>
      </c>
    </row>
    <row r="188" spans="1:47" x14ac:dyDescent="0.25">
      <c r="A188" vm="2851">
        <f ca="1"/>
        <v>45923</v>
      </c>
      <c r="B188" vm="2852">
        <f ca="1"/>
        <v>151.08000000000001</v>
      </c>
      <c r="C188" vm="2853">
        <f ca="1"/>
        <v>239.5</v>
      </c>
      <c r="D188" vm="2854">
        <f ca="1"/>
        <v>287.14999999999998</v>
      </c>
      <c r="E188" vm="2855">
        <f ca="1"/>
        <v>209.8</v>
      </c>
      <c r="F188" vm="2856">
        <f ca="1"/>
        <v>186.62</v>
      </c>
      <c r="G188" vm="1478">
        <f ca="1"/>
        <v>173.6</v>
      </c>
      <c r="H188" vm="2235">
        <f ca="1"/>
        <v>430.65</v>
      </c>
      <c r="I188" vm="2857">
        <f ca="1"/>
        <v>128.74</v>
      </c>
      <c r="J188" vm="2858">
        <f ca="1"/>
        <v>423.9</v>
      </c>
      <c r="K188" vm="2859">
        <f ca="1"/>
        <v>89.5</v>
      </c>
      <c r="L188" vm="2860">
        <f ca="1"/>
        <v>291.85000000000002</v>
      </c>
      <c r="M188" vm="530">
        <f ca="1"/>
        <v>264.3</v>
      </c>
      <c r="N188" vm="2861">
        <f ca="1"/>
        <v>14.35</v>
      </c>
      <c r="O188" vm="2862">
        <f ca="1"/>
        <v>619</v>
      </c>
      <c r="Q188" s="4">
        <f t="shared" ca="1" si="42"/>
        <v>-2.5435540069686402E-2</v>
      </c>
      <c r="R188" s="4">
        <f t="shared" ca="1" si="43"/>
        <v>-8.3412774070543705E-3</v>
      </c>
      <c r="S188" s="4">
        <f t="shared" ca="1" si="44"/>
        <v>4.8963133640551604E-3</v>
      </c>
      <c r="T188" s="4">
        <f t="shared" ca="1" si="52"/>
        <v>1.3049557247164723E-2</v>
      </c>
      <c r="U188" s="4">
        <f t="shared" ca="1" si="53"/>
        <v>-1.3210662892191527E-2</v>
      </c>
      <c r="V188" s="4">
        <f t="shared" ca="1" si="45"/>
        <v>-2.7799841143766324E-3</v>
      </c>
      <c r="W188" s="4">
        <f t="shared" ca="1" si="46"/>
        <v>3.7509377344335793E-3</v>
      </c>
      <c r="X188" s="4">
        <f t="shared" ca="1" si="47"/>
        <v>1.8728717366628844E-2</v>
      </c>
      <c r="Y188" s="4">
        <f t="shared" ca="1" si="48"/>
        <v>3.1342503917815012E-3</v>
      </c>
      <c r="Z188" s="4">
        <f t="shared" ca="1" si="49"/>
        <v>-8.5660442007881032E-3</v>
      </c>
      <c r="AA188" s="4">
        <f t="shared" ca="1" si="50"/>
        <v>3.7153140601418055E-3</v>
      </c>
      <c r="AB188" s="4">
        <f t="shared" ca="1" si="54"/>
        <v>-3.3602584814216407E-2</v>
      </c>
      <c r="AC188" s="4">
        <f t="shared" ca="1" si="55"/>
        <v>-2.0876826722338038E-3</v>
      </c>
      <c r="AD188" s="4"/>
      <c r="AE188" s="2" cm="1">
        <f t="array" aca="1" ref="AE188" ca="1">SUMPRODUCT(Q188:AB188,TRANSPOSE(Insights.!$H$4:$H$15))</f>
        <v>-3.6440639453346919E-3</v>
      </c>
      <c r="AG188" s="10" vm="2851">
        <f ca="1"/>
        <v>45923</v>
      </c>
      <c r="AH188" s="1" vm="2863">
        <f ca="1"/>
        <v>106.93</v>
      </c>
      <c r="AI188" s="2">
        <f t="shared" ca="1" si="51"/>
        <v>2.0574207425418933E-3</v>
      </c>
      <c r="AJ188" s="1" vm="380">
        <f ca="1"/>
        <v>107.245</v>
      </c>
      <c r="AK188" s="2">
        <f t="shared" ca="1" si="56"/>
        <v>-1.2587999440534237E-3</v>
      </c>
      <c r="AL188" s="1" vm="2864">
        <f ca="1"/>
        <v>54.98</v>
      </c>
      <c r="AM188" s="2">
        <f t="shared" ca="1" si="57"/>
        <v>-5.4565296471431601E-4</v>
      </c>
      <c r="AO188" s="9">
        <f t="shared" ca="1" si="58"/>
        <v>99.890210183014261</v>
      </c>
      <c r="AP188">
        <f t="shared" ca="1" si="59"/>
        <v>99.156157270029652</v>
      </c>
      <c r="AQ188">
        <f t="shared" ca="1" si="60"/>
        <v>101.84710351377036</v>
      </c>
      <c r="AR188">
        <f t="shared" ca="1" si="61"/>
        <v>112.10113161382412</v>
      </c>
      <c r="AT188" s="21">
        <f ca="1">MAX($AO$3:AO189)</f>
        <v>106.96839029133979</v>
      </c>
      <c r="AU188" s="2">
        <f t="shared" ca="1" si="62"/>
        <v>-6.6170763989692238E-2</v>
      </c>
    </row>
    <row r="189" spans="1:47" x14ac:dyDescent="0.25">
      <c r="A189" vm="2865">
        <f ca="1"/>
        <v>45924</v>
      </c>
      <c r="B189" vm="2866">
        <f ca="1"/>
        <v>150.66</v>
      </c>
      <c r="C189" vm="1760">
        <f ca="1"/>
        <v>239</v>
      </c>
      <c r="D189" vm="2867">
        <f ca="1"/>
        <v>288.05</v>
      </c>
      <c r="E189" vm="2814">
        <f ca="1"/>
        <v>208.05</v>
      </c>
      <c r="F189" vm="2868">
        <f ca="1"/>
        <v>187.32</v>
      </c>
      <c r="G189" vm="2869">
        <f ca="1"/>
        <v>174.45</v>
      </c>
      <c r="H189" vm="2870">
        <f ca="1"/>
        <v>432.25</v>
      </c>
      <c r="I189" vm="2871">
        <f ca="1"/>
        <v>130.41999999999999</v>
      </c>
      <c r="J189" vm="2872">
        <f ca="1"/>
        <v>418.3</v>
      </c>
      <c r="K189" vm="2873">
        <f ca="1"/>
        <v>97</v>
      </c>
      <c r="L189" vm="2874">
        <f ca="1"/>
        <v>289.35000000000002</v>
      </c>
      <c r="M189" vm="2875">
        <f ca="1"/>
        <v>269.25</v>
      </c>
      <c r="N189" vm="2876">
        <f ca="1"/>
        <v>13.984999999999999</v>
      </c>
      <c r="O189" vm="2877">
        <f ca="1"/>
        <v>598.20000000000005</v>
      </c>
      <c r="Q189" s="4">
        <f t="shared" ca="1" si="42"/>
        <v>-4.6478369681801635E-3</v>
      </c>
      <c r="R189" s="4">
        <f t="shared" ca="1" si="43"/>
        <v>-2.403268445085871E-4</v>
      </c>
      <c r="S189" s="4">
        <f t="shared" ca="1" si="44"/>
        <v>-4.0412725709372266E-2</v>
      </c>
      <c r="T189" s="4">
        <f t="shared" ca="1" si="52"/>
        <v>3.0670142616173734E-4</v>
      </c>
      <c r="U189" s="4">
        <f t="shared" ca="1" si="53"/>
        <v>-5.4984460913219957E-3</v>
      </c>
      <c r="V189" s="4">
        <f t="shared" ca="1" si="45"/>
        <v>1.1416434355502547E-2</v>
      </c>
      <c r="W189" s="4">
        <f t="shared" ca="1" si="46"/>
        <v>-2.989536621823663E-3</v>
      </c>
      <c r="X189" s="4">
        <f t="shared" ca="1" si="47"/>
        <v>-1.8570102135562205E-3</v>
      </c>
      <c r="Y189" s="4">
        <f t="shared" ca="1" si="48"/>
        <v>-1.5622287797256718E-3</v>
      </c>
      <c r="Z189" s="4">
        <f t="shared" ca="1" si="49"/>
        <v>-8.8128564022810219E-3</v>
      </c>
      <c r="AA189" s="4">
        <f t="shared" ca="1" si="50"/>
        <v>7.5187969924812581E-3</v>
      </c>
      <c r="AB189" s="4">
        <f t="shared" ca="1" si="54"/>
        <v>1.7719826145101925E-2</v>
      </c>
      <c r="AC189" s="4">
        <f t="shared" ca="1" si="55"/>
        <v>-6.2761506276151069E-3</v>
      </c>
      <c r="AD189" s="4"/>
      <c r="AE189" s="2" cm="1">
        <f t="array" aca="1" ref="AE189" ca="1">SUMPRODUCT(Q189:AB189,TRANSPOSE(Insights.!$H$4:$H$15))</f>
        <v>-2.322262215669414E-3</v>
      </c>
      <c r="AG189" s="10" vm="2865">
        <f ca="1"/>
        <v>45924</v>
      </c>
      <c r="AH189" s="1" vm="2878">
        <f ca="1"/>
        <v>107.15</v>
      </c>
      <c r="AI189" s="2">
        <f t="shared" ca="1" si="51"/>
        <v>2.3331777881474558E-3</v>
      </c>
      <c r="AJ189" s="1" vm="2879">
        <f ca="1"/>
        <v>107.11</v>
      </c>
      <c r="AK189" s="2">
        <f t="shared" ca="1" si="56"/>
        <v>-1.2603865185324414E-3</v>
      </c>
      <c r="AL189" s="1" vm="1716">
        <f ca="1"/>
        <v>54.95</v>
      </c>
      <c r="AM189" s="2">
        <f t="shared" ca="1" si="57"/>
        <v>-2.183803457688871E-3</v>
      </c>
      <c r="AO189" s="9">
        <f t="shared" ca="1" si="58"/>
        <v>99.52620386959444</v>
      </c>
      <c r="AP189">
        <f t="shared" ca="1" si="59"/>
        <v>99.360163204747764</v>
      </c>
      <c r="AQ189">
        <f t="shared" ca="1" si="60"/>
        <v>101.71889838556523</v>
      </c>
      <c r="AR189">
        <f t="shared" ca="1" si="61"/>
        <v>112.03996329901121</v>
      </c>
      <c r="AT189" s="21">
        <f ca="1">MAX($AO$3:AO190)</f>
        <v>106.96839029133979</v>
      </c>
      <c r="AU189" s="2">
        <f t="shared" ca="1" si="62"/>
        <v>-6.9573697439736737E-2</v>
      </c>
    </row>
    <row r="190" spans="1:47" x14ac:dyDescent="0.25">
      <c r="A190" vm="2880">
        <f ca="1"/>
        <v>45925</v>
      </c>
      <c r="B190" vm="2881">
        <f ca="1"/>
        <v>152.38</v>
      </c>
      <c r="C190" vm="2882">
        <f ca="1"/>
        <v>237.5</v>
      </c>
      <c r="D190" vm="2883">
        <f ca="1"/>
        <v>287.60000000000002</v>
      </c>
      <c r="E190" vm="2400">
        <f ca="1"/>
        <v>208</v>
      </c>
      <c r="F190" vm="2884">
        <f ca="1"/>
        <v>186.76</v>
      </c>
      <c r="G190" vm="969">
        <f ca="1"/>
        <v>167.4</v>
      </c>
      <c r="H190" vm="2885">
        <f ca="1"/>
        <v>435.5</v>
      </c>
      <c r="I190" vm="2886">
        <f ca="1"/>
        <v>130.46</v>
      </c>
      <c r="J190" vm="1872">
        <f ca="1"/>
        <v>416</v>
      </c>
      <c r="K190" vm="2887">
        <f ca="1"/>
        <v>92.5</v>
      </c>
      <c r="L190" vm="2888">
        <f ca="1"/>
        <v>286.8</v>
      </c>
      <c r="M190" vm="2889">
        <f ca="1"/>
        <v>268.75</v>
      </c>
      <c r="N190" vm="2890">
        <f ca="1"/>
        <v>13.92</v>
      </c>
      <c r="O190" vm="2891">
        <f ca="1"/>
        <v>608.79999999999995</v>
      </c>
      <c r="Q190" s="4">
        <f t="shared" ca="1" si="42"/>
        <v>1.5804597701149392E-2</v>
      </c>
      <c r="R190" s="4">
        <f t="shared" ca="1" si="43"/>
        <v>-2.6442307692308153E-3</v>
      </c>
      <c r="S190" s="4">
        <f t="shared" ca="1" si="44"/>
        <v>4.7491039426523329E-2</v>
      </c>
      <c r="T190" s="4">
        <f t="shared" ca="1" si="52"/>
        <v>-3.9858960600951399E-3</v>
      </c>
      <c r="U190" s="4">
        <f t="shared" ca="1" si="53"/>
        <v>2.7644230769230393E-3</v>
      </c>
      <c r="V190" s="4">
        <f t="shared" ca="1" si="45"/>
        <v>-4.4625278907993726E-3</v>
      </c>
      <c r="W190" s="4">
        <f t="shared" ca="1" si="46"/>
        <v>6.5324480616835157E-3</v>
      </c>
      <c r="X190" s="4">
        <f t="shared" ca="1" si="47"/>
        <v>0</v>
      </c>
      <c r="Y190" s="4">
        <f t="shared" ca="1" si="48"/>
        <v>2.9554937413072135E-3</v>
      </c>
      <c r="Z190" s="4">
        <f t="shared" ca="1" si="49"/>
        <v>-7.1478382147838193E-3</v>
      </c>
      <c r="AA190" s="4">
        <f t="shared" ca="1" si="50"/>
        <v>4.4776119402984982E-3</v>
      </c>
      <c r="AB190" s="4">
        <f t="shared" ca="1" si="54"/>
        <v>-5.7490144546649136E-3</v>
      </c>
      <c r="AC190" s="4">
        <f t="shared" ca="1" si="55"/>
        <v>-1.4736842105263159E-2</v>
      </c>
      <c r="AD190" s="4"/>
      <c r="AE190" s="2" cm="1">
        <f t="array" aca="1" ref="AE190" ca="1">SUMPRODUCT(Q190:AB190,TRANSPOSE(Insights.!$H$4:$H$15))</f>
        <v>3.6597639900277433E-3</v>
      </c>
      <c r="AG190" s="10" vm="2880">
        <f ca="1"/>
        <v>45925</v>
      </c>
      <c r="AH190" s="1" vm="2892">
        <f ca="1"/>
        <v>107.4</v>
      </c>
      <c r="AI190" s="2">
        <f t="shared" ca="1" si="51"/>
        <v>1.070763500931049E-3</v>
      </c>
      <c r="AJ190" s="1" vm="2893">
        <f ca="1"/>
        <v>106.97499999999999</v>
      </c>
      <c r="AK190" s="2">
        <f t="shared" ca="1" si="56"/>
        <v>7.0109838747378639E-4</v>
      </c>
      <c r="AL190" s="1" vm="2894">
        <f ca="1"/>
        <v>54.83</v>
      </c>
      <c r="AM190" s="2">
        <f t="shared" ca="1" si="57"/>
        <v>8.7543315703082492E-3</v>
      </c>
      <c r="AO190" s="9">
        <f t="shared" ca="1" si="58"/>
        <v>99.29507792687906</v>
      </c>
      <c r="AP190">
        <f t="shared" ca="1" si="59"/>
        <v>99.591988130563792</v>
      </c>
      <c r="AQ190">
        <f t="shared" ca="1" si="60"/>
        <v>101.59069325736009</v>
      </c>
      <c r="AR190">
        <f t="shared" ca="1" si="61"/>
        <v>111.79529003975949</v>
      </c>
      <c r="AT190" s="21">
        <f ca="1">MAX($AO$3:AO191)</f>
        <v>106.96839029133979</v>
      </c>
      <c r="AU190" s="2">
        <f t="shared" ca="1" si="62"/>
        <v>-7.17343912866375E-2</v>
      </c>
    </row>
    <row r="191" spans="1:47" x14ac:dyDescent="0.25">
      <c r="A191" vm="2895">
        <f ca="1"/>
        <v>45926</v>
      </c>
      <c r="B191" vm="1247">
        <f ca="1"/>
        <v>151.69999999999999</v>
      </c>
      <c r="C191" vm="2896">
        <f ca="1"/>
        <v>234</v>
      </c>
      <c r="D191" vm="2897">
        <f ca="1"/>
        <v>288.45</v>
      </c>
      <c r="E191" vm="2898">
        <f ca="1"/>
        <v>207.45</v>
      </c>
      <c r="F191" vm="1463">
        <f ca="1"/>
        <v>187.98</v>
      </c>
      <c r="G191" vm="2899">
        <f ca="1"/>
        <v>175.35</v>
      </c>
      <c r="H191" vm="2518">
        <f ca="1"/>
        <v>437.45</v>
      </c>
      <c r="I191" vm="2900">
        <f ca="1"/>
        <v>129.94</v>
      </c>
      <c r="J191" vm="2901">
        <f ca="1"/>
        <v>417.15</v>
      </c>
      <c r="K191" vm="2902">
        <f ca="1"/>
        <v>89</v>
      </c>
      <c r="L191" vm="2903">
        <f ca="1"/>
        <v>284.75</v>
      </c>
      <c r="M191" vm="2889">
        <f ca="1"/>
        <v>268.75</v>
      </c>
      <c r="N191" vm="2904">
        <f ca="1"/>
        <v>14.14</v>
      </c>
      <c r="O191" vm="2905">
        <f ca="1"/>
        <v>605.29999999999995</v>
      </c>
      <c r="Q191" s="4">
        <f t="shared" ca="1" si="42"/>
        <v>-2.0155586987270158E-2</v>
      </c>
      <c r="R191" s="4">
        <f t="shared" ca="1" si="43"/>
        <v>-2.4102193299579966E-4</v>
      </c>
      <c r="S191" s="4">
        <f t="shared" ca="1" si="44"/>
        <v>-3.621328771029364E-2</v>
      </c>
      <c r="T191" s="4">
        <f t="shared" ca="1" si="52"/>
        <v>7.2341080498692367E-3</v>
      </c>
      <c r="U191" s="4">
        <f t="shared" ca="1" si="53"/>
        <v>9.349154980222929E-3</v>
      </c>
      <c r="V191" s="4">
        <f t="shared" ca="1" si="45"/>
        <v>2.1753460777851119E-2</v>
      </c>
      <c r="W191" s="4">
        <f t="shared" ca="1" si="46"/>
        <v>8.0859665921906299E-3</v>
      </c>
      <c r="X191" s="4">
        <f t="shared" ca="1" si="47"/>
        <v>-3.7209302325581506E-3</v>
      </c>
      <c r="Y191" s="4">
        <f t="shared" ca="1" si="48"/>
        <v>5.3735482752643726E-3</v>
      </c>
      <c r="Z191" s="4">
        <f t="shared" ca="1" si="49"/>
        <v>5.2677787532906528E-4</v>
      </c>
      <c r="AA191" s="4">
        <f t="shared" ca="1" si="50"/>
        <v>3.2003657560863985E-3</v>
      </c>
      <c r="AB191" s="4">
        <f t="shared" ca="1" si="54"/>
        <v>2.279861225838431E-2</v>
      </c>
      <c r="AC191" s="4">
        <f t="shared" ca="1" si="55"/>
        <v>6.4102564102563875E-3</v>
      </c>
      <c r="AD191" s="4"/>
      <c r="AE191" s="2" cm="1">
        <f t="array" aca="1" ref="AE191" ca="1">SUMPRODUCT(Q191:AB191,TRANSPOSE(Insights.!$H$4:$H$15))</f>
        <v>9.9067208556564718E-4</v>
      </c>
      <c r="AG191" s="10" vm="2895">
        <f ca="1"/>
        <v>45926</v>
      </c>
      <c r="AH191" s="1" vm="2849">
        <f ca="1"/>
        <v>107.515</v>
      </c>
      <c r="AI191" s="2">
        <f t="shared" ca="1" si="51"/>
        <v>-7.4408222108546251E-4</v>
      </c>
      <c r="AJ191" s="1" vm="2906">
        <f ca="1"/>
        <v>107.05</v>
      </c>
      <c r="AK191" s="2">
        <f t="shared" ca="1" si="56"/>
        <v>2.9892573563756741E-3</v>
      </c>
      <c r="AL191" s="1" vm="2907">
        <f ca="1"/>
        <v>55.31</v>
      </c>
      <c r="AM191" s="2">
        <f t="shared" ca="1" si="57"/>
        <v>2.5311878502982665E-3</v>
      </c>
      <c r="AO191" s="9">
        <f t="shared" ca="1" si="58"/>
        <v>99.658474477462846</v>
      </c>
      <c r="AP191">
        <f t="shared" ca="1" si="59"/>
        <v>99.698627596439152</v>
      </c>
      <c r="AQ191">
        <f t="shared" ca="1" si="60"/>
        <v>101.66191832858516</v>
      </c>
      <c r="AR191">
        <f t="shared" ca="1" si="61"/>
        <v>112.77398307676633</v>
      </c>
      <c r="AT191" s="21">
        <f ca="1">MAX($AO$3:AO192)</f>
        <v>106.96839029133979</v>
      </c>
      <c r="AU191" s="2">
        <f t="shared" ca="1" si="62"/>
        <v>-6.8337158238687246E-2</v>
      </c>
    </row>
    <row r="192" spans="1:47" x14ac:dyDescent="0.25">
      <c r="A192" vm="2908">
        <f ca="1"/>
        <v>45929</v>
      </c>
      <c r="B192" vm="161">
        <f ca="1"/>
        <v>155</v>
      </c>
      <c r="C192" vm="1308">
        <f ca="1"/>
        <v>235.5</v>
      </c>
      <c r="D192" vm="2909">
        <f ca="1"/>
        <v>290</v>
      </c>
      <c r="E192" vm="2910">
        <f ca="1"/>
        <v>207.4</v>
      </c>
      <c r="F192" vm="2911">
        <f ca="1"/>
        <v>189.5</v>
      </c>
      <c r="G192" vm="2912">
        <f ca="1"/>
        <v>169</v>
      </c>
      <c r="H192" vm="2913">
        <f ca="1"/>
        <v>438.85</v>
      </c>
      <c r="I192" vm="2914">
        <f ca="1"/>
        <v>130.88</v>
      </c>
      <c r="J192" vm="2915">
        <f ca="1"/>
        <v>421.05</v>
      </c>
      <c r="K192" vm="2916">
        <f ca="1"/>
        <v>95</v>
      </c>
      <c r="L192" vm="2917">
        <f ca="1"/>
        <v>284.89999999999998</v>
      </c>
      <c r="M192" vm="2918">
        <f ca="1"/>
        <v>267.75</v>
      </c>
      <c r="N192" vm="2919">
        <f ca="1"/>
        <v>13.855</v>
      </c>
      <c r="O192" vm="2920">
        <f ca="1"/>
        <v>619.1</v>
      </c>
      <c r="Q192" s="4">
        <f t="shared" ca="1" si="42"/>
        <v>3.5005413208228031E-2</v>
      </c>
      <c r="R192" s="4">
        <f t="shared" ca="1" si="43"/>
        <v>-2.3384763741562176E-2</v>
      </c>
      <c r="S192" s="4">
        <f t="shared" ca="1" si="44"/>
        <v>-3.04733727810651E-2</v>
      </c>
      <c r="T192" s="4">
        <f t="shared" ca="1" si="52"/>
        <v>-4.5843520782395952E-4</v>
      </c>
      <c r="U192" s="4">
        <f t="shared" ca="1" si="53"/>
        <v>-1.353758460990373E-2</v>
      </c>
      <c r="V192" s="4">
        <f t="shared" ca="1" si="45"/>
        <v>2.4516129032258194E-2</v>
      </c>
      <c r="W192" s="4">
        <f t="shared" ca="1" si="46"/>
        <v>-1.1715039577836373E-2</v>
      </c>
      <c r="X192" s="4">
        <f t="shared" ca="1" si="47"/>
        <v>5.2287581699346219E-3</v>
      </c>
      <c r="Y192" s="4">
        <f t="shared" ca="1" si="48"/>
        <v>8.6206896551721535E-4</v>
      </c>
      <c r="Z192" s="4">
        <f t="shared" ca="1" si="49"/>
        <v>-2.3692523692523726E-2</v>
      </c>
      <c r="AA192" s="4">
        <f t="shared" ca="1" si="50"/>
        <v>4.1016292582884972E-3</v>
      </c>
      <c r="AB192" s="4">
        <f t="shared" ca="1" si="54"/>
        <v>-4.4419318365369054E-2</v>
      </c>
      <c r="AC192" s="4">
        <f t="shared" ca="1" si="55"/>
        <v>2.1231422505307851E-3</v>
      </c>
      <c r="AD192" s="4"/>
      <c r="AE192" s="2" cm="1">
        <f t="array" aca="1" ref="AE192" ca="1">SUMPRODUCT(Q192:AB192,TRANSPOSE(Insights.!$H$4:$H$15))</f>
        <v>-7.5092761048091055E-3</v>
      </c>
      <c r="AG192" s="10" vm="2908">
        <f ca="1"/>
        <v>45929</v>
      </c>
      <c r="AH192" s="1" vm="2921">
        <f ca="1"/>
        <v>107.435</v>
      </c>
      <c r="AI192" s="2">
        <f t="shared" ca="1" si="51"/>
        <v>-3.397403080932726E-3</v>
      </c>
      <c r="AJ192" s="1" vm="2922">
        <f ca="1"/>
        <v>107.37</v>
      </c>
      <c r="AK192" s="2">
        <f t="shared" ca="1" si="56"/>
        <v>-1.39703827884885E-3</v>
      </c>
      <c r="AL192" s="1" vm="2578">
        <f ca="1"/>
        <v>55.45</v>
      </c>
      <c r="AM192" s="2">
        <f t="shared" ca="1" si="57"/>
        <v>3.2461677186654825E-3</v>
      </c>
      <c r="AO192" s="9">
        <f t="shared" ca="1" si="58"/>
        <v>99.757203346217736</v>
      </c>
      <c r="AP192">
        <f t="shared" ca="1" si="59"/>
        <v>99.624443620178027</v>
      </c>
      <c r="AQ192">
        <f t="shared" ca="1" si="60"/>
        <v>101.96581196581215</v>
      </c>
      <c r="AR192">
        <f t="shared" ca="1" si="61"/>
        <v>113.05943521255998</v>
      </c>
      <c r="AT192" s="21">
        <f ca="1">MAX($AO$3:AO193)</f>
        <v>106.96839029133979</v>
      </c>
      <c r="AU192" s="2">
        <f t="shared" ca="1" si="62"/>
        <v>-6.7414185868195475E-2</v>
      </c>
    </row>
    <row r="193" spans="1:47" x14ac:dyDescent="0.25">
      <c r="A193" vm="2923">
        <f ca="1"/>
        <v>45930</v>
      </c>
      <c r="B193" vm="2924">
        <f ca="1"/>
        <v>158.80000000000001</v>
      </c>
      <c r="C193" vm="2925">
        <f ca="1"/>
        <v>236</v>
      </c>
      <c r="D193" vm="2926">
        <f ca="1"/>
        <v>290.25</v>
      </c>
      <c r="E193" vm="2927">
        <f ca="1"/>
        <v>202.55</v>
      </c>
      <c r="F193" vm="2928">
        <f ca="1"/>
        <v>187.28</v>
      </c>
      <c r="G193" vm="2929">
        <f ca="1"/>
        <v>163.85</v>
      </c>
      <c r="H193" vm="2930">
        <f ca="1"/>
        <v>440.65</v>
      </c>
      <c r="I193" vm="2931">
        <f ca="1"/>
        <v>130.82</v>
      </c>
      <c r="J193" vm="2932">
        <f ca="1"/>
        <v>415.35</v>
      </c>
      <c r="K193" vm="2933">
        <f ca="1"/>
        <v>95.5</v>
      </c>
      <c r="L193" vm="2934">
        <f ca="1"/>
        <v>278.14999999999998</v>
      </c>
      <c r="M193" vm="2935">
        <f ca="1"/>
        <v>269.14999999999998</v>
      </c>
      <c r="N193" vm="2936">
        <f ca="1"/>
        <v>14.34</v>
      </c>
      <c r="O193" vm="2937">
        <f ca="1"/>
        <v>591.6</v>
      </c>
      <c r="Q193" s="4">
        <f t="shared" ca="1" si="42"/>
        <v>2.6150627615062705E-2</v>
      </c>
      <c r="R193" s="4">
        <f t="shared" ca="1" si="43"/>
        <v>-1.2688225129597774E-2</v>
      </c>
      <c r="S193" s="4">
        <f t="shared" ca="1" si="44"/>
        <v>5.4317973756484728E-2</v>
      </c>
      <c r="T193" s="4">
        <f t="shared" ca="1" si="52"/>
        <v>-4.8922183152422249E-3</v>
      </c>
      <c r="U193" s="4">
        <f t="shared" ca="1" si="53"/>
        <v>-3.6114120621162371E-3</v>
      </c>
      <c r="V193" s="4">
        <f t="shared" ca="1" si="45"/>
        <v>5.5415617128462547E-3</v>
      </c>
      <c r="W193" s="4">
        <f t="shared" ca="1" si="46"/>
        <v>2.1358393848782686E-3</v>
      </c>
      <c r="X193" s="4">
        <f t="shared" ca="1" si="47"/>
        <v>-1.6161991454579083E-2</v>
      </c>
      <c r="Y193" s="4">
        <f t="shared" ca="1" si="48"/>
        <v>2.170542635658923E-2</v>
      </c>
      <c r="Z193" s="4">
        <f t="shared" ca="1" si="49"/>
        <v>2.1031817364731253E-2</v>
      </c>
      <c r="AA193" s="4">
        <f t="shared" ca="1" si="50"/>
        <v>3.1771247021445959E-3</v>
      </c>
      <c r="AB193" s="4">
        <f t="shared" ca="1" si="54"/>
        <v>2.6031102096010672E-2</v>
      </c>
      <c r="AC193" s="4">
        <f t="shared" ca="1" si="55"/>
        <v>3.8135593220338881E-2</v>
      </c>
      <c r="AD193" s="4"/>
      <c r="AE193" s="2" cm="1">
        <f t="array" aca="1" ref="AE193" ca="1">SUMPRODUCT(Q193:AB193,TRANSPOSE(Insights.!$H$4:$H$15))</f>
        <v>7.6185377476353303E-3</v>
      </c>
      <c r="AG193" s="10" vm="2923">
        <f ca="1"/>
        <v>45930</v>
      </c>
      <c r="AH193" s="1" vm="2938">
        <f ca="1"/>
        <v>107.07</v>
      </c>
      <c r="AI193" s="2">
        <f t="shared" ca="1" si="51"/>
        <v>1.1721303819931084E-2</v>
      </c>
      <c r="AJ193" s="1" vm="2939">
        <f ca="1"/>
        <v>107.22</v>
      </c>
      <c r="AK193" s="2">
        <f t="shared" ca="1" si="56"/>
        <v>7.461294534601759E-3</v>
      </c>
      <c r="AL193" s="1" vm="2940">
        <f ca="1"/>
        <v>55.63</v>
      </c>
      <c r="AM193" s="2">
        <f t="shared" ca="1" si="57"/>
        <v>1.4920007190364792E-2</v>
      </c>
      <c r="AO193" s="9">
        <f t="shared" ca="1" si="58"/>
        <v>99.008098962847399</v>
      </c>
      <c r="AP193">
        <f t="shared" ca="1" si="59"/>
        <v>99.285979228486624</v>
      </c>
      <c r="AQ193">
        <f t="shared" ca="1" si="60"/>
        <v>101.82336182336201</v>
      </c>
      <c r="AR193">
        <f t="shared" ca="1" si="61"/>
        <v>113.42644510143754</v>
      </c>
      <c r="AT193" s="21">
        <f ca="1">MAX($AO$3:AO194)</f>
        <v>106.96839029133979</v>
      </c>
      <c r="AU193" s="2">
        <f t="shared" ca="1" si="62"/>
        <v>-7.4417230237939336E-2</v>
      </c>
    </row>
    <row r="194" spans="1:47" x14ac:dyDescent="0.25">
      <c r="A194" vm="2941">
        <f ca="1"/>
        <v>45931</v>
      </c>
      <c r="B194" vm="2942">
        <f ca="1"/>
        <v>159.68</v>
      </c>
      <c r="C194" vm="2943">
        <f ca="1"/>
        <v>245</v>
      </c>
      <c r="D194" vm="2709">
        <f ca="1"/>
        <v>296.55</v>
      </c>
      <c r="E194" vm="2944">
        <f ca="1"/>
        <v>199.98</v>
      </c>
      <c r="F194" vm="2945">
        <f ca="1"/>
        <v>187.68</v>
      </c>
      <c r="G194" vm="2946">
        <f ca="1"/>
        <v>172.75</v>
      </c>
      <c r="H194" vm="2947">
        <f ca="1"/>
        <v>442.05</v>
      </c>
      <c r="I194" vm="2378">
        <f ca="1"/>
        <v>130.18</v>
      </c>
      <c r="J194" vm="2948">
        <f ca="1"/>
        <v>413.85</v>
      </c>
      <c r="K194" vm="1166">
        <f ca="1"/>
        <v>96</v>
      </c>
      <c r="L194" vm="2949">
        <f ca="1"/>
        <v>284</v>
      </c>
      <c r="M194" vm="2950">
        <f ca="1"/>
        <v>264.8</v>
      </c>
      <c r="N194" vm="2951">
        <f ca="1"/>
        <v>14.715</v>
      </c>
      <c r="O194" vm="2952">
        <f ca="1"/>
        <v>607</v>
      </c>
      <c r="Q194" s="4">
        <f t="shared" ca="1" si="42"/>
        <v>7.4753652735304321E-3</v>
      </c>
      <c r="R194" s="4">
        <f t="shared" ca="1" si="43"/>
        <v>1.7851785178518043E-2</v>
      </c>
      <c r="S194" s="4">
        <f t="shared" ca="1" si="44"/>
        <v>-4.0520984081041656E-3</v>
      </c>
      <c r="T194" s="4">
        <f t="shared" ca="1" si="52"/>
        <v>-5.3771700722078375E-3</v>
      </c>
      <c r="U194" s="4">
        <f t="shared" ca="1" si="53"/>
        <v>-1.7155974386855233E-2</v>
      </c>
      <c r="V194" s="4">
        <f t="shared" ca="1" si="45"/>
        <v>1.1022044088176308E-2</v>
      </c>
      <c r="W194" s="4">
        <f t="shared" ca="1" si="46"/>
        <v>8.3120204603581715E-3</v>
      </c>
      <c r="X194" s="4">
        <f t="shared" ca="1" si="47"/>
        <v>-4.9093655589124152E-3</v>
      </c>
      <c r="Y194" s="4">
        <f t="shared" ca="1" si="48"/>
        <v>-5.0581689428427223E-3</v>
      </c>
      <c r="Z194" s="4">
        <f t="shared" ca="1" si="49"/>
        <v>2.5176056338028108E-2</v>
      </c>
      <c r="AA194" s="4">
        <f t="shared" ca="1" si="50"/>
        <v>-2.8277344191833809E-3</v>
      </c>
      <c r="AB194" s="4">
        <f t="shared" ca="1" si="54"/>
        <v>-3.13014827018121E-3</v>
      </c>
      <c r="AC194" s="4">
        <f t="shared" ca="1" si="55"/>
        <v>4.0816326530612734E-3</v>
      </c>
      <c r="AD194" s="4"/>
      <c r="AE194" s="2" cm="1">
        <f t="array" aca="1" ref="AE194" ca="1">SUMPRODUCT(Q194:AB194,TRANSPOSE(Insights.!$H$4:$H$15))</f>
        <v>2.1805635530384193E-3</v>
      </c>
      <c r="AG194" s="10" vm="2941">
        <f ca="1"/>
        <v>45931</v>
      </c>
      <c r="AH194" s="1" vm="2953">
        <f ca="1"/>
        <v>108.325</v>
      </c>
      <c r="AI194" s="2">
        <f t="shared" ca="1" si="51"/>
        <v>1.615508885298933E-3</v>
      </c>
      <c r="AJ194" s="1" vm="2954">
        <f ca="1"/>
        <v>108.02</v>
      </c>
      <c r="AK194" s="2">
        <f t="shared" ca="1" si="56"/>
        <v>3.5178670616553553E-3</v>
      </c>
      <c r="AL194" s="1" vm="2955">
        <f ca="1"/>
        <v>56.46</v>
      </c>
      <c r="AM194" s="2">
        <f t="shared" ca="1" si="57"/>
        <v>8.1473609635140942E-3</v>
      </c>
      <c r="AO194" s="9">
        <f t="shared" ca="1" si="58"/>
        <v>99.762395902117476</v>
      </c>
      <c r="AP194">
        <f t="shared" ca="1" si="59"/>
        <v>100.44974035608308</v>
      </c>
      <c r="AQ194">
        <f t="shared" ca="1" si="60"/>
        <v>102.58309591642943</v>
      </c>
      <c r="AR194">
        <f t="shared" ca="1" si="61"/>
        <v>115.1187684779285</v>
      </c>
      <c r="AT194" s="21">
        <f ca="1">MAX($AO$3:AO195)</f>
        <v>106.96839029133979</v>
      </c>
      <c r="AU194" s="2">
        <f t="shared" ca="1" si="62"/>
        <v>-6.7365642967946116E-2</v>
      </c>
    </row>
    <row r="195" spans="1:47" x14ac:dyDescent="0.25">
      <c r="A195" vm="2956">
        <f ca="1"/>
        <v>45932</v>
      </c>
      <c r="B195" vm="2957">
        <f ca="1"/>
        <v>161.44</v>
      </c>
      <c r="C195" vm="2958">
        <f ca="1"/>
        <v>246</v>
      </c>
      <c r="D195" vm="2959">
        <f ca="1"/>
        <v>295.05</v>
      </c>
      <c r="E195" vm="2960">
        <f ca="1"/>
        <v>203.55</v>
      </c>
      <c r="F195" vm="2961">
        <f ca="1"/>
        <v>189.24</v>
      </c>
      <c r="G195" vm="2962">
        <f ca="1"/>
        <v>172.05</v>
      </c>
      <c r="H195" vm="2963">
        <f ca="1"/>
        <v>440.8</v>
      </c>
      <c r="I195" vm="2964">
        <f ca="1"/>
        <v>129.47999999999999</v>
      </c>
      <c r="J195" vm="2965">
        <f ca="1"/>
        <v>406.75</v>
      </c>
      <c r="K195" vm="2966">
        <f ca="1"/>
        <v>108</v>
      </c>
      <c r="L195" vm="2967">
        <f ca="1"/>
        <v>291.14999999999998</v>
      </c>
      <c r="M195" vm="2454">
        <f ca="1"/>
        <v>263.5</v>
      </c>
      <c r="N195" vm="2968">
        <f ca="1"/>
        <v>14.824999999999999</v>
      </c>
      <c r="O195" vm="2969">
        <f ca="1"/>
        <v>605.1</v>
      </c>
      <c r="Q195" s="4">
        <f t="shared" ref="Q195:Q258" ca="1" si="63">N196/N195-1</f>
        <v>3.7099494097809771E-3</v>
      </c>
      <c r="R195" s="4">
        <f t="shared" ref="R195:R258" ca="1" si="64">E196/E195-1</f>
        <v>2.9476787030213725E-3</v>
      </c>
      <c r="S195" s="4">
        <f t="shared" ref="S195:S258" ca="1" si="65">G196/G195-1</f>
        <v>2.5573961057831829E-2</v>
      </c>
      <c r="T195" s="4">
        <f t="shared" ca="1" si="52"/>
        <v>2.4714241581713647E-3</v>
      </c>
      <c r="U195" s="4">
        <f t="shared" ca="1" si="53"/>
        <v>-3.9336201598033638E-3</v>
      </c>
      <c r="V195" s="4">
        <f t="shared" ref="V195:V258" ca="1" si="66">B196/B195-1</f>
        <v>-2.1308225966303218E-2</v>
      </c>
      <c r="W195" s="4">
        <f t="shared" ref="W195:W258" ca="1" si="67">F196/F195-1</f>
        <v>-9.1946734305644595E-3</v>
      </c>
      <c r="X195" s="4">
        <f t="shared" ref="X195:X258" ca="1" si="68">M196/M195-1</f>
        <v>1.1385199240987465E-3</v>
      </c>
      <c r="Y195" s="4">
        <f t="shared" ref="Y195:Y258" ca="1" si="69">D196/D195-1</f>
        <v>1.6946280291475935E-2</v>
      </c>
      <c r="Z195" s="4">
        <f t="shared" ref="Z195:Z258" ca="1" si="70">L196/L195-1</f>
        <v>-1.202129486518877E-3</v>
      </c>
      <c r="AA195" s="4">
        <f t="shared" ref="AA195:AA258" ca="1" si="71">H196/H195-1</f>
        <v>1.8148820326679971E-3</v>
      </c>
      <c r="AB195" s="4">
        <f t="shared" ca="1" si="54"/>
        <v>-3.2391340274334879E-2</v>
      </c>
      <c r="AC195" s="4">
        <f t="shared" ca="1" si="55"/>
        <v>1.4227642276422703E-2</v>
      </c>
      <c r="AD195" s="4"/>
      <c r="AE195" s="2" cm="1">
        <f t="array" aca="1" ref="AE195" ca="1">SUMPRODUCT(Q195:AB195,TRANSPOSE(Insights.!$H$4:$H$15))</f>
        <v>-6.261942897916933E-4</v>
      </c>
      <c r="AG195" s="10" vm="2956">
        <f ca="1"/>
        <v>45932</v>
      </c>
      <c r="AH195" s="1" vm="1279">
        <f ca="1"/>
        <v>108.5</v>
      </c>
      <c r="AI195" s="2">
        <f t="shared" ref="AI195:AI253" ca="1" si="72">AH196/AH195-1</f>
        <v>9.2165898617513342E-4</v>
      </c>
      <c r="AJ195" s="1" vm="2970">
        <f ca="1"/>
        <v>108.4</v>
      </c>
      <c r="AK195" s="2">
        <f t="shared" ca="1" si="56"/>
        <v>4.2896678966788393E-3</v>
      </c>
      <c r="AL195" s="1" vm="2971">
        <f ca="1"/>
        <v>56.92</v>
      </c>
      <c r="AM195" s="2">
        <f t="shared" ca="1" si="57"/>
        <v>-3.5137034434296055E-4</v>
      </c>
      <c r="AO195" s="9">
        <f t="shared" ca="1" si="58"/>
        <v>99.979934146585435</v>
      </c>
      <c r="AP195">
        <f t="shared" ca="1" si="59"/>
        <v>100.61201780415431</v>
      </c>
      <c r="AQ195">
        <f t="shared" ca="1" si="60"/>
        <v>102.94396961063647</v>
      </c>
      <c r="AR195">
        <f t="shared" ca="1" si="61"/>
        <v>116.05668263839338</v>
      </c>
      <c r="AT195" s="21">
        <f ca="1">MAX($AO$3:AO196)</f>
        <v>106.96839029133979</v>
      </c>
      <c r="AU195" s="2">
        <f t="shared" ca="1" si="62"/>
        <v>-6.5331974480690502E-2</v>
      </c>
    </row>
    <row r="196" spans="1:47" x14ac:dyDescent="0.25">
      <c r="A196" vm="2972">
        <f ca="1"/>
        <v>45933</v>
      </c>
      <c r="B196" vm="93">
        <f ca="1"/>
        <v>158</v>
      </c>
      <c r="C196" vm="2508">
        <f ca="1"/>
        <v>249.5</v>
      </c>
      <c r="D196" vm="2973">
        <f ca="1"/>
        <v>300.05</v>
      </c>
      <c r="E196" vm="2974">
        <f ca="1"/>
        <v>204.15</v>
      </c>
      <c r="F196" vm="2014">
        <f ca="1"/>
        <v>187.5</v>
      </c>
      <c r="G196" vm="2975">
        <f ca="1"/>
        <v>176.45</v>
      </c>
      <c r="H196" vm="2976">
        <f ca="1"/>
        <v>441.6</v>
      </c>
      <c r="I196" vm="2977">
        <f ca="1"/>
        <v>129.80000000000001</v>
      </c>
      <c r="J196" vm="1498">
        <f ca="1"/>
        <v>405.15</v>
      </c>
      <c r="K196" vm="2978">
        <f ca="1"/>
        <v>113</v>
      </c>
      <c r="L196" vm="2979">
        <f ca="1"/>
        <v>290.8</v>
      </c>
      <c r="M196" vm="2980">
        <f ca="1"/>
        <v>263.8</v>
      </c>
      <c r="N196" vm="2981">
        <f ca="1"/>
        <v>14.88</v>
      </c>
      <c r="O196" vm="2982">
        <f ca="1"/>
        <v>585.5</v>
      </c>
      <c r="Q196" s="4">
        <f t="shared" ca="1" si="63"/>
        <v>2.6881720430107503E-3</v>
      </c>
      <c r="R196" s="4">
        <f t="shared" ca="1" si="64"/>
        <v>3.9921626255204457E-2</v>
      </c>
      <c r="S196" s="4">
        <f t="shared" ca="1" si="65"/>
        <v>-3.5420799093227595E-2</v>
      </c>
      <c r="T196" s="4">
        <f t="shared" ref="T196:T259" ca="1" si="73">I197/I196-1</f>
        <v>-1.0015408320493191E-2</v>
      </c>
      <c r="U196" s="4">
        <f t="shared" ref="U196:U259" ca="1" si="74">J197/J196-1</f>
        <v>1.5056152042453474E-2</v>
      </c>
      <c r="V196" s="4">
        <f t="shared" ca="1" si="66"/>
        <v>4.0506329113922934E-3</v>
      </c>
      <c r="W196" s="4">
        <f t="shared" ca="1" si="67"/>
        <v>6.1866666666665626E-3</v>
      </c>
      <c r="X196" s="4">
        <f t="shared" ca="1" si="68"/>
        <v>1.1372251705838998E-3</v>
      </c>
      <c r="Y196" s="4">
        <f t="shared" ca="1" si="69"/>
        <v>-7.1654724212631971E-3</v>
      </c>
      <c r="Z196" s="4">
        <f t="shared" ca="1" si="70"/>
        <v>-6.1898211829436445E-3</v>
      </c>
      <c r="AA196" s="4">
        <f t="shared" ca="1" si="71"/>
        <v>2.5249094202898448E-2</v>
      </c>
      <c r="AB196" s="4">
        <f t="shared" ref="AB196:AB259" ca="1" si="75">O197/O196-1</f>
        <v>9.3936806148591234E-3</v>
      </c>
      <c r="AC196" s="4">
        <f t="shared" ref="AC196:AC259" ca="1" si="76">C197/C196-1</f>
        <v>4.2084168336673278E-2</v>
      </c>
      <c r="AD196" s="4"/>
      <c r="AE196" s="2" cm="1">
        <f t="array" aca="1" ref="AE196" ca="1">SUMPRODUCT(Q196:AB196,TRANSPOSE(Insights.!$H$4:$H$15))</f>
        <v>5.4542041106405538E-3</v>
      </c>
      <c r="AG196" s="10" vm="2972">
        <f ca="1"/>
        <v>45933</v>
      </c>
      <c r="AH196" s="1" vm="2983">
        <f ca="1"/>
        <v>108.6</v>
      </c>
      <c r="AI196" s="2">
        <f t="shared" ca="1" si="72"/>
        <v>4.604051565377576E-3</v>
      </c>
      <c r="AJ196" s="1" vm="2984">
        <f ca="1"/>
        <v>108.86499999999999</v>
      </c>
      <c r="AK196" s="2">
        <f t="shared" ref="AK196:AK259" ca="1" si="77">AJ197/AJ196-1</f>
        <v>3.4446332613786712E-3</v>
      </c>
      <c r="AL196" s="1" vm="2985">
        <f ca="1"/>
        <v>56.9</v>
      </c>
      <c r="AM196" s="2">
        <f t="shared" ref="AM196:AM259" ca="1" si="78">AL197/AL196-1</f>
        <v>-2.284710017574576E-3</v>
      </c>
      <c r="AO196" s="9">
        <f t="shared" ref="AO196:AO259" ca="1" si="79">AO195*(1+AE195)</f>
        <v>99.91732728272909</v>
      </c>
      <c r="AP196">
        <f t="shared" ref="AP196:AP259" ca="1" si="80">AP195*(1+AI195)</f>
        <v>100.70474777448072</v>
      </c>
      <c r="AQ196">
        <f t="shared" ref="AQ196:AQ259" ca="1" si="81">AQ195*(1+AK195)</f>
        <v>103.3855650522319</v>
      </c>
      <c r="AR196">
        <f t="shared" ref="AR196:AR259" ca="1" si="82">AR195*(1+AM195)</f>
        <v>116.01590376185143</v>
      </c>
      <c r="AT196" s="21">
        <f ca="1">MAX($AO$3:AO197)</f>
        <v>106.96839029133979</v>
      </c>
      <c r="AU196" s="2">
        <f t="shared" ref="AU196:AU259" ca="1" si="83">AO196/AT196-1</f>
        <v>-6.5917258261121603E-2</v>
      </c>
    </row>
    <row r="197" spans="1:47" x14ac:dyDescent="0.25">
      <c r="A197" vm="2986">
        <f ca="1"/>
        <v>45936</v>
      </c>
      <c r="B197" vm="2987">
        <f ca="1"/>
        <v>158.63999999999999</v>
      </c>
      <c r="C197" vm="2988">
        <f ca="1"/>
        <v>260</v>
      </c>
      <c r="D197" vm="2989">
        <f ca="1"/>
        <v>297.89999999999998</v>
      </c>
      <c r="E197" vm="2990">
        <f ca="1"/>
        <v>212.3</v>
      </c>
      <c r="F197" vm="2991">
        <f ca="1"/>
        <v>188.66</v>
      </c>
      <c r="G197" vm="1701">
        <f ca="1"/>
        <v>170.2</v>
      </c>
      <c r="H197" vm="2992">
        <f ca="1"/>
        <v>452.75</v>
      </c>
      <c r="I197" vm="2993">
        <f ca="1"/>
        <v>128.5</v>
      </c>
      <c r="J197" vm="1793">
        <f ca="1"/>
        <v>411.25</v>
      </c>
      <c r="K197" vm="2994">
        <f ca="1"/>
        <v>107</v>
      </c>
      <c r="L197" vm="2436">
        <f ca="1"/>
        <v>289</v>
      </c>
      <c r="M197" vm="2995">
        <f ca="1"/>
        <v>264.10000000000002</v>
      </c>
      <c r="N197" vm="2996">
        <f ca="1"/>
        <v>14.92</v>
      </c>
      <c r="O197" vm="2997">
        <f ca="1"/>
        <v>591</v>
      </c>
      <c r="Q197" s="4">
        <f t="shared" ca="1" si="63"/>
        <v>1.6756032171581836E-2</v>
      </c>
      <c r="R197" s="4">
        <f t="shared" ca="1" si="64"/>
        <v>-4.2392840320302216E-3</v>
      </c>
      <c r="S197" s="4">
        <f t="shared" ca="1" si="65"/>
        <v>8.2256169212691077E-3</v>
      </c>
      <c r="T197" s="4">
        <f t="shared" ca="1" si="73"/>
        <v>1.8054474708171231E-2</v>
      </c>
      <c r="U197" s="4">
        <f t="shared" ca="1" si="74"/>
        <v>-1.2158054711253197E-4</v>
      </c>
      <c r="V197" s="4">
        <f t="shared" ca="1" si="66"/>
        <v>3.7821482602118373E-3</v>
      </c>
      <c r="W197" s="4">
        <f t="shared" ca="1" si="67"/>
        <v>7.6327785434113782E-3</v>
      </c>
      <c r="X197" s="4">
        <f t="shared" ca="1" si="68"/>
        <v>-7.5728890571769014E-4</v>
      </c>
      <c r="Y197" s="4">
        <f t="shared" ca="1" si="69"/>
        <v>1.1245384357166932E-2</v>
      </c>
      <c r="Z197" s="4">
        <f t="shared" ca="1" si="70"/>
        <v>-2.525951557093431E-2</v>
      </c>
      <c r="AA197" s="4">
        <f t="shared" ca="1" si="71"/>
        <v>-7.3992269464384641E-3</v>
      </c>
      <c r="AB197" s="4">
        <f t="shared" ca="1" si="75"/>
        <v>-1.9120135363790092E-2</v>
      </c>
      <c r="AC197" s="4">
        <f t="shared" ca="1" si="76"/>
        <v>-2.3076923076923106E-2</v>
      </c>
      <c r="AD197" s="4"/>
      <c r="AE197" s="2" cm="1">
        <f t="array" aca="1" ref="AE197" ca="1">SUMPRODUCT(Q197:AB197,TRANSPOSE(Insights.!$H$4:$H$15))</f>
        <v>-7.2874544470121752E-4</v>
      </c>
      <c r="AG197" s="10" vm="2986">
        <f ca="1"/>
        <v>45936</v>
      </c>
      <c r="AH197" s="1" vm="2998">
        <f ca="1"/>
        <v>109.1</v>
      </c>
      <c r="AI197" s="2">
        <f t="shared" ca="1" si="72"/>
        <v>-1.8331805682858526E-3</v>
      </c>
      <c r="AJ197" s="1" vm="2999">
        <f ca="1"/>
        <v>109.24</v>
      </c>
      <c r="AK197" s="2">
        <f t="shared" ca="1" si="77"/>
        <v>-1.6019772976931801E-3</v>
      </c>
      <c r="AL197" s="1" vm="3000">
        <f ca="1"/>
        <v>56.77</v>
      </c>
      <c r="AM197" s="2">
        <f t="shared" ca="1" si="78"/>
        <v>-5.4606306147613193E-3</v>
      </c>
      <c r="AO197" s="9">
        <f t="shared" ca="1" si="79"/>
        <v>100.46229677991876</v>
      </c>
      <c r="AP197">
        <f t="shared" ca="1" si="80"/>
        <v>101.16839762611278</v>
      </c>
      <c r="AQ197">
        <f t="shared" ca="1" si="81"/>
        <v>103.74169040835724</v>
      </c>
      <c r="AR197">
        <f t="shared" ca="1" si="82"/>
        <v>115.75084106432877</v>
      </c>
      <c r="AT197" s="21">
        <f ca="1">MAX($AO$3:AO198)</f>
        <v>106.96839029133979</v>
      </c>
      <c r="AU197" s="2">
        <f t="shared" ca="1" si="83"/>
        <v>-6.0822580331451048E-2</v>
      </c>
    </row>
    <row r="198" spans="1:47" x14ac:dyDescent="0.25">
      <c r="A198" vm="3001">
        <f ca="1"/>
        <v>45937</v>
      </c>
      <c r="B198" vm="3002">
        <f ca="1"/>
        <v>159.24</v>
      </c>
      <c r="C198" vm="3003">
        <f ca="1"/>
        <v>254</v>
      </c>
      <c r="D198" vm="3004">
        <f ca="1"/>
        <v>301.25</v>
      </c>
      <c r="E198" vm="1263">
        <f ca="1"/>
        <v>211.4</v>
      </c>
      <c r="F198" vm="3005">
        <f ca="1"/>
        <v>190.1</v>
      </c>
      <c r="G198" vm="3006">
        <f ca="1"/>
        <v>171.6</v>
      </c>
      <c r="H198" vm="3007">
        <f ca="1"/>
        <v>449.4</v>
      </c>
      <c r="I198" vm="2931">
        <f ca="1"/>
        <v>130.82</v>
      </c>
      <c r="J198" vm="3008">
        <f ca="1"/>
        <v>411.2</v>
      </c>
      <c r="K198" vm="3009">
        <f ca="1"/>
        <v>103</v>
      </c>
      <c r="L198" vm="3010">
        <f ca="1"/>
        <v>281.7</v>
      </c>
      <c r="M198" vm="3011">
        <f ca="1"/>
        <v>263.89999999999998</v>
      </c>
      <c r="N198" vm="3012">
        <f ca="1"/>
        <v>15.17</v>
      </c>
      <c r="O198" vm="3013">
        <f ca="1"/>
        <v>579.70000000000005</v>
      </c>
      <c r="Q198" s="4">
        <f t="shared" ca="1" si="63"/>
        <v>-8.8991430454844478E-3</v>
      </c>
      <c r="R198" s="4">
        <f t="shared" ca="1" si="64"/>
        <v>-3.5004730368968784E-2</v>
      </c>
      <c r="S198" s="4">
        <f t="shared" ca="1" si="65"/>
        <v>1.3694638694638606E-2</v>
      </c>
      <c r="T198" s="4">
        <f t="shared" ca="1" si="73"/>
        <v>-8.2556184069713101E-3</v>
      </c>
      <c r="U198" s="4">
        <f t="shared" ca="1" si="74"/>
        <v>9.2412451361867376E-3</v>
      </c>
      <c r="V198" s="4">
        <f t="shared" ca="1" si="66"/>
        <v>1.7709118311981964E-2</v>
      </c>
      <c r="W198" s="4">
        <f t="shared" ca="1" si="67"/>
        <v>2.6827985270910126E-2</v>
      </c>
      <c r="X198" s="4">
        <f t="shared" ca="1" si="68"/>
        <v>-5.873436907919527E-3</v>
      </c>
      <c r="Y198" s="4">
        <f t="shared" ca="1" si="69"/>
        <v>1.2448132780082943E-2</v>
      </c>
      <c r="Z198" s="4">
        <f t="shared" ca="1" si="70"/>
        <v>4.3840965566205314E-2</v>
      </c>
      <c r="AA198" s="4">
        <f t="shared" ca="1" si="71"/>
        <v>3.4490431686693412E-3</v>
      </c>
      <c r="AB198" s="4">
        <f t="shared" ca="1" si="75"/>
        <v>1.5697774711057377E-2</v>
      </c>
      <c r="AC198" s="4">
        <f t="shared" ca="1" si="76"/>
        <v>3.1496062992125928E-2</v>
      </c>
      <c r="AD198" s="4"/>
      <c r="AE198" s="2" cm="1">
        <f t="array" aca="1" ref="AE198" ca="1">SUMPRODUCT(Q198:AB198,TRANSPOSE(Insights.!$H$4:$H$15))</f>
        <v>4.7845303136601998E-3</v>
      </c>
      <c r="AG198" s="10" vm="3001">
        <f ca="1"/>
        <v>45937</v>
      </c>
      <c r="AH198" s="1" vm="840">
        <f ca="1"/>
        <v>108.9</v>
      </c>
      <c r="AI198" s="2">
        <f t="shared" ca="1" si="72"/>
        <v>1.0651974288337973E-2</v>
      </c>
      <c r="AJ198" s="1" vm="3014">
        <f ca="1"/>
        <v>109.065</v>
      </c>
      <c r="AK198" s="2">
        <f t="shared" ca="1" si="77"/>
        <v>8.5270251684774756E-3</v>
      </c>
      <c r="AL198" s="1" vm="2955">
        <f ca="1"/>
        <v>56.46</v>
      </c>
      <c r="AM198" s="2">
        <f t="shared" ca="1" si="78"/>
        <v>6.907545164718476E-3</v>
      </c>
      <c r="AO198" s="9">
        <f t="shared" ca="1" si="79"/>
        <v>100.38908533877617</v>
      </c>
      <c r="AP198">
        <f t="shared" ca="1" si="80"/>
        <v>100.98293768545997</v>
      </c>
      <c r="AQ198">
        <f t="shared" ca="1" si="81"/>
        <v>103.57549857549874</v>
      </c>
      <c r="AR198">
        <f t="shared" ca="1" si="82"/>
        <v>115.11876847792853</v>
      </c>
      <c r="AT198" s="21">
        <f ca="1">MAX($AO$3:AO199)</f>
        <v>106.96839029133979</v>
      </c>
      <c r="AU198" s="2">
        <f t="shared" ca="1" si="83"/>
        <v>-6.150700159780087E-2</v>
      </c>
    </row>
    <row r="199" spans="1:47" x14ac:dyDescent="0.25">
      <c r="A199" vm="3015">
        <f ca="1"/>
        <v>45938</v>
      </c>
      <c r="B199" vm="3016">
        <f ca="1"/>
        <v>162.06</v>
      </c>
      <c r="C199" vm="823">
        <f ca="1"/>
        <v>262</v>
      </c>
      <c r="D199" vm="2113">
        <f ca="1"/>
        <v>305</v>
      </c>
      <c r="E199" vm="2157">
        <f ca="1"/>
        <v>204</v>
      </c>
      <c r="F199" vm="2650">
        <f ca="1"/>
        <v>195.2</v>
      </c>
      <c r="G199" vm="3017">
        <f ca="1"/>
        <v>173.95</v>
      </c>
      <c r="H199" vm="2062">
        <f ca="1"/>
        <v>450.95</v>
      </c>
      <c r="I199" vm="3018">
        <f ca="1"/>
        <v>129.74</v>
      </c>
      <c r="J199" vm="3019">
        <f ca="1"/>
        <v>415</v>
      </c>
      <c r="K199" vm="3020">
        <f ca="1"/>
        <v>102</v>
      </c>
      <c r="L199" vm="3021">
        <f ca="1"/>
        <v>294.05</v>
      </c>
      <c r="M199" vm="2779">
        <f ca="1"/>
        <v>262.35000000000002</v>
      </c>
      <c r="N199" vm="3022">
        <f ca="1"/>
        <v>15.035</v>
      </c>
      <c r="O199" vm="3023">
        <f ca="1"/>
        <v>588.79999999999995</v>
      </c>
      <c r="Q199" s="4">
        <f t="shared" ca="1" si="63"/>
        <v>-1.7292983039574272E-2</v>
      </c>
      <c r="R199" s="4">
        <f t="shared" ca="1" si="64"/>
        <v>3.35784313725489E-2</v>
      </c>
      <c r="S199" s="4">
        <f t="shared" ca="1" si="65"/>
        <v>4.0528887611382736E-2</v>
      </c>
      <c r="T199" s="4">
        <f t="shared" ca="1" si="73"/>
        <v>3.8538615692924605E-3</v>
      </c>
      <c r="U199" s="4">
        <f t="shared" ca="1" si="74"/>
        <v>1.602409638554203E-2</v>
      </c>
      <c r="V199" s="4">
        <f t="shared" ca="1" si="66"/>
        <v>2.6656793780081456E-2</v>
      </c>
      <c r="W199" s="4">
        <f t="shared" ca="1" si="67"/>
        <v>9.2213114754098324E-3</v>
      </c>
      <c r="X199" s="4">
        <f t="shared" ca="1" si="68"/>
        <v>4.7646274061368121E-3</v>
      </c>
      <c r="Y199" s="4">
        <f t="shared" ca="1" si="69"/>
        <v>-1.8196721311475428E-2</v>
      </c>
      <c r="Z199" s="4">
        <f t="shared" ca="1" si="70"/>
        <v>1.4283285155585856E-2</v>
      </c>
      <c r="AA199" s="4">
        <f t="shared" ca="1" si="71"/>
        <v>-2.1066637099456109E-3</v>
      </c>
      <c r="AB199" s="4">
        <f t="shared" ca="1" si="75"/>
        <v>-7.9823369565216185E-3</v>
      </c>
      <c r="AC199" s="4">
        <f t="shared" ca="1" si="76"/>
        <v>-7.6335877862595547E-3</v>
      </c>
      <c r="AD199" s="4"/>
      <c r="AE199" s="2" cm="1">
        <f t="array" aca="1" ref="AE199" ca="1">SUMPRODUCT(Q199:AB199,TRANSPOSE(Insights.!$H$4:$H$15))</f>
        <v>8.5102990618030547E-3</v>
      </c>
      <c r="AG199" s="10" vm="3015">
        <f ca="1"/>
        <v>45938</v>
      </c>
      <c r="AH199" s="1" vm="3024">
        <f ca="1"/>
        <v>110.06</v>
      </c>
      <c r="AI199" s="2">
        <f t="shared" ca="1" si="72"/>
        <v>2.2714882791197155E-4</v>
      </c>
      <c r="AJ199" s="1" vm="3025">
        <f ca="1"/>
        <v>109.995</v>
      </c>
      <c r="AK199" s="2">
        <f t="shared" ca="1" si="77"/>
        <v>3.636528933133043E-4</v>
      </c>
      <c r="AL199" s="1" vm="3026">
        <f ca="1"/>
        <v>56.85</v>
      </c>
      <c r="AM199" s="2">
        <f t="shared" ca="1" si="78"/>
        <v>-5.2770448548813409E-3</v>
      </c>
      <c r="AO199" s="9">
        <f t="shared" ca="1" si="79"/>
        <v>100.86939996074017</v>
      </c>
      <c r="AP199">
        <f t="shared" ca="1" si="80"/>
        <v>102.05860534124633</v>
      </c>
      <c r="AQ199">
        <f t="shared" ca="1" si="81"/>
        <v>104.45868945868962</v>
      </c>
      <c r="AR199">
        <f t="shared" ca="1" si="82"/>
        <v>115.91395657049658</v>
      </c>
      <c r="AT199" s="21">
        <f ca="1">MAX($AO$3:AO200)</f>
        <v>106.96839029133979</v>
      </c>
      <c r="AU199" s="2">
        <f t="shared" ca="1" si="83"/>
        <v>-5.7016753397787667E-2</v>
      </c>
    </row>
    <row r="200" spans="1:47" x14ac:dyDescent="0.25">
      <c r="A200" vm="3027">
        <f ca="1"/>
        <v>45939</v>
      </c>
      <c r="B200" vm="3028">
        <f ca="1"/>
        <v>166.38</v>
      </c>
      <c r="C200" vm="2988">
        <f ca="1"/>
        <v>260</v>
      </c>
      <c r="D200" vm="3029">
        <f ca="1"/>
        <v>299.45</v>
      </c>
      <c r="E200" vm="141">
        <f ca="1"/>
        <v>210.85</v>
      </c>
      <c r="F200" vm="384">
        <f ca="1"/>
        <v>197</v>
      </c>
      <c r="G200" vm="3030">
        <f ca="1"/>
        <v>181</v>
      </c>
      <c r="H200" vm="2223">
        <f ca="1"/>
        <v>450</v>
      </c>
      <c r="I200" vm="3031">
        <f ca="1"/>
        <v>130.24</v>
      </c>
      <c r="J200" vm="3032">
        <f ca="1"/>
        <v>421.65</v>
      </c>
      <c r="K200" vm="825">
        <f ca="1"/>
        <v>115</v>
      </c>
      <c r="L200" vm="3033">
        <f ca="1"/>
        <v>298.25</v>
      </c>
      <c r="M200" vm="3034">
        <f ca="1"/>
        <v>263.60000000000002</v>
      </c>
      <c r="N200" vm="3035">
        <f ca="1"/>
        <v>14.775</v>
      </c>
      <c r="O200" vm="3036">
        <f ca="1"/>
        <v>584.1</v>
      </c>
      <c r="Q200" s="4">
        <f t="shared" ca="1" si="63"/>
        <v>7.7834179357021416E-3</v>
      </c>
      <c r="R200" s="4">
        <f t="shared" ca="1" si="64"/>
        <v>-1.4939530471899443E-2</v>
      </c>
      <c r="S200" s="4">
        <f t="shared" ca="1" si="65"/>
        <v>-3.2596685082872945E-2</v>
      </c>
      <c r="T200" s="4">
        <f t="shared" ca="1" si="73"/>
        <v>-1.1056511056511065E-2</v>
      </c>
      <c r="U200" s="4">
        <f t="shared" ca="1" si="74"/>
        <v>4.2689434364995282E-3</v>
      </c>
      <c r="V200" s="4">
        <f t="shared" ca="1" si="66"/>
        <v>-5.1328284649597267E-2</v>
      </c>
      <c r="W200" s="4">
        <f t="shared" ca="1" si="67"/>
        <v>-5.0862944162436641E-2</v>
      </c>
      <c r="X200" s="4">
        <f t="shared" ca="1" si="68"/>
        <v>-1.5743550834597997E-2</v>
      </c>
      <c r="Y200" s="4">
        <f t="shared" ca="1" si="69"/>
        <v>-1.0686258139923188E-2</v>
      </c>
      <c r="Z200" s="4">
        <f t="shared" ca="1" si="70"/>
        <v>-3.554065381391458E-2</v>
      </c>
      <c r="AA200" s="4">
        <f t="shared" ca="1" si="71"/>
        <v>-2.3333333333333317E-2</v>
      </c>
      <c r="AB200" s="4">
        <f t="shared" ca="1" si="75"/>
        <v>-7.8753638075672594E-3</v>
      </c>
      <c r="AC200" s="4">
        <f t="shared" ca="1" si="76"/>
        <v>-6.3461538461538458E-2</v>
      </c>
      <c r="AD200" s="4"/>
      <c r="AE200" s="2" cm="1">
        <f t="array" aca="1" ref="AE200" ca="1">SUMPRODUCT(Q200:AB200,TRANSPOSE(Insights.!$H$4:$H$15))</f>
        <v>-1.6756742144167058E-2</v>
      </c>
      <c r="AG200" s="10" vm="3027">
        <f ca="1"/>
        <v>45939</v>
      </c>
      <c r="AH200" s="1" vm="3037">
        <f ca="1"/>
        <v>110.08499999999999</v>
      </c>
      <c r="AI200" s="2">
        <f t="shared" ca="1" si="72"/>
        <v>-2.8841349866012611E-2</v>
      </c>
      <c r="AJ200" s="1" vm="3038">
        <f ca="1"/>
        <v>110.035</v>
      </c>
      <c r="AK200" s="2">
        <f t="shared" ca="1" si="77"/>
        <v>-1.9266596991866169E-2</v>
      </c>
      <c r="AL200" s="1" vm="3039">
        <f ca="1"/>
        <v>56.55</v>
      </c>
      <c r="AM200" s="2">
        <f t="shared" ca="1" si="78"/>
        <v>-1.5561450044208613E-2</v>
      </c>
      <c r="AO200" s="9">
        <f t="shared" ca="1" si="79"/>
        <v>101.72782872059069</v>
      </c>
      <c r="AP200">
        <f t="shared" ca="1" si="80"/>
        <v>102.08178783382793</v>
      </c>
      <c r="AQ200">
        <f t="shared" ca="1" si="81"/>
        <v>104.49667616334298</v>
      </c>
      <c r="AR200">
        <f t="shared" ca="1" si="82"/>
        <v>115.30227342236731</v>
      </c>
      <c r="AT200" s="21">
        <f ca="1">MAX($AO$3:AO201)</f>
        <v>106.96839029133979</v>
      </c>
      <c r="AU200" s="2">
        <f t="shared" ca="1" si="83"/>
        <v>-4.899168395893283E-2</v>
      </c>
    </row>
    <row r="201" spans="1:47" x14ac:dyDescent="0.25">
      <c r="A201" vm="3040">
        <f ca="1"/>
        <v>45940</v>
      </c>
      <c r="B201" vm="3041">
        <f ca="1"/>
        <v>157.84</v>
      </c>
      <c r="C201" vm="3042">
        <f ca="1"/>
        <v>243.5</v>
      </c>
      <c r="D201" vm="3043">
        <f ca="1"/>
        <v>296.25</v>
      </c>
      <c r="E201" vm="3044">
        <f ca="1"/>
        <v>207.7</v>
      </c>
      <c r="F201" vm="3045">
        <f ca="1"/>
        <v>186.98</v>
      </c>
      <c r="G201" vm="3046">
        <f ca="1"/>
        <v>175.1</v>
      </c>
      <c r="H201" vm="3047">
        <f ca="1"/>
        <v>439.5</v>
      </c>
      <c r="I201" vm="3048">
        <f ca="1"/>
        <v>128.80000000000001</v>
      </c>
      <c r="J201" vm="3049">
        <f ca="1"/>
        <v>423.45</v>
      </c>
      <c r="K201" vm="2978">
        <f ca="1"/>
        <v>113</v>
      </c>
      <c r="L201" vm="3050">
        <f ca="1"/>
        <v>287.64999999999998</v>
      </c>
      <c r="M201" vm="3051">
        <f ca="1"/>
        <v>259.45</v>
      </c>
      <c r="N201" vm="3052">
        <f ca="1"/>
        <v>14.89</v>
      </c>
      <c r="O201" vm="3053">
        <f ca="1"/>
        <v>579.5</v>
      </c>
      <c r="Q201" s="4">
        <f t="shared" ca="1" si="63"/>
        <v>-4.4660846205507143E-2</v>
      </c>
      <c r="R201" s="4">
        <f t="shared" ca="1" si="64"/>
        <v>3.7313432835820892E-2</v>
      </c>
      <c r="S201" s="4">
        <f t="shared" ca="1" si="65"/>
        <v>2.1987435750999484E-2</v>
      </c>
      <c r="T201" s="4">
        <f t="shared" ca="1" si="73"/>
        <v>-1.024844720496898E-2</v>
      </c>
      <c r="U201" s="4">
        <f t="shared" ca="1" si="74"/>
        <v>-1.2398157987956071E-2</v>
      </c>
      <c r="V201" s="4">
        <f t="shared" ca="1" si="66"/>
        <v>2.8383172833248871E-2</v>
      </c>
      <c r="W201" s="4">
        <f t="shared" ca="1" si="67"/>
        <v>1.7755909722965146E-2</v>
      </c>
      <c r="X201" s="4">
        <f t="shared" ca="1" si="68"/>
        <v>2.8907303912121707E-2</v>
      </c>
      <c r="Y201" s="4">
        <f t="shared" ca="1" si="69"/>
        <v>1.8565400843881807E-3</v>
      </c>
      <c r="Z201" s="4">
        <f t="shared" ca="1" si="70"/>
        <v>6.0664001390579037E-2</v>
      </c>
      <c r="AA201" s="4">
        <f t="shared" ca="1" si="71"/>
        <v>1.0125142207053406E-2</v>
      </c>
      <c r="AB201" s="4">
        <f t="shared" ca="1" si="75"/>
        <v>3.1061259706643751E-2</v>
      </c>
      <c r="AC201" s="4">
        <f t="shared" ca="1" si="76"/>
        <v>8.4188911704312197E-2</v>
      </c>
      <c r="AD201" s="4"/>
      <c r="AE201" s="2" cm="1">
        <f t="array" aca="1" ref="AE201" ca="1">SUMPRODUCT(Q201:AB201,TRANSPOSE(Insights.!$H$4:$H$15))</f>
        <v>1.4951516977039999E-2</v>
      </c>
      <c r="AG201" s="10" vm="3040">
        <f ca="1"/>
        <v>45940</v>
      </c>
      <c r="AH201" s="1" vm="3054">
        <f ca="1"/>
        <v>106.91</v>
      </c>
      <c r="AI201" s="2">
        <f t="shared" ca="1" si="72"/>
        <v>1.8613787297727225E-2</v>
      </c>
      <c r="AJ201" s="1" vm="3055">
        <f ca="1"/>
        <v>107.91500000000001</v>
      </c>
      <c r="AK201" s="2">
        <f t="shared" ca="1" si="77"/>
        <v>7.7839039985172498E-3</v>
      </c>
      <c r="AL201" s="1" vm="3056">
        <f ca="1"/>
        <v>55.67</v>
      </c>
      <c r="AM201" s="2">
        <f t="shared" ca="1" si="78"/>
        <v>6.8259385665527805E-3</v>
      </c>
      <c r="AO201" s="9">
        <f t="shared" ca="1" si="79"/>
        <v>100.02320172583377</v>
      </c>
      <c r="AP201">
        <f t="shared" ca="1" si="80"/>
        <v>99.137611275964431</v>
      </c>
      <c r="AQ201">
        <f t="shared" ca="1" si="81"/>
        <v>102.4833808167143</v>
      </c>
      <c r="AR201">
        <f t="shared" ca="1" si="82"/>
        <v>113.50800285452145</v>
      </c>
      <c r="AT201" s="21">
        <f ca="1">MAX($AO$3:AO202)</f>
        <v>106.96839029133979</v>
      </c>
      <c r="AU201" s="2">
        <f t="shared" ca="1" si="83"/>
        <v>-6.4927485087791448E-2</v>
      </c>
    </row>
    <row r="202" spans="1:47" x14ac:dyDescent="0.25">
      <c r="A202" vm="3057">
        <f ca="1"/>
        <v>45943</v>
      </c>
      <c r="B202" vm="3058">
        <f ca="1"/>
        <v>162.32</v>
      </c>
      <c r="C202" vm="3059">
        <f ca="1"/>
        <v>264</v>
      </c>
      <c r="D202" vm="3060">
        <f ca="1"/>
        <v>296.8</v>
      </c>
      <c r="E202" vm="3061">
        <f ca="1"/>
        <v>215.45</v>
      </c>
      <c r="F202" vm="2437">
        <f ca="1"/>
        <v>190.3</v>
      </c>
      <c r="G202" vm="3062">
        <f ca="1"/>
        <v>178.95</v>
      </c>
      <c r="H202" vm="3063">
        <f ca="1"/>
        <v>443.95</v>
      </c>
      <c r="I202" vm="3064">
        <f ca="1"/>
        <v>127.48</v>
      </c>
      <c r="J202" vm="3065">
        <f ca="1"/>
        <v>418.2</v>
      </c>
      <c r="K202" vm="1554">
        <f ca="1"/>
        <v>119</v>
      </c>
      <c r="L202" vm="3066">
        <f ca="1"/>
        <v>305.10000000000002</v>
      </c>
      <c r="M202" vm="3067">
        <f ca="1"/>
        <v>266.95</v>
      </c>
      <c r="N202" vm="3068">
        <f ca="1"/>
        <v>14.225</v>
      </c>
      <c r="O202" vm="3069">
        <f ca="1"/>
        <v>597.5</v>
      </c>
      <c r="Q202" s="4">
        <f t="shared" ca="1" si="63"/>
        <v>2.6362038664323295E-2</v>
      </c>
      <c r="R202" s="4">
        <f t="shared" ca="1" si="64"/>
        <v>-3.5275005801810089E-2</v>
      </c>
      <c r="S202" s="4">
        <f t="shared" ca="1" si="65"/>
        <v>-7.2645990500138646E-3</v>
      </c>
      <c r="T202" s="4">
        <f t="shared" ca="1" si="73"/>
        <v>5.4910574207718277E-3</v>
      </c>
      <c r="U202" s="4">
        <f t="shared" ca="1" si="74"/>
        <v>-8.3692013390712638E-4</v>
      </c>
      <c r="V202" s="4">
        <f t="shared" ca="1" si="66"/>
        <v>-4.4110399211434226E-2</v>
      </c>
      <c r="W202" s="4">
        <f t="shared" ca="1" si="67"/>
        <v>-2.1439831844456192E-2</v>
      </c>
      <c r="X202" s="4">
        <f t="shared" ca="1" si="68"/>
        <v>-2.0790410189174047E-2</v>
      </c>
      <c r="Y202" s="4">
        <f t="shared" ca="1" si="69"/>
        <v>6.5700808625337448E-3</v>
      </c>
      <c r="Z202" s="4">
        <f t="shared" ca="1" si="70"/>
        <v>-2.5729269092101048E-2</v>
      </c>
      <c r="AA202" s="4">
        <f t="shared" ca="1" si="71"/>
        <v>-2.7030070953936169E-3</v>
      </c>
      <c r="AB202" s="4">
        <f t="shared" ca="1" si="75"/>
        <v>3.6820083682009841E-3</v>
      </c>
      <c r="AC202" s="4">
        <f t="shared" ca="1" si="76"/>
        <v>-1.5151515151515138E-2</v>
      </c>
      <c r="AD202" s="4"/>
      <c r="AE202" s="2" cm="1">
        <f t="array" aca="1" ref="AE202" ca="1">SUMPRODUCT(Q202:AB202,TRANSPOSE(Insights.!$H$4:$H$15))</f>
        <v>-9.822862226397373E-3</v>
      </c>
      <c r="AG202" s="10" vm="3057">
        <f ca="1"/>
        <v>45943</v>
      </c>
      <c r="AH202" s="1" vm="840">
        <f ca="1"/>
        <v>108.9</v>
      </c>
      <c r="AI202" s="2">
        <f t="shared" ca="1" si="72"/>
        <v>-3.6730945821861205E-4</v>
      </c>
      <c r="AJ202" s="1" vm="3070">
        <f ca="1"/>
        <v>108.755</v>
      </c>
      <c r="AK202" s="2">
        <f t="shared" ca="1" si="77"/>
        <v>-5.0112638499379969E-3</v>
      </c>
      <c r="AL202" s="1" vm="3071">
        <f ca="1"/>
        <v>56.05</v>
      </c>
      <c r="AM202" s="2">
        <f t="shared" ca="1" si="78"/>
        <v>6.6012488849243045E-3</v>
      </c>
      <c r="AO202" s="9">
        <f t="shared" ca="1" si="79"/>
        <v>101.51870032453547</v>
      </c>
      <c r="AP202">
        <f t="shared" ca="1" si="80"/>
        <v>100.98293768546</v>
      </c>
      <c r="AQ202">
        <f t="shared" ca="1" si="81"/>
        <v>103.28110161443509</v>
      </c>
      <c r="AR202">
        <f t="shared" ca="1" si="82"/>
        <v>114.28280150881851</v>
      </c>
      <c r="AT202" s="21">
        <f ca="1">MAX($AO$3:AO203)</f>
        <v>106.96839029133979</v>
      </c>
      <c r="AU202" s="2">
        <f t="shared" ca="1" si="83"/>
        <v>-5.0946732506317982E-2</v>
      </c>
    </row>
    <row r="203" spans="1:47" x14ac:dyDescent="0.25">
      <c r="A203" vm="3072">
        <f ca="1"/>
        <v>45944</v>
      </c>
      <c r="B203" vm="3073">
        <f ca="1"/>
        <v>155.16</v>
      </c>
      <c r="C203" vm="2988">
        <f ca="1"/>
        <v>260</v>
      </c>
      <c r="D203" vm="3074">
        <f ca="1"/>
        <v>298.75</v>
      </c>
      <c r="E203" vm="3075">
        <f ca="1"/>
        <v>207.85</v>
      </c>
      <c r="F203" vm="2346">
        <f ca="1"/>
        <v>186.22</v>
      </c>
      <c r="G203" vm="3076">
        <f ca="1"/>
        <v>177.65</v>
      </c>
      <c r="H203" vm="3077">
        <f ca="1"/>
        <v>442.75</v>
      </c>
      <c r="I203" vm="3078">
        <f ca="1"/>
        <v>128.18</v>
      </c>
      <c r="J203" vm="3079">
        <f ca="1"/>
        <v>417.85</v>
      </c>
      <c r="K203" vm="825">
        <f ca="1"/>
        <v>115</v>
      </c>
      <c r="L203" vm="3080">
        <f ca="1"/>
        <v>297.25</v>
      </c>
      <c r="M203" vm="3081">
        <f ca="1"/>
        <v>261.39999999999998</v>
      </c>
      <c r="N203" vm="3082">
        <f ca="1"/>
        <v>14.6</v>
      </c>
      <c r="O203" vm="3083">
        <f ca="1"/>
        <v>599.70000000000005</v>
      </c>
      <c r="Q203" s="4">
        <f t="shared" ca="1" si="63"/>
        <v>1.3698630136986356E-2</v>
      </c>
      <c r="R203" s="4">
        <f t="shared" ca="1" si="64"/>
        <v>-1.7079624729372078E-2</v>
      </c>
      <c r="S203" s="4">
        <f t="shared" ca="1" si="65"/>
        <v>2.9833943146636566E-2</v>
      </c>
      <c r="T203" s="4">
        <f t="shared" ca="1" si="73"/>
        <v>-1.2014354813543515E-2</v>
      </c>
      <c r="U203" s="4">
        <f t="shared" ca="1" si="74"/>
        <v>1.2085676678233792E-2</v>
      </c>
      <c r="V203" s="4">
        <f t="shared" ca="1" si="66"/>
        <v>-4.6403712296984034E-3</v>
      </c>
      <c r="W203" s="4">
        <f t="shared" ca="1" si="67"/>
        <v>-6.6587906776931494E-3</v>
      </c>
      <c r="X203" s="4">
        <f t="shared" ca="1" si="68"/>
        <v>1.5876052027544052E-2</v>
      </c>
      <c r="Y203" s="4">
        <f t="shared" ca="1" si="69"/>
        <v>-4.351464435146446E-3</v>
      </c>
      <c r="Z203" s="4">
        <f t="shared" ca="1" si="70"/>
        <v>2.4726661059714106E-2</v>
      </c>
      <c r="AA203" s="4">
        <f t="shared" ca="1" si="71"/>
        <v>-3.5008469791079078E-3</v>
      </c>
      <c r="AB203" s="4">
        <f t="shared" ca="1" si="75"/>
        <v>-2.3511755877938967E-2</v>
      </c>
      <c r="AC203" s="4">
        <f t="shared" ca="1" si="76"/>
        <v>3.8461538461538325E-3</v>
      </c>
      <c r="AD203" s="4"/>
      <c r="AE203" s="2" cm="1">
        <f t="array" aca="1" ref="AE203" ca="1">SUMPRODUCT(Q203:AB203,TRANSPOSE(Insights.!$H$4:$H$15))</f>
        <v>2.4421535027686165E-3</v>
      </c>
      <c r="AG203" s="10" vm="3072">
        <f ca="1"/>
        <v>45944</v>
      </c>
      <c r="AH203" s="1" vm="3084">
        <f ca="1"/>
        <v>108.86</v>
      </c>
      <c r="AI203" s="2">
        <f t="shared" ca="1" si="72"/>
        <v>-8.0837773286790426E-3</v>
      </c>
      <c r="AJ203" s="1" vm="3085">
        <f ca="1"/>
        <v>108.21</v>
      </c>
      <c r="AK203" s="2">
        <f t="shared" ca="1" si="77"/>
        <v>6.6537288605490463E-3</v>
      </c>
      <c r="AL203" s="1" vm="3086">
        <f ca="1"/>
        <v>56.42</v>
      </c>
      <c r="AM203" s="2">
        <f t="shared" ca="1" si="78"/>
        <v>-5.494505494505586E-3</v>
      </c>
      <c r="AO203" s="9">
        <f t="shared" ca="1" si="79"/>
        <v>100.52149611784463</v>
      </c>
      <c r="AP203">
        <f t="shared" ca="1" si="80"/>
        <v>100.94584569732943</v>
      </c>
      <c r="AQ203">
        <f t="shared" ca="1" si="81"/>
        <v>102.76353276353289</v>
      </c>
      <c r="AR203">
        <f t="shared" ca="1" si="82"/>
        <v>115.03721072484463</v>
      </c>
      <c r="AT203" s="21">
        <f ca="1">MAX($AO$3:AO204)</f>
        <v>106.96839029133979</v>
      </c>
      <c r="AU203" s="2">
        <f t="shared" ca="1" si="83"/>
        <v>-6.0269151998420756E-2</v>
      </c>
    </row>
    <row r="204" spans="1:47" x14ac:dyDescent="0.25">
      <c r="A204" vm="3087">
        <f ca="1"/>
        <v>45945</v>
      </c>
      <c r="B204" vm="1057">
        <f ca="1"/>
        <v>154.44</v>
      </c>
      <c r="C204" vm="3088">
        <f ca="1"/>
        <v>261</v>
      </c>
      <c r="D204" vm="3089">
        <f ca="1"/>
        <v>297.45</v>
      </c>
      <c r="E204" vm="3090">
        <f ca="1"/>
        <v>204.3</v>
      </c>
      <c r="F204" vm="3091">
        <f ca="1"/>
        <v>184.98</v>
      </c>
      <c r="G204" vm="3092">
        <f ca="1"/>
        <v>182.95</v>
      </c>
      <c r="H204" vm="3093">
        <f ca="1"/>
        <v>441.2</v>
      </c>
      <c r="I204" vm="1882">
        <f ca="1"/>
        <v>126.64</v>
      </c>
      <c r="J204" vm="3094">
        <f ca="1"/>
        <v>422.9</v>
      </c>
      <c r="K204" vm="2966">
        <f ca="1"/>
        <v>108</v>
      </c>
      <c r="L204" vm="3095">
        <f ca="1"/>
        <v>304.60000000000002</v>
      </c>
      <c r="M204" vm="3096">
        <f ca="1"/>
        <v>265.55</v>
      </c>
      <c r="N204" vm="3097">
        <f ca="1"/>
        <v>14.8</v>
      </c>
      <c r="O204" vm="1549">
        <f ca="1"/>
        <v>585.6</v>
      </c>
      <c r="Q204" s="4">
        <f t="shared" ca="1" si="63"/>
        <v>-1.5202702702702853E-2</v>
      </c>
      <c r="R204" s="4">
        <f t="shared" ca="1" si="64"/>
        <v>2.7410670582476815E-2</v>
      </c>
      <c r="S204" s="4">
        <f t="shared" ca="1" si="65"/>
        <v>-1.4758130636785993E-2</v>
      </c>
      <c r="T204" s="4">
        <f t="shared" ca="1" si="73"/>
        <v>9.3177511054958195E-3</v>
      </c>
      <c r="U204" s="4">
        <f t="shared" ca="1" si="74"/>
        <v>-4.4454953889808357E-2</v>
      </c>
      <c r="V204" s="4">
        <f t="shared" ca="1" si="66"/>
        <v>6.2160062160063756E-3</v>
      </c>
      <c r="W204" s="4">
        <f t="shared" ca="1" si="67"/>
        <v>-1.0703859876743382E-2</v>
      </c>
      <c r="X204" s="4">
        <f t="shared" ca="1" si="68"/>
        <v>-2.3347768781773581E-2</v>
      </c>
      <c r="Y204" s="4">
        <f t="shared" ca="1" si="69"/>
        <v>-3.5636241385106682E-2</v>
      </c>
      <c r="Z204" s="4">
        <f t="shared" ca="1" si="70"/>
        <v>3.6112934996714863E-3</v>
      </c>
      <c r="AA204" s="4">
        <f t="shared" ca="1" si="71"/>
        <v>-8.6128739800543919E-3</v>
      </c>
      <c r="AB204" s="4">
        <f t="shared" ca="1" si="75"/>
        <v>-1.6051912568305959E-2</v>
      </c>
      <c r="AC204" s="4">
        <f t="shared" ca="1" si="76"/>
        <v>-1.5325670498084309E-2</v>
      </c>
      <c r="AD204" s="4"/>
      <c r="AE204" s="2" cm="1">
        <f t="array" aca="1" ref="AE204" ca="1">SUMPRODUCT(Q204:AB204,TRANSPOSE(Insights.!$H$4:$H$15))</f>
        <v>-9.7515895431100254E-3</v>
      </c>
      <c r="AG204" s="10" vm="3087">
        <f ca="1"/>
        <v>45945</v>
      </c>
      <c r="AH204" s="1" vm="3098">
        <f ca="1"/>
        <v>107.98</v>
      </c>
      <c r="AI204" s="2">
        <f t="shared" ca="1" si="72"/>
        <v>-8.3348768290425479E-4</v>
      </c>
      <c r="AJ204" s="1" vm="3099">
        <f ca="1"/>
        <v>108.93</v>
      </c>
      <c r="AK204" s="2">
        <f t="shared" ca="1" si="77"/>
        <v>-1.6524373450840235E-3</v>
      </c>
      <c r="AL204" s="1" vm="3100">
        <f ca="1"/>
        <v>56.11</v>
      </c>
      <c r="AM204" s="2">
        <f t="shared" ca="1" si="78"/>
        <v>1.2831937266084559E-2</v>
      </c>
      <c r="AO204" s="9">
        <f t="shared" ca="1" si="79"/>
        <v>100.76698504169237</v>
      </c>
      <c r="AP204">
        <f t="shared" ca="1" si="80"/>
        <v>100.12982195845703</v>
      </c>
      <c r="AQ204">
        <f t="shared" ca="1" si="81"/>
        <v>103.44729344729359</v>
      </c>
      <c r="AR204">
        <f t="shared" ca="1" si="82"/>
        <v>114.40513813844437</v>
      </c>
      <c r="AT204" s="21">
        <f ca="1">MAX($AO$3:AO205)</f>
        <v>106.96839029133979</v>
      </c>
      <c r="AU204" s="2">
        <f t="shared" ca="1" si="83"/>
        <v>-5.7974185016314017E-2</v>
      </c>
    </row>
    <row r="205" spans="1:47" x14ac:dyDescent="0.25">
      <c r="A205" vm="3101">
        <f ca="1"/>
        <v>45946</v>
      </c>
      <c r="B205" vm="3102">
        <f ca="1"/>
        <v>155.4</v>
      </c>
      <c r="C205" vm="3103">
        <f ca="1"/>
        <v>257</v>
      </c>
      <c r="D205" vm="3104">
        <f ca="1"/>
        <v>286.85000000000002</v>
      </c>
      <c r="E205" vm="3105">
        <f ca="1"/>
        <v>209.9</v>
      </c>
      <c r="F205" vm="619">
        <f ca="1"/>
        <v>183</v>
      </c>
      <c r="G205" vm="2746">
        <f ca="1"/>
        <v>180.25</v>
      </c>
      <c r="H205" vm="3106">
        <f ca="1"/>
        <v>437.4</v>
      </c>
      <c r="I205" vm="3107">
        <f ca="1"/>
        <v>127.82</v>
      </c>
      <c r="J205" vm="3108">
        <f ca="1"/>
        <v>404.1</v>
      </c>
      <c r="K205" vm="3109">
        <f ca="1"/>
        <v>104</v>
      </c>
      <c r="L205" vm="589">
        <f ca="1"/>
        <v>305.7</v>
      </c>
      <c r="M205" vm="1479">
        <f ca="1"/>
        <v>259.35000000000002</v>
      </c>
      <c r="N205" vm="3110">
        <f ca="1"/>
        <v>14.574999999999999</v>
      </c>
      <c r="O205" vm="3111">
        <f ca="1"/>
        <v>576.20000000000005</v>
      </c>
      <c r="Q205" s="4">
        <f t="shared" ca="1" si="63"/>
        <v>3.979416809605496E-2</v>
      </c>
      <c r="R205" s="4">
        <f t="shared" ca="1" si="64"/>
        <v>-3.3349213911386677E-3</v>
      </c>
      <c r="S205" s="4">
        <f t="shared" ca="1" si="65"/>
        <v>-5.8252427184466438E-3</v>
      </c>
      <c r="T205" s="4">
        <f t="shared" ca="1" si="73"/>
        <v>1.5021123454858509E-2</v>
      </c>
      <c r="U205" s="4">
        <f t="shared" ca="1" si="74"/>
        <v>7.1764414748825001E-3</v>
      </c>
      <c r="V205" s="4">
        <f t="shared" ca="1" si="66"/>
        <v>1.0553410553410414E-2</v>
      </c>
      <c r="W205" s="4">
        <f t="shared" ca="1" si="67"/>
        <v>-1.8579234972677661E-3</v>
      </c>
      <c r="X205" s="4">
        <f t="shared" ca="1" si="68"/>
        <v>-1.5423173317910321E-2</v>
      </c>
      <c r="Y205" s="4">
        <f t="shared" ca="1" si="69"/>
        <v>2.196269827435926E-2</v>
      </c>
      <c r="Z205" s="4">
        <f t="shared" ca="1" si="70"/>
        <v>-4.0889761203794617E-2</v>
      </c>
      <c r="AA205" s="4">
        <f t="shared" ca="1" si="71"/>
        <v>8.0018289894834282E-4</v>
      </c>
      <c r="AB205" s="4">
        <f t="shared" ca="1" si="75"/>
        <v>-8.6775425199583367E-3</v>
      </c>
      <c r="AC205" s="4">
        <f t="shared" ca="1" si="76"/>
        <v>-7.7821011673151474E-3</v>
      </c>
      <c r="AD205" s="4"/>
      <c r="AE205" s="2" cm="1">
        <f t="array" aca="1" ref="AE205" ca="1">SUMPRODUCT(Q205:AB205,TRANSPOSE(Insights.!$H$4:$H$15))</f>
        <v>-4.0888106173914379E-4</v>
      </c>
      <c r="AG205" s="10" vm="3101">
        <f ca="1"/>
        <v>45946</v>
      </c>
      <c r="AH205" s="1" vm="3112">
        <f ca="1"/>
        <v>107.89</v>
      </c>
      <c r="AI205" s="2">
        <f t="shared" ca="1" si="72"/>
        <v>-9.7321345815182259E-4</v>
      </c>
      <c r="AJ205" s="1" vm="3113">
        <f ca="1"/>
        <v>108.75</v>
      </c>
      <c r="AK205" s="2">
        <f t="shared" ca="1" si="77"/>
        <v>-9.9310344827585606E-3</v>
      </c>
      <c r="AL205" s="1" vm="3114">
        <f ca="1"/>
        <v>56.83</v>
      </c>
      <c r="AM205" s="2">
        <f t="shared" ca="1" si="78"/>
        <v>-5.2789019883869859E-4</v>
      </c>
      <c r="AO205" s="9">
        <f t="shared" ca="1" si="79"/>
        <v>99.78434676406907</v>
      </c>
      <c r="AP205">
        <f t="shared" ca="1" si="80"/>
        <v>100.04636498516327</v>
      </c>
      <c r="AQ205">
        <f t="shared" ca="1" si="81"/>
        <v>103.27635327635342</v>
      </c>
      <c r="AR205">
        <f t="shared" ca="1" si="82"/>
        <v>115.87317769395463</v>
      </c>
      <c r="AT205" s="21">
        <f ca="1">MAX($AO$3:AO206)</f>
        <v>106.96839029133979</v>
      </c>
      <c r="AU205" s="2">
        <f t="shared" ca="1" si="83"/>
        <v>-6.7160434103048616E-2</v>
      </c>
    </row>
    <row r="206" spans="1:47" x14ac:dyDescent="0.25">
      <c r="A206" vm="3115">
        <f ca="1"/>
        <v>45947</v>
      </c>
      <c r="B206" vm="3116">
        <f ca="1"/>
        <v>157.04</v>
      </c>
      <c r="C206" vm="3117">
        <f ca="1"/>
        <v>255</v>
      </c>
      <c r="D206" vm="3118">
        <f ca="1"/>
        <v>293.14999999999998</v>
      </c>
      <c r="E206" vm="3119">
        <f ca="1"/>
        <v>209.2</v>
      </c>
      <c r="F206" vm="1436">
        <f ca="1"/>
        <v>182.66</v>
      </c>
      <c r="G206" vm="635">
        <f ca="1"/>
        <v>179.2</v>
      </c>
      <c r="H206" vm="3120">
        <f ca="1"/>
        <v>437.75</v>
      </c>
      <c r="I206" vm="3018">
        <f ca="1"/>
        <v>129.74</v>
      </c>
      <c r="J206" vm="3121">
        <f ca="1"/>
        <v>407</v>
      </c>
      <c r="K206" vm="3122">
        <f ca="1"/>
        <v>99</v>
      </c>
      <c r="L206" vm="3123">
        <f ca="1"/>
        <v>293.2</v>
      </c>
      <c r="M206" vm="888">
        <f ca="1"/>
        <v>255.35</v>
      </c>
      <c r="N206" vm="2643">
        <f ca="1"/>
        <v>15.154999999999999</v>
      </c>
      <c r="O206" vm="3124">
        <f ca="1"/>
        <v>571.20000000000005</v>
      </c>
      <c r="Q206" s="4">
        <f t="shared" ca="1" si="63"/>
        <v>3.0023094688221619E-2</v>
      </c>
      <c r="R206" s="4">
        <f t="shared" ca="1" si="64"/>
        <v>4.2543021032504846E-2</v>
      </c>
      <c r="S206" s="4">
        <f t="shared" ca="1" si="65"/>
        <v>-6.6964285714285698E-2</v>
      </c>
      <c r="T206" s="4">
        <f t="shared" ca="1" si="73"/>
        <v>5.8578695853244156E-3</v>
      </c>
      <c r="U206" s="4">
        <f t="shared" ca="1" si="74"/>
        <v>7.6167076167077408E-3</v>
      </c>
      <c r="V206" s="4">
        <f t="shared" ca="1" si="66"/>
        <v>7.6413652572604462E-4</v>
      </c>
      <c r="W206" s="4">
        <f t="shared" ca="1" si="67"/>
        <v>1.7956859739406639E-2</v>
      </c>
      <c r="X206" s="4">
        <f t="shared" ca="1" si="68"/>
        <v>1.1944390052868625E-2</v>
      </c>
      <c r="Y206" s="4">
        <f t="shared" ca="1" si="69"/>
        <v>1.1086474501108556E-2</v>
      </c>
      <c r="Z206" s="4">
        <f t="shared" ca="1" si="70"/>
        <v>3.0354706684856847E-2</v>
      </c>
      <c r="AA206" s="4">
        <f t="shared" ca="1" si="71"/>
        <v>1.2107367218732179E-2</v>
      </c>
      <c r="AB206" s="4">
        <f t="shared" ca="1" si="75"/>
        <v>1.7331932773109182E-2</v>
      </c>
      <c r="AC206" s="4">
        <f t="shared" ca="1" si="76"/>
        <v>1.1764705882352899E-2</v>
      </c>
      <c r="AD206" s="4"/>
      <c r="AE206" s="2" cm="1">
        <f t="array" aca="1" ref="AE206" ca="1">SUMPRODUCT(Q206:AB206,TRANSPOSE(Insights.!$H$4:$H$15))</f>
        <v>1.1313008038180731E-2</v>
      </c>
      <c r="AG206" s="10" vm="3115">
        <f ca="1"/>
        <v>45947</v>
      </c>
      <c r="AH206" s="1" vm="3125">
        <f ca="1"/>
        <v>107.785</v>
      </c>
      <c r="AI206" s="2">
        <f t="shared" ca="1" si="72"/>
        <v>1.7534907454655135E-2</v>
      </c>
      <c r="AJ206" s="1" vm="3126">
        <f ca="1"/>
        <v>107.67</v>
      </c>
      <c r="AK206" s="2">
        <f t="shared" ca="1" si="77"/>
        <v>1.7042816011888062E-2</v>
      </c>
      <c r="AL206" s="1" vm="3127">
        <f ca="1"/>
        <v>56.8</v>
      </c>
      <c r="AM206" s="2">
        <f t="shared" ca="1" si="78"/>
        <v>8.8028169014084945E-3</v>
      </c>
      <c r="AO206" s="9">
        <f t="shared" ca="1" si="79"/>
        <v>99.74354683441922</v>
      </c>
      <c r="AP206">
        <f t="shared" ca="1" si="80"/>
        <v>99.948998516320529</v>
      </c>
      <c r="AQ206">
        <f t="shared" ca="1" si="81"/>
        <v>102.2507122507124</v>
      </c>
      <c r="AR206">
        <f t="shared" ca="1" si="82"/>
        <v>115.8120093791417</v>
      </c>
      <c r="AT206" s="21">
        <f ca="1">MAX($AO$3:AO207)</f>
        <v>106.96839029133979</v>
      </c>
      <c r="AU206" s="2">
        <f t="shared" ca="1" si="83"/>
        <v>-6.754185453518502E-2</v>
      </c>
    </row>
    <row r="207" spans="1:47" x14ac:dyDescent="0.25">
      <c r="A207" vm="3128">
        <f ca="1"/>
        <v>45950</v>
      </c>
      <c r="B207" vm="3129">
        <f ca="1"/>
        <v>157.16</v>
      </c>
      <c r="C207" vm="3130">
        <f ca="1"/>
        <v>258</v>
      </c>
      <c r="D207" vm="2475">
        <f ca="1"/>
        <v>296.39999999999998</v>
      </c>
      <c r="E207" vm="3131">
        <f ca="1"/>
        <v>218.1</v>
      </c>
      <c r="F207" vm="3132">
        <f ca="1"/>
        <v>185.94</v>
      </c>
      <c r="G207" vm="2503">
        <f ca="1"/>
        <v>167.2</v>
      </c>
      <c r="H207" vm="3133">
        <f ca="1"/>
        <v>443.05</v>
      </c>
      <c r="I207" vm="639">
        <f ca="1"/>
        <v>130.5</v>
      </c>
      <c r="J207" vm="3134">
        <f ca="1"/>
        <v>410.1</v>
      </c>
      <c r="K207" vm="3135">
        <f ca="1"/>
        <v>94</v>
      </c>
      <c r="L207" vm="3136">
        <f ca="1"/>
        <v>302.10000000000002</v>
      </c>
      <c r="M207" vm="3137">
        <f ca="1"/>
        <v>258.39999999999998</v>
      </c>
      <c r="N207" vm="3138">
        <f ca="1"/>
        <v>15.61</v>
      </c>
      <c r="O207" vm="3139">
        <f ca="1"/>
        <v>581.1</v>
      </c>
      <c r="Q207" s="4">
        <f t="shared" ca="1" si="63"/>
        <v>7.0467648942986738E-3</v>
      </c>
      <c r="R207" s="4">
        <f t="shared" ca="1" si="64"/>
        <v>4.4475011462631997E-2</v>
      </c>
      <c r="S207" s="4">
        <f t="shared" ca="1" si="65"/>
        <v>-3.6184210526315708E-2</v>
      </c>
      <c r="T207" s="4">
        <f t="shared" ca="1" si="73"/>
        <v>1.532567049808975E-4</v>
      </c>
      <c r="U207" s="4">
        <f t="shared" ca="1" si="74"/>
        <v>9.6317971226529409E-3</v>
      </c>
      <c r="V207" s="4">
        <f t="shared" ca="1" si="66"/>
        <v>-6.108424535505308E-3</v>
      </c>
      <c r="W207" s="4">
        <f t="shared" ca="1" si="67"/>
        <v>2.990211896310635E-2</v>
      </c>
      <c r="X207" s="4">
        <f t="shared" ca="1" si="68"/>
        <v>-4.2569659442722729E-3</v>
      </c>
      <c r="Y207" s="4">
        <f t="shared" ca="1" si="69"/>
        <v>1.0627530364372584E-2</v>
      </c>
      <c r="Z207" s="4">
        <f t="shared" ca="1" si="70"/>
        <v>-1.9529956967891504E-2</v>
      </c>
      <c r="AA207" s="4">
        <f t="shared" ca="1" si="71"/>
        <v>6.4326825414737776E-3</v>
      </c>
      <c r="AB207" s="4">
        <f t="shared" ca="1" si="75"/>
        <v>2.1338840130786352E-2</v>
      </c>
      <c r="AC207" s="4">
        <f t="shared" ca="1" si="76"/>
        <v>-1.5503875968992276E-2</v>
      </c>
      <c r="AD207" s="4"/>
      <c r="AE207" s="2" cm="1">
        <f t="array" aca="1" ref="AE207" ca="1">SUMPRODUCT(Q207:AB207,TRANSPOSE(Insights.!$H$4:$H$15))</f>
        <v>6.1623861021602193E-3</v>
      </c>
      <c r="AG207" s="10" vm="3128">
        <f ca="1"/>
        <v>45950</v>
      </c>
      <c r="AH207" s="1" vm="3140">
        <f ca="1"/>
        <v>109.675</v>
      </c>
      <c r="AI207" s="2">
        <f t="shared" ca="1" si="72"/>
        <v>4.3765671301572162E-3</v>
      </c>
      <c r="AJ207" s="1" vm="3141">
        <f ca="1"/>
        <v>109.505</v>
      </c>
      <c r="AK207" s="2">
        <f t="shared" ca="1" si="77"/>
        <v>4.0180813661476744E-3</v>
      </c>
      <c r="AL207" s="1" vm="3142">
        <f ca="1"/>
        <v>57.3</v>
      </c>
      <c r="AM207" s="2">
        <f t="shared" ca="1" si="78"/>
        <v>-2.4432809773123898E-3</v>
      </c>
      <c r="AO207" s="9">
        <f t="shared" ca="1" si="79"/>
        <v>100.87194638151365</v>
      </c>
      <c r="AP207">
        <f t="shared" ca="1" si="80"/>
        <v>101.70159495548967</v>
      </c>
      <c r="AQ207">
        <f t="shared" ca="1" si="81"/>
        <v>103.99335232668579</v>
      </c>
      <c r="AR207">
        <f t="shared" ca="1" si="82"/>
        <v>116.83148129269048</v>
      </c>
      <c r="AT207" s="21">
        <f ca="1">MAX($AO$3:AO208)</f>
        <v>106.96839029133979</v>
      </c>
      <c r="AU207" s="2">
        <f t="shared" ca="1" si="83"/>
        <v>-5.6992948040274549E-2</v>
      </c>
    </row>
    <row r="208" spans="1:47" x14ac:dyDescent="0.25">
      <c r="A208" vm="3143">
        <f ca="1"/>
        <v>45951</v>
      </c>
      <c r="B208" vm="274">
        <f ca="1"/>
        <v>156.19999999999999</v>
      </c>
      <c r="C208" vm="3003">
        <f ca="1"/>
        <v>254</v>
      </c>
      <c r="D208" vm="2158">
        <f ca="1"/>
        <v>299.55</v>
      </c>
      <c r="E208" vm="3144">
        <f ca="1"/>
        <v>227.8</v>
      </c>
      <c r="F208" vm="3145">
        <f ca="1"/>
        <v>191.5</v>
      </c>
      <c r="G208" vm="3146">
        <f ca="1"/>
        <v>161.15</v>
      </c>
      <c r="H208" vm="3147">
        <f ca="1"/>
        <v>445.9</v>
      </c>
      <c r="I208" vm="3148">
        <f ca="1"/>
        <v>130.52000000000001</v>
      </c>
      <c r="J208" vm="3149">
        <f ca="1"/>
        <v>414.05</v>
      </c>
      <c r="K208" vm="3150">
        <f ca="1"/>
        <v>87.5</v>
      </c>
      <c r="L208" vm="3151">
        <f ca="1"/>
        <v>296.2</v>
      </c>
      <c r="M208" vm="2310">
        <f ca="1"/>
        <v>257.3</v>
      </c>
      <c r="N208" vm="3152">
        <f ca="1"/>
        <v>15.72</v>
      </c>
      <c r="O208" vm="3153">
        <f ca="1"/>
        <v>593.5</v>
      </c>
      <c r="Q208" s="4">
        <f t="shared" ca="1" si="63"/>
        <v>-1.2086513994911008E-2</v>
      </c>
      <c r="R208" s="4">
        <f t="shared" ca="1" si="64"/>
        <v>-2.6338893766461813E-2</v>
      </c>
      <c r="S208" s="4">
        <f t="shared" ca="1" si="65"/>
        <v>-2.482159478746504E-2</v>
      </c>
      <c r="T208" s="4">
        <f t="shared" ca="1" si="73"/>
        <v>4.2905301869444745E-3</v>
      </c>
      <c r="U208" s="4">
        <f t="shared" ca="1" si="74"/>
        <v>5.9171597633136397E-3</v>
      </c>
      <c r="V208" s="4">
        <f t="shared" ca="1" si="66"/>
        <v>-7.554417413572212E-3</v>
      </c>
      <c r="W208" s="4">
        <f t="shared" ca="1" si="67"/>
        <v>-1.8276762402088753E-2</v>
      </c>
      <c r="X208" s="4">
        <f t="shared" ca="1" si="68"/>
        <v>-2.2930431403031526E-2</v>
      </c>
      <c r="Y208" s="4">
        <f t="shared" ca="1" si="69"/>
        <v>-7.8451009848106157E-3</v>
      </c>
      <c r="Z208" s="4">
        <f t="shared" ca="1" si="70"/>
        <v>-1.7218095881161299E-2</v>
      </c>
      <c r="AA208" s="4">
        <f t="shared" ca="1" si="71"/>
        <v>5.2702399641175735E-3</v>
      </c>
      <c r="AB208" s="4">
        <f t="shared" ca="1" si="75"/>
        <v>-3.0665543386689254E-2</v>
      </c>
      <c r="AC208" s="4">
        <f t="shared" ca="1" si="76"/>
        <v>-2.3622047244094446E-2</v>
      </c>
      <c r="AD208" s="4"/>
      <c r="AE208" s="2" cm="1">
        <f t="array" aca="1" ref="AE208" ca="1">SUMPRODUCT(Q208:AB208,TRANSPOSE(Insights.!$H$4:$H$15))</f>
        <v>-1.2560728739646145E-2</v>
      </c>
      <c r="AG208" s="10" vm="3143">
        <f ca="1"/>
        <v>45951</v>
      </c>
      <c r="AH208" s="1" vm="3154">
        <f ca="1"/>
        <v>110.155</v>
      </c>
      <c r="AI208" s="2">
        <f t="shared" ca="1" si="72"/>
        <v>-1.2482411147927919E-2</v>
      </c>
      <c r="AJ208" s="1" vm="3155">
        <f ca="1"/>
        <v>109.94499999999999</v>
      </c>
      <c r="AK208" s="2">
        <f t="shared" ca="1" si="77"/>
        <v>-5.6391832279775178E-3</v>
      </c>
      <c r="AL208" s="1" vm="3156">
        <f ca="1"/>
        <v>57.16</v>
      </c>
      <c r="AM208" s="2">
        <f t="shared" ca="1" si="78"/>
        <v>-1.0321903428971213E-2</v>
      </c>
      <c r="AO208" s="9">
        <f t="shared" ca="1" si="79"/>
        <v>101.49355826199294</v>
      </c>
      <c r="AP208">
        <f t="shared" ca="1" si="80"/>
        <v>102.14669881305643</v>
      </c>
      <c r="AQ208">
        <f t="shared" ca="1" si="81"/>
        <v>104.41120607787288</v>
      </c>
      <c r="AR208">
        <f t="shared" ca="1" si="82"/>
        <v>116.54602915689682</v>
      </c>
      <c r="AT208" s="21">
        <f ca="1">MAX($AO$3:AO209)</f>
        <v>106.96839029133979</v>
      </c>
      <c r="AU208" s="2">
        <f t="shared" ca="1" si="83"/>
        <v>-5.1181774489038823E-2</v>
      </c>
    </row>
    <row r="209" spans="1:47" x14ac:dyDescent="0.25">
      <c r="A209" vm="3157">
        <f ca="1"/>
        <v>45952</v>
      </c>
      <c r="B209" vm="3158">
        <f ca="1"/>
        <v>155.02000000000001</v>
      </c>
      <c r="C209" vm="2080">
        <f ca="1"/>
        <v>248</v>
      </c>
      <c r="D209" vm="3159">
        <f ca="1"/>
        <v>297.2</v>
      </c>
      <c r="E209" vm="438">
        <f ca="1"/>
        <v>221.8</v>
      </c>
      <c r="F209" vm="604">
        <f ca="1"/>
        <v>188</v>
      </c>
      <c r="G209" vm="3160">
        <f ca="1"/>
        <v>157.15</v>
      </c>
      <c r="H209" vm="3161">
        <f ca="1"/>
        <v>448.25</v>
      </c>
      <c r="I209" vm="3162">
        <f ca="1"/>
        <v>131.08000000000001</v>
      </c>
      <c r="J209" vm="3163">
        <f ca="1"/>
        <v>416.5</v>
      </c>
      <c r="K209" vm="3164">
        <f ca="1"/>
        <v>81</v>
      </c>
      <c r="L209" vm="637">
        <f ca="1"/>
        <v>291.10000000000002</v>
      </c>
      <c r="M209" vm="2050">
        <f ca="1"/>
        <v>251.4</v>
      </c>
      <c r="N209" vm="3165">
        <f ca="1"/>
        <v>15.53</v>
      </c>
      <c r="O209" vm="3166">
        <f ca="1"/>
        <v>575.29999999999995</v>
      </c>
      <c r="Q209" s="4">
        <f t="shared" ca="1" si="63"/>
        <v>7.4050225370250189E-3</v>
      </c>
      <c r="R209" s="4">
        <f t="shared" ca="1" si="64"/>
        <v>-9.0171325518485501E-3</v>
      </c>
      <c r="S209" s="4">
        <f t="shared" ca="1" si="65"/>
        <v>4.9952274896595483E-2</v>
      </c>
      <c r="T209" s="4">
        <f t="shared" ca="1" si="73"/>
        <v>-5.0350930729327059E-3</v>
      </c>
      <c r="U209" s="4">
        <f t="shared" ca="1" si="74"/>
        <v>-5.1620648259302904E-3</v>
      </c>
      <c r="V209" s="4">
        <f t="shared" ca="1" si="66"/>
        <v>1.5997935750225789E-2</v>
      </c>
      <c r="W209" s="4">
        <f t="shared" ca="1" si="67"/>
        <v>1.0425531914893593E-2</v>
      </c>
      <c r="X209" s="4">
        <f t="shared" ca="1" si="68"/>
        <v>1.2132060461415906E-2</v>
      </c>
      <c r="Y209" s="4">
        <f t="shared" ca="1" si="69"/>
        <v>-6.7294751009416842E-4</v>
      </c>
      <c r="Z209" s="4">
        <f t="shared" ca="1" si="70"/>
        <v>2.0439711439367958E-2</v>
      </c>
      <c r="AA209" s="4">
        <f t="shared" ca="1" si="71"/>
        <v>2.5655326268823053E-3</v>
      </c>
      <c r="AB209" s="4">
        <f t="shared" ca="1" si="75"/>
        <v>8.5172953241787752E-3</v>
      </c>
      <c r="AC209" s="4">
        <f t="shared" ca="1" si="76"/>
        <v>6.0483870967742437E-3</v>
      </c>
      <c r="AD209" s="4"/>
      <c r="AE209" s="2" cm="1">
        <f t="array" aca="1" ref="AE209" ca="1">SUMPRODUCT(Q209:AB209,TRANSPOSE(Insights.!$H$4:$H$15))</f>
        <v>7.3213508225476003E-3</v>
      </c>
      <c r="AG209" s="10" vm="3157">
        <f ca="1"/>
        <v>45952</v>
      </c>
      <c r="AH209" s="1" vm="3167">
        <f ca="1"/>
        <v>108.78</v>
      </c>
      <c r="AI209" s="2">
        <f t="shared" ca="1" si="72"/>
        <v>1.2134583563154999E-2</v>
      </c>
      <c r="AJ209" s="1" vm="3168">
        <f ca="1"/>
        <v>109.325</v>
      </c>
      <c r="AK209" s="2">
        <f t="shared" ca="1" si="77"/>
        <v>3.8874914246511683E-3</v>
      </c>
      <c r="AL209" s="1" vm="3169">
        <f ca="1"/>
        <v>56.57</v>
      </c>
      <c r="AM209" s="2">
        <f t="shared" ca="1" si="78"/>
        <v>9.1921513169526126E-3</v>
      </c>
      <c r="AO209" s="9">
        <f t="shared" ca="1" si="79"/>
        <v>100.21872520784257</v>
      </c>
      <c r="AP209">
        <f t="shared" ca="1" si="80"/>
        <v>100.87166172106831</v>
      </c>
      <c r="AQ209">
        <f t="shared" ca="1" si="81"/>
        <v>103.82241215574562</v>
      </c>
      <c r="AR209">
        <f t="shared" ca="1" si="82"/>
        <v>115.34305229890927</v>
      </c>
      <c r="AT209" s="21">
        <f ca="1">MAX($AO$3:AO210)</f>
        <v>106.96839029133979</v>
      </c>
      <c r="AU209" s="2">
        <f t="shared" ca="1" si="83"/>
        <v>-6.3099622842914482E-2</v>
      </c>
    </row>
    <row r="210" spans="1:47" x14ac:dyDescent="0.25">
      <c r="A210" vm="3170">
        <f ca="1"/>
        <v>45953</v>
      </c>
      <c r="B210" vm="3171">
        <f ca="1"/>
        <v>157.5</v>
      </c>
      <c r="C210" vm="2508">
        <f ca="1"/>
        <v>249.5</v>
      </c>
      <c r="D210" vm="1200">
        <f ca="1"/>
        <v>297</v>
      </c>
      <c r="E210" vm="3172">
        <f ca="1"/>
        <v>219.8</v>
      </c>
      <c r="F210" vm="1480">
        <f ca="1"/>
        <v>189.96</v>
      </c>
      <c r="G210" vm="2205">
        <f ca="1"/>
        <v>165</v>
      </c>
      <c r="H210" vm="3007">
        <f ca="1"/>
        <v>449.4</v>
      </c>
      <c r="I210" vm="2871">
        <f ca="1"/>
        <v>130.41999999999999</v>
      </c>
      <c r="J210" vm="3173">
        <f ca="1"/>
        <v>414.35</v>
      </c>
      <c r="K210" vm="2887">
        <f ca="1"/>
        <v>92.5</v>
      </c>
      <c r="L210" vm="2128">
        <f ca="1"/>
        <v>297.05</v>
      </c>
      <c r="M210" vm="3174">
        <f ca="1"/>
        <v>254.45</v>
      </c>
      <c r="N210" vm="3175">
        <f ca="1"/>
        <v>15.645</v>
      </c>
      <c r="O210" vm="3176">
        <f ca="1"/>
        <v>580.20000000000005</v>
      </c>
      <c r="Q210" s="4">
        <f t="shared" ca="1" si="63"/>
        <v>-1.3742409715564063E-2</v>
      </c>
      <c r="R210" s="4">
        <f t="shared" ca="1" si="64"/>
        <v>-1.5923566878981443E-3</v>
      </c>
      <c r="S210" s="4">
        <f t="shared" ca="1" si="65"/>
        <v>3.0303030303030276E-2</v>
      </c>
      <c r="T210" s="4">
        <f t="shared" ca="1" si="73"/>
        <v>7.0541328017177385E-3</v>
      </c>
      <c r="U210" s="4">
        <f t="shared" ca="1" si="74"/>
        <v>1.6893930252202205E-2</v>
      </c>
      <c r="V210" s="4">
        <f t="shared" ca="1" si="66"/>
        <v>1.6634920634920558E-2</v>
      </c>
      <c r="W210" s="4">
        <f t="shared" ca="1" si="67"/>
        <v>1.8846072857443552E-2</v>
      </c>
      <c r="X210" s="4">
        <f t="shared" ca="1" si="68"/>
        <v>1.3755158184319161E-2</v>
      </c>
      <c r="Y210" s="4">
        <f t="shared" ca="1" si="69"/>
        <v>6.3973063973064015E-3</v>
      </c>
      <c r="Z210" s="4">
        <f t="shared" ca="1" si="70"/>
        <v>3.4505975425012547E-2</v>
      </c>
      <c r="AA210" s="4">
        <f t="shared" ca="1" si="71"/>
        <v>4.8954161103695881E-3</v>
      </c>
      <c r="AB210" s="4">
        <f t="shared" ca="1" si="75"/>
        <v>-8.7900723888314491E-3</v>
      </c>
      <c r="AC210" s="4">
        <f t="shared" ca="1" si="76"/>
        <v>2.2044088176352616E-2</v>
      </c>
      <c r="AD210" s="4"/>
      <c r="AE210" s="2" cm="1">
        <f t="array" aca="1" ref="AE210" ca="1">SUMPRODUCT(Q210:AB210,TRANSPOSE(Insights.!$H$4:$H$15))</f>
        <v>9.3715016692362957E-3</v>
      </c>
      <c r="AG210" s="10" vm="3170">
        <f ca="1"/>
        <v>45953</v>
      </c>
      <c r="AH210" s="1" vm="3177">
        <f ca="1"/>
        <v>110.1</v>
      </c>
      <c r="AI210" s="2">
        <f t="shared" ca="1" si="72"/>
        <v>6.6303360581290161E-3</v>
      </c>
      <c r="AJ210" s="1" vm="3178">
        <f ca="1"/>
        <v>109.75</v>
      </c>
      <c r="AK210" s="2">
        <f t="shared" ca="1" si="77"/>
        <v>7.6082004555808602E-3</v>
      </c>
      <c r="AL210" s="1" vm="3179">
        <f ca="1"/>
        <v>57.09</v>
      </c>
      <c r="AM210" s="2">
        <f t="shared" ca="1" si="78"/>
        <v>0</v>
      </c>
      <c r="AO210" s="9">
        <f t="shared" ca="1" si="79"/>
        <v>100.95246165407768</v>
      </c>
      <c r="AP210">
        <f t="shared" ca="1" si="80"/>
        <v>102.09569732937692</v>
      </c>
      <c r="AQ210">
        <f t="shared" ca="1" si="81"/>
        <v>104.22602089268769</v>
      </c>
      <c r="AR210">
        <f t="shared" ca="1" si="82"/>
        <v>116.40330308900002</v>
      </c>
      <c r="AT210" s="21">
        <f ca="1">MAX($AO$3:AO211)</f>
        <v>106.96839029133979</v>
      </c>
      <c r="AU210" s="2">
        <f t="shared" ca="1" si="83"/>
        <v>-5.6240246495970259E-2</v>
      </c>
    </row>
    <row r="211" spans="1:47" x14ac:dyDescent="0.25">
      <c r="A211" vm="3180">
        <f ca="1"/>
        <v>45954</v>
      </c>
      <c r="B211" vm="3181">
        <f ca="1"/>
        <v>160.12</v>
      </c>
      <c r="C211" vm="3117">
        <f ca="1"/>
        <v>255</v>
      </c>
      <c r="D211" vm="2580">
        <f ca="1"/>
        <v>298.89999999999998</v>
      </c>
      <c r="E211" vm="506">
        <f ca="1"/>
        <v>219.45</v>
      </c>
      <c r="F211" vm="3182">
        <f ca="1"/>
        <v>193.54</v>
      </c>
      <c r="G211" vm="2609">
        <f ca="1"/>
        <v>170</v>
      </c>
      <c r="H211" vm="3183">
        <f ca="1"/>
        <v>451.6</v>
      </c>
      <c r="I211" vm="3184">
        <f ca="1"/>
        <v>131.34</v>
      </c>
      <c r="J211" vm="3185">
        <f ca="1"/>
        <v>421.35</v>
      </c>
      <c r="K211" vm="1136">
        <f ca="1"/>
        <v>100</v>
      </c>
      <c r="L211" vm="3186">
        <f ca="1"/>
        <v>307.3</v>
      </c>
      <c r="M211" vm="3187">
        <f ca="1"/>
        <v>257.95</v>
      </c>
      <c r="N211" vm="3188">
        <f ca="1"/>
        <v>15.43</v>
      </c>
      <c r="O211" vm="3189">
        <f ca="1"/>
        <v>575.1</v>
      </c>
      <c r="Q211" s="4">
        <f t="shared" ca="1" si="63"/>
        <v>-6.1568373298768186E-3</v>
      </c>
      <c r="R211" s="4">
        <f t="shared" ca="1" si="64"/>
        <v>1.1392116655275508E-3</v>
      </c>
      <c r="S211" s="4">
        <f t="shared" ca="1" si="65"/>
        <v>9.7058823529412308E-3</v>
      </c>
      <c r="T211" s="4">
        <f t="shared" ca="1" si="73"/>
        <v>-1.0507080858839668E-2</v>
      </c>
      <c r="U211" s="4">
        <f t="shared" ca="1" si="74"/>
        <v>1.1866619200189277E-3</v>
      </c>
      <c r="V211" s="4">
        <f t="shared" ca="1" si="66"/>
        <v>2.7229577816637374E-2</v>
      </c>
      <c r="W211" s="4">
        <f t="shared" ca="1" si="67"/>
        <v>9.1970652061590386E-3</v>
      </c>
      <c r="X211" s="4">
        <f t="shared" ca="1" si="68"/>
        <v>8.9164566776507304E-3</v>
      </c>
      <c r="Y211" s="4">
        <f t="shared" ca="1" si="69"/>
        <v>1.8400802944129602E-3</v>
      </c>
      <c r="Z211" s="4">
        <f t="shared" ca="1" si="70"/>
        <v>5.0439310120404812E-3</v>
      </c>
      <c r="AA211" s="4">
        <f t="shared" ca="1" si="71"/>
        <v>1.3950398582816659E-2</v>
      </c>
      <c r="AB211" s="4">
        <f t="shared" ca="1" si="75"/>
        <v>-1.8431577117023146E-2</v>
      </c>
      <c r="AC211" s="4">
        <f t="shared" ca="1" si="76"/>
        <v>7.8431372549019329E-3</v>
      </c>
      <c r="AD211" s="4"/>
      <c r="AE211" s="2" cm="1">
        <f t="array" aca="1" ref="AE211" ca="1">SUMPRODUCT(Q211:AB211,TRANSPOSE(Insights.!$H$4:$H$15))</f>
        <v>3.0339635447004121E-3</v>
      </c>
      <c r="AG211" s="10" vm="3180">
        <f ca="1"/>
        <v>45954</v>
      </c>
      <c r="AH211" s="1" vm="3190">
        <f ca="1"/>
        <v>110.83</v>
      </c>
      <c r="AI211" s="2">
        <f t="shared" ca="1" si="72"/>
        <v>8.4363439501939919E-3</v>
      </c>
      <c r="AJ211" s="1" vm="3191">
        <f ca="1"/>
        <v>110.58499999999999</v>
      </c>
      <c r="AK211" s="2">
        <f t="shared" ca="1" si="77"/>
        <v>7.0081837500566291E-3</v>
      </c>
      <c r="AL211" s="1" vm="3179">
        <f ca="1"/>
        <v>57.09</v>
      </c>
      <c r="AM211" s="2">
        <f t="shared" ca="1" si="78"/>
        <v>6.1306708705550772E-3</v>
      </c>
      <c r="AO211" s="9">
        <f t="shared" ca="1" si="79"/>
        <v>101.8985378169824</v>
      </c>
      <c r="AP211">
        <f t="shared" ca="1" si="80"/>
        <v>102.77262611275971</v>
      </c>
      <c r="AQ211">
        <f t="shared" ca="1" si="81"/>
        <v>105.01899335232682</v>
      </c>
      <c r="AR211">
        <f t="shared" ca="1" si="82"/>
        <v>116.40330308900002</v>
      </c>
      <c r="AT211" s="21">
        <f ca="1">MAX($AO$3:AO212)</f>
        <v>106.96839029133979</v>
      </c>
      <c r="AU211" s="2">
        <f t="shared" ca="1" si="83"/>
        <v>-4.7395800390649168E-2</v>
      </c>
    </row>
    <row r="212" spans="1:47" x14ac:dyDescent="0.25">
      <c r="A212" vm="3192">
        <f ca="1"/>
        <v>45957</v>
      </c>
      <c r="B212" vm="3193">
        <f ca="1"/>
        <v>164.48</v>
      </c>
      <c r="C212" vm="3103">
        <f ca="1"/>
        <v>257</v>
      </c>
      <c r="D212" vm="3029">
        <f ca="1"/>
        <v>299.45</v>
      </c>
      <c r="E212" vm="3194">
        <f ca="1"/>
        <v>219.7</v>
      </c>
      <c r="F212" vm="2556">
        <f ca="1"/>
        <v>195.32</v>
      </c>
      <c r="G212" vm="3195">
        <f ca="1"/>
        <v>171.65</v>
      </c>
      <c r="H212" vm="3196">
        <f ca="1"/>
        <v>457.9</v>
      </c>
      <c r="I212" vm="2843">
        <f ca="1"/>
        <v>129.96</v>
      </c>
      <c r="J212" vm="3197">
        <f ca="1"/>
        <v>421.85</v>
      </c>
      <c r="K212" vm="2966">
        <f ca="1"/>
        <v>108</v>
      </c>
      <c r="L212" vm="3198">
        <f ca="1"/>
        <v>308.85000000000002</v>
      </c>
      <c r="M212" vm="1462">
        <f ca="1"/>
        <v>260.25</v>
      </c>
      <c r="N212" vm="3199">
        <f ca="1"/>
        <v>15.335000000000001</v>
      </c>
      <c r="O212" vm="3200">
        <f ca="1"/>
        <v>564.5</v>
      </c>
      <c r="Q212" s="4">
        <f t="shared" ca="1" si="63"/>
        <v>-2.2497554613629012E-2</v>
      </c>
      <c r="R212" s="4">
        <f t="shared" ca="1" si="64"/>
        <v>6.3723258989532017E-3</v>
      </c>
      <c r="S212" s="4">
        <f t="shared" ca="1" si="65"/>
        <v>-6.7870667055053957E-2</v>
      </c>
      <c r="T212" s="4">
        <f t="shared" ca="1" si="73"/>
        <v>6.1557402277601092E-4</v>
      </c>
      <c r="U212" s="4">
        <f t="shared" ca="1" si="74"/>
        <v>1.0904349887400633E-2</v>
      </c>
      <c r="V212" s="4">
        <f t="shared" ca="1" si="66"/>
        <v>6.7485408560311377E-2</v>
      </c>
      <c r="W212" s="4">
        <f t="shared" ca="1" si="67"/>
        <v>3.4814663116937705E-3</v>
      </c>
      <c r="X212" s="4">
        <f t="shared" ca="1" si="68"/>
        <v>7.684918347742542E-3</v>
      </c>
      <c r="Y212" s="4">
        <f t="shared" ca="1" si="69"/>
        <v>-1.2856904324594964E-2</v>
      </c>
      <c r="Z212" s="4">
        <f t="shared" ca="1" si="70"/>
        <v>2.1855269548324507E-2</v>
      </c>
      <c r="AA212" s="4">
        <f t="shared" ca="1" si="71"/>
        <v>1.5723957195894478E-2</v>
      </c>
      <c r="AB212" s="4">
        <f t="shared" ca="1" si="75"/>
        <v>1.2577502214349057E-2</v>
      </c>
      <c r="AC212" s="4">
        <f t="shared" ca="1" si="76"/>
        <v>-5.8365758754863606E-3</v>
      </c>
      <c r="AD212" s="4"/>
      <c r="AE212" s="2" cm="1">
        <f t="array" aca="1" ref="AE212" ca="1">SUMPRODUCT(Q212:AB212,TRANSPOSE(Insights.!$H$4:$H$15))</f>
        <v>3.1761400178937464E-3</v>
      </c>
      <c r="AG212" s="10" vm="3192">
        <f ca="1"/>
        <v>45957</v>
      </c>
      <c r="AH212" s="1" vm="3201">
        <f ca="1"/>
        <v>111.765</v>
      </c>
      <c r="AI212" s="2">
        <f t="shared" ca="1" si="72"/>
        <v>3.7131481232943742E-3</v>
      </c>
      <c r="AJ212" s="1" vm="3202">
        <f ca="1"/>
        <v>111.36</v>
      </c>
      <c r="AK212" s="2">
        <f t="shared" ca="1" si="77"/>
        <v>1.8857758620689502E-3</v>
      </c>
      <c r="AL212" s="1" vm="3203">
        <f ca="1"/>
        <v>57.44</v>
      </c>
      <c r="AM212" s="2">
        <f t="shared" ca="1" si="78"/>
        <v>-1.7409470752083323E-4</v>
      </c>
      <c r="AO212" s="9">
        <f t="shared" ca="1" si="79"/>
        <v>102.20769426597739</v>
      </c>
      <c r="AP212">
        <f t="shared" ca="1" si="80"/>
        <v>103.63965133531164</v>
      </c>
      <c r="AQ212">
        <f t="shared" ca="1" si="81"/>
        <v>105.7549857549859</v>
      </c>
      <c r="AR212">
        <f t="shared" ca="1" si="82"/>
        <v>117.11693342848415</v>
      </c>
      <c r="AT212" s="21">
        <f ca="1">MAX($AO$3:AO213)</f>
        <v>106.96839029133979</v>
      </c>
      <c r="AU212" s="2">
        <f t="shared" ca="1" si="83"/>
        <v>-4.4505633976505865E-2</v>
      </c>
    </row>
    <row r="213" spans="1:47" x14ac:dyDescent="0.25">
      <c r="A213" vm="3204">
        <f ca="1"/>
        <v>45958</v>
      </c>
      <c r="B213" vm="3205">
        <f ca="1"/>
        <v>175.58</v>
      </c>
      <c r="C213" vm="3206">
        <f ca="1"/>
        <v>255.5</v>
      </c>
      <c r="D213" vm="3207">
        <f ca="1"/>
        <v>295.60000000000002</v>
      </c>
      <c r="E213" vm="3208">
        <f ca="1"/>
        <v>221.1</v>
      </c>
      <c r="F213" vm="2142">
        <f ca="1"/>
        <v>196</v>
      </c>
      <c r="G213" vm="902">
        <f ca="1"/>
        <v>160</v>
      </c>
      <c r="H213" vm="3209">
        <f ca="1"/>
        <v>465.1</v>
      </c>
      <c r="I213" vm="3210">
        <f ca="1"/>
        <v>130.04</v>
      </c>
      <c r="J213" vm="3211">
        <f ca="1"/>
        <v>426.45</v>
      </c>
      <c r="K213" vm="1004">
        <f ca="1"/>
        <v>110</v>
      </c>
      <c r="L213" vm="3212">
        <f ca="1"/>
        <v>315.60000000000002</v>
      </c>
      <c r="M213" vm="3213">
        <f ca="1"/>
        <v>262.25</v>
      </c>
      <c r="N213" vm="3214">
        <f ca="1"/>
        <v>14.99</v>
      </c>
      <c r="O213" vm="3215">
        <f ca="1"/>
        <v>571.6</v>
      </c>
      <c r="Q213" s="4">
        <f t="shared" ca="1" si="63"/>
        <v>-1.8012008005336866E-2</v>
      </c>
      <c r="R213" s="4">
        <f t="shared" ca="1" si="64"/>
        <v>-1.5603799185888723E-2</v>
      </c>
      <c r="S213" s="4">
        <f t="shared" ca="1" si="65"/>
        <v>7.4999999999999956E-2</v>
      </c>
      <c r="T213" s="4">
        <f t="shared" ca="1" si="73"/>
        <v>-1.2765302983697269E-2</v>
      </c>
      <c r="U213" s="4">
        <f t="shared" ca="1" si="74"/>
        <v>-2.8960018759526251E-2</v>
      </c>
      <c r="V213" s="4">
        <f t="shared" ca="1" si="66"/>
        <v>2.1186923339788111E-2</v>
      </c>
      <c r="W213" s="4">
        <f t="shared" ca="1" si="67"/>
        <v>7.6530612244898322E-3</v>
      </c>
      <c r="X213" s="4">
        <f t="shared" ca="1" si="68"/>
        <v>6.1010486177313084E-3</v>
      </c>
      <c r="Y213" s="4">
        <f t="shared" ca="1" si="69"/>
        <v>-3.2138024357241113E-3</v>
      </c>
      <c r="Z213" s="4">
        <f t="shared" ca="1" si="70"/>
        <v>3.3586818757921355E-2</v>
      </c>
      <c r="AA213" s="4">
        <f t="shared" ca="1" si="71"/>
        <v>-1.4835519243173612E-2</v>
      </c>
      <c r="AB213" s="4">
        <f t="shared" ca="1" si="75"/>
        <v>1.0671798460461845E-2</v>
      </c>
      <c r="AC213" s="4">
        <f t="shared" ca="1" si="76"/>
        <v>3.131115459882583E-2</v>
      </c>
      <c r="AD213" s="4"/>
      <c r="AE213" s="2" cm="1">
        <f t="array" aca="1" ref="AE213" ca="1">SUMPRODUCT(Q213:AB213,TRANSPOSE(Insights.!$H$4:$H$15))</f>
        <v>3.180732582621556E-3</v>
      </c>
      <c r="AG213" s="10" vm="3204">
        <f ca="1"/>
        <v>45958</v>
      </c>
      <c r="AH213" s="1" vm="3216">
        <f ca="1"/>
        <v>112.18</v>
      </c>
      <c r="AI213" s="2">
        <f t="shared" ca="1" si="72"/>
        <v>2.0057051167765572E-3</v>
      </c>
      <c r="AJ213" s="1" vm="3217">
        <f ca="1"/>
        <v>111.57</v>
      </c>
      <c r="AK213" s="2">
        <f t="shared" ca="1" si="77"/>
        <v>1.6133369185264979E-3</v>
      </c>
      <c r="AL213" s="1" vm="3218">
        <f ca="1"/>
        <v>57.43</v>
      </c>
      <c r="AM213" s="2">
        <f t="shared" ca="1" si="78"/>
        <v>1.7412502176563649E-3</v>
      </c>
      <c r="AO213" s="9">
        <f t="shared" ca="1" si="79"/>
        <v>102.53232021387223</v>
      </c>
      <c r="AP213">
        <f t="shared" ca="1" si="80"/>
        <v>104.02448071216624</v>
      </c>
      <c r="AQ213">
        <f t="shared" ca="1" si="81"/>
        <v>105.95441595441609</v>
      </c>
      <c r="AR213">
        <f t="shared" ca="1" si="82"/>
        <v>117.09654399021318</v>
      </c>
      <c r="AT213" s="21">
        <f ca="1">MAX($AO$3:AO214)</f>
        <v>106.96839029133979</v>
      </c>
      <c r="AU213" s="2">
        <f t="shared" ca="1" si="83"/>
        <v>-4.1470850083706545E-2</v>
      </c>
    </row>
    <row r="214" spans="1:47" x14ac:dyDescent="0.25">
      <c r="A214" vm="3219">
        <f ca="1"/>
        <v>45959</v>
      </c>
      <c r="B214" vm="3220">
        <f ca="1"/>
        <v>179.3</v>
      </c>
      <c r="C214" vm="2454">
        <f ca="1"/>
        <v>263.5</v>
      </c>
      <c r="D214" vm="1883">
        <f ca="1"/>
        <v>294.64999999999998</v>
      </c>
      <c r="E214" vm="3221">
        <f ca="1"/>
        <v>217.65</v>
      </c>
      <c r="F214" vm="3222">
        <f ca="1"/>
        <v>197.5</v>
      </c>
      <c r="G214" vm="3223">
        <f ca="1"/>
        <v>172</v>
      </c>
      <c r="H214" vm="1499">
        <f ca="1"/>
        <v>458.2</v>
      </c>
      <c r="I214" vm="3224">
        <f ca="1"/>
        <v>128.38</v>
      </c>
      <c r="J214" vm="1826">
        <f ca="1"/>
        <v>414.1</v>
      </c>
      <c r="K214" vm="3109">
        <f ca="1"/>
        <v>104</v>
      </c>
      <c r="L214" vm="3225">
        <f ca="1"/>
        <v>326.2</v>
      </c>
      <c r="M214" vm="428">
        <f ca="1"/>
        <v>263.85000000000002</v>
      </c>
      <c r="N214" vm="3226">
        <f ca="1"/>
        <v>14.72</v>
      </c>
      <c r="O214" vm="2630">
        <f ca="1"/>
        <v>577.70000000000005</v>
      </c>
      <c r="Q214" s="4">
        <f t="shared" ca="1" si="63"/>
        <v>5.4347826086955653E-3</v>
      </c>
      <c r="R214" s="4">
        <f t="shared" ca="1" si="64"/>
        <v>2.8715828164484369E-2</v>
      </c>
      <c r="S214" s="4">
        <f t="shared" ca="1" si="65"/>
        <v>-4.1279069767441778E-2</v>
      </c>
      <c r="T214" s="4">
        <f t="shared" ca="1" si="73"/>
        <v>9.0356753388378674E-3</v>
      </c>
      <c r="U214" s="4">
        <f t="shared" ca="1" si="74"/>
        <v>2.2337599613619918E-2</v>
      </c>
      <c r="V214" s="4">
        <f t="shared" ca="1" si="66"/>
        <v>-1.9743446737311876E-2</v>
      </c>
      <c r="W214" s="4">
        <f t="shared" ca="1" si="67"/>
        <v>8.8607594936708889E-2</v>
      </c>
      <c r="X214" s="4">
        <f t="shared" ca="1" si="68"/>
        <v>1.421262080727681E-2</v>
      </c>
      <c r="Y214" s="4">
        <f t="shared" ca="1" si="69"/>
        <v>1.3066349906668995E-2</v>
      </c>
      <c r="Z214" s="4">
        <f t="shared" ca="1" si="70"/>
        <v>-4.4451256897608538E-3</v>
      </c>
      <c r="AA214" s="4">
        <f t="shared" ca="1" si="71"/>
        <v>-5.1287647315582108E-3</v>
      </c>
      <c r="AB214" s="4">
        <f t="shared" ca="1" si="75"/>
        <v>6.9240090012123723E-4</v>
      </c>
      <c r="AC214" s="4">
        <f t="shared" ca="1" si="76"/>
        <v>-1.8975332068311701E-3</v>
      </c>
      <c r="AD214" s="4"/>
      <c r="AE214" s="2" cm="1">
        <f t="array" aca="1" ref="AE214" ca="1">SUMPRODUCT(Q214:AB214,TRANSPOSE(Insights.!$H$4:$H$15))</f>
        <v>9.3696752791033577E-3</v>
      </c>
      <c r="AG214" s="10" vm="3219">
        <f ca="1"/>
        <v>45959</v>
      </c>
      <c r="AH214" s="1" vm="3227">
        <f ca="1"/>
        <v>112.405</v>
      </c>
      <c r="AI214" s="2">
        <f t="shared" ca="1" si="72"/>
        <v>-1.9572083092389558E-3</v>
      </c>
      <c r="AJ214" s="1" vm="3228">
        <f ca="1"/>
        <v>111.75</v>
      </c>
      <c r="AK214" s="2">
        <f t="shared" ca="1" si="77"/>
        <v>1.476510067114134E-3</v>
      </c>
      <c r="AL214" s="1" vm="3229">
        <f ca="1"/>
        <v>57.53</v>
      </c>
      <c r="AM214" s="2">
        <f t="shared" ca="1" si="78"/>
        <v>-1.2167564748827298E-3</v>
      </c>
      <c r="AO214" s="9">
        <f t="shared" ca="1" si="79"/>
        <v>102.85844810554828</v>
      </c>
      <c r="AP214">
        <f t="shared" ca="1" si="80"/>
        <v>104.23312314540065</v>
      </c>
      <c r="AQ214">
        <f t="shared" ca="1" si="81"/>
        <v>106.12535612535626</v>
      </c>
      <c r="AR214">
        <f t="shared" ca="1" si="82"/>
        <v>117.30043837292294</v>
      </c>
      <c r="AT214" s="21">
        <f ca="1">MAX($AO$3:AO215)</f>
        <v>106.96839029133979</v>
      </c>
      <c r="AU214" s="2">
        <f t="shared" ca="1" si="83"/>
        <v>-3.8422025185175235E-2</v>
      </c>
    </row>
    <row r="215" spans="1:47" x14ac:dyDescent="0.25">
      <c r="A215" vm="3230">
        <f ca="1"/>
        <v>45960</v>
      </c>
      <c r="B215" vm="3231">
        <f ca="1"/>
        <v>175.76</v>
      </c>
      <c r="C215" vm="3232">
        <f ca="1"/>
        <v>263</v>
      </c>
      <c r="D215" vm="3233">
        <f ca="1"/>
        <v>298.5</v>
      </c>
      <c r="E215" vm="3234">
        <f ca="1"/>
        <v>223.9</v>
      </c>
      <c r="F215" vm="2375">
        <f ca="1"/>
        <v>215</v>
      </c>
      <c r="G215" vm="3235">
        <f ca="1"/>
        <v>164.9</v>
      </c>
      <c r="H215" vm="3236">
        <f ca="1"/>
        <v>455.85</v>
      </c>
      <c r="I215" vm="3237">
        <f ca="1"/>
        <v>129.54</v>
      </c>
      <c r="J215" vm="3238">
        <f ca="1"/>
        <v>423.35</v>
      </c>
      <c r="K215" vm="3239">
        <f ca="1"/>
        <v>109</v>
      </c>
      <c r="L215" vm="3240">
        <f ca="1"/>
        <v>324.75</v>
      </c>
      <c r="M215" vm="3241">
        <f ca="1"/>
        <v>267.60000000000002</v>
      </c>
      <c r="N215" vm="3097">
        <f ca="1"/>
        <v>14.8</v>
      </c>
      <c r="O215" vm="3242">
        <f ca="1"/>
        <v>578.1</v>
      </c>
      <c r="Q215" s="4">
        <f t="shared" ca="1" si="63"/>
        <v>-1.7567567567567721E-2</v>
      </c>
      <c r="R215" s="4">
        <f t="shared" ca="1" si="64"/>
        <v>8.2626172398392317E-3</v>
      </c>
      <c r="S215" s="4">
        <f t="shared" ca="1" si="65"/>
        <v>-1.7283201940569981E-2</v>
      </c>
      <c r="T215" s="4">
        <f t="shared" ca="1" si="73"/>
        <v>9.7267253358037653E-3</v>
      </c>
      <c r="U215" s="4">
        <f t="shared" ca="1" si="74"/>
        <v>6.2595960788944804E-3</v>
      </c>
      <c r="V215" s="4">
        <f t="shared" ca="1" si="66"/>
        <v>-1.1379153390986829E-3</v>
      </c>
      <c r="W215" s="4">
        <f t="shared" ca="1" si="67"/>
        <v>-1.3023255813953583E-2</v>
      </c>
      <c r="X215" s="4">
        <f t="shared" ca="1" si="68"/>
        <v>4.6711509715993138E-3</v>
      </c>
      <c r="Y215" s="4">
        <f t="shared" ca="1" si="69"/>
        <v>-6.8676716917923653E-3</v>
      </c>
      <c r="Z215" s="4">
        <f t="shared" ca="1" si="70"/>
        <v>-1.5704387990762236E-2</v>
      </c>
      <c r="AA215" s="4">
        <f t="shared" ca="1" si="71"/>
        <v>-1.5355928485247361E-2</v>
      </c>
      <c r="AB215" s="4">
        <f t="shared" ca="1" si="75"/>
        <v>-2.2487458917143099E-3</v>
      </c>
      <c r="AC215" s="4">
        <f t="shared" ca="1" si="76"/>
        <v>-1.9011406844106515E-2</v>
      </c>
      <c r="AD215" s="4"/>
      <c r="AE215" s="2" cm="1">
        <f t="array" aca="1" ref="AE215" ca="1">SUMPRODUCT(Q215:AB215,TRANSPOSE(Insights.!$H$4:$H$15))</f>
        <v>-3.792502469639969E-3</v>
      </c>
      <c r="AG215" s="10" vm="3230">
        <f ca="1"/>
        <v>45960</v>
      </c>
      <c r="AH215" s="1" vm="3243">
        <f ca="1"/>
        <v>112.185</v>
      </c>
      <c r="AI215" s="2">
        <f t="shared" ca="1" si="72"/>
        <v>3.0752774435085506E-3</v>
      </c>
      <c r="AJ215" s="1" vm="3244">
        <f ca="1"/>
        <v>111.91500000000001</v>
      </c>
      <c r="AK215" s="2">
        <f t="shared" ca="1" si="77"/>
        <v>-1.1615958539964444E-3</v>
      </c>
      <c r="AL215" s="1" vm="3245">
        <f ca="1"/>
        <v>57.46</v>
      </c>
      <c r="AM215" s="2">
        <f t="shared" ca="1" si="78"/>
        <v>-7.8315349808563139E-3</v>
      </c>
      <c r="AO215" s="9">
        <f t="shared" ca="1" si="79"/>
        <v>103.82219836400976</v>
      </c>
      <c r="AP215">
        <f t="shared" ca="1" si="80"/>
        <v>104.02911721068254</v>
      </c>
      <c r="AQ215">
        <f t="shared" ca="1" si="81"/>
        <v>106.28205128205143</v>
      </c>
      <c r="AR215">
        <f t="shared" ca="1" si="82"/>
        <v>117.15771230502611</v>
      </c>
      <c r="AT215" s="21">
        <f ca="1">MAX($AO$3:AO216)</f>
        <v>106.96839029133979</v>
      </c>
      <c r="AU215" s="2">
        <f t="shared" ca="1" si="83"/>
        <v>-2.9412351805622516E-2</v>
      </c>
    </row>
    <row r="216" spans="1:47" x14ac:dyDescent="0.25">
      <c r="A216" vm="3246">
        <f ca="1"/>
        <v>45961</v>
      </c>
      <c r="B216" vm="3247">
        <f ca="1"/>
        <v>175.56</v>
      </c>
      <c r="C216" vm="3130">
        <f ca="1"/>
        <v>258</v>
      </c>
      <c r="D216" vm="3248">
        <f ca="1"/>
        <v>296.45</v>
      </c>
      <c r="E216" vm="3249">
        <f ca="1"/>
        <v>225.75</v>
      </c>
      <c r="F216" vm="3250">
        <f ca="1"/>
        <v>212.2</v>
      </c>
      <c r="G216" vm="2637">
        <f ca="1"/>
        <v>162.05000000000001</v>
      </c>
      <c r="H216" vm="3251">
        <f ca="1"/>
        <v>448.85</v>
      </c>
      <c r="I216" vm="288">
        <f ca="1"/>
        <v>130.80000000000001</v>
      </c>
      <c r="J216" vm="3252">
        <f ca="1"/>
        <v>426</v>
      </c>
      <c r="K216" vm="3253">
        <f ca="1"/>
        <v>112</v>
      </c>
      <c r="L216" vm="3254">
        <f ca="1"/>
        <v>319.64999999999998</v>
      </c>
      <c r="M216" vm="3255">
        <f ca="1"/>
        <v>268.85000000000002</v>
      </c>
      <c r="N216" vm="3256">
        <f ca="1"/>
        <v>14.54</v>
      </c>
      <c r="O216" vm="3257">
        <f ca="1"/>
        <v>576.79999999999995</v>
      </c>
      <c r="Q216" s="4">
        <f t="shared" ca="1" si="63"/>
        <v>2.4071526822557754E-3</v>
      </c>
      <c r="R216" s="4">
        <f t="shared" ca="1" si="64"/>
        <v>-1.1074197120708451E-3</v>
      </c>
      <c r="S216" s="4">
        <f t="shared" ca="1" si="65"/>
        <v>3.2397408207343492E-2</v>
      </c>
      <c r="T216" s="4">
        <f t="shared" ca="1" si="73"/>
        <v>-1.6513761467890076E-2</v>
      </c>
      <c r="U216" s="4">
        <f t="shared" ca="1" si="74"/>
        <v>8.8028169014084945E-3</v>
      </c>
      <c r="V216" s="4">
        <f t="shared" ca="1" si="66"/>
        <v>2.2898154477101862E-2</v>
      </c>
      <c r="W216" s="4">
        <f t="shared" ca="1" si="67"/>
        <v>3.6757775683317728E-2</v>
      </c>
      <c r="X216" s="4">
        <f t="shared" ca="1" si="68"/>
        <v>1.6737957969126249E-3</v>
      </c>
      <c r="Y216" s="4">
        <f t="shared" ca="1" si="69"/>
        <v>-1.298701298701288E-2</v>
      </c>
      <c r="Z216" s="4">
        <f t="shared" ca="1" si="70"/>
        <v>-8.7595807914905288E-3</v>
      </c>
      <c r="AA216" s="4">
        <f t="shared" ca="1" si="71"/>
        <v>-3.0076863094575801E-3</v>
      </c>
      <c r="AB216" s="4">
        <f t="shared" ca="1" si="75"/>
        <v>-2.9472954230235771E-2</v>
      </c>
      <c r="AC216" s="4">
        <f t="shared" ca="1" si="76"/>
        <v>2.7131782945736482E-2</v>
      </c>
      <c r="AD216" s="4"/>
      <c r="AE216" s="2" cm="1">
        <f t="array" aca="1" ref="AE216" ca="1">SUMPRODUCT(Q216:AB216,TRANSPOSE(Insights.!$H$4:$H$15))</f>
        <v>1.5832672753690238E-3</v>
      </c>
      <c r="AG216" s="10" vm="3246">
        <f ca="1"/>
        <v>45961</v>
      </c>
      <c r="AH216" s="1" vm="3258">
        <f ca="1"/>
        <v>112.53</v>
      </c>
      <c r="AI216" s="2">
        <f t="shared" ca="1" si="72"/>
        <v>3.0658491069048832E-3</v>
      </c>
      <c r="AJ216" s="1" vm="3259">
        <f ca="1"/>
        <v>111.785</v>
      </c>
      <c r="AK216" s="2">
        <f t="shared" ca="1" si="77"/>
        <v>1.4760477702733255E-3</v>
      </c>
      <c r="AL216" s="1" vm="3260">
        <f ca="1"/>
        <v>57.01</v>
      </c>
      <c r="AM216" s="2">
        <f t="shared" ca="1" si="78"/>
        <v>4.9114190492896004E-3</v>
      </c>
      <c r="AO216" s="9">
        <f t="shared" ca="1" si="79"/>
        <v>103.42845242031082</v>
      </c>
      <c r="AP216">
        <f t="shared" ca="1" si="80"/>
        <v>104.34903560830867</v>
      </c>
      <c r="AQ216">
        <f t="shared" ca="1" si="81"/>
        <v>106.15859449192796</v>
      </c>
      <c r="AR216">
        <f t="shared" ca="1" si="82"/>
        <v>116.24018758283219</v>
      </c>
      <c r="AT216" s="21">
        <f ca="1">MAX($AO$3:AO217)</f>
        <v>106.96839029133979</v>
      </c>
      <c r="AU216" s="2">
        <f t="shared" ca="1" si="83"/>
        <v>-3.3093307858401588E-2</v>
      </c>
    </row>
    <row r="217" spans="1:47" x14ac:dyDescent="0.25">
      <c r="A217" vm="3261">
        <f ca="1"/>
        <v>45964</v>
      </c>
      <c r="B217" vm="3262">
        <f ca="1"/>
        <v>179.58</v>
      </c>
      <c r="C217" vm="495">
        <f ca="1"/>
        <v>265</v>
      </c>
      <c r="D217" vm="3263">
        <f ca="1"/>
        <v>292.60000000000002</v>
      </c>
      <c r="E217" vm="3264">
        <f ca="1"/>
        <v>225.5</v>
      </c>
      <c r="F217" vm="190">
        <f ca="1"/>
        <v>220</v>
      </c>
      <c r="G217" vm="3265">
        <f ca="1"/>
        <v>167.3</v>
      </c>
      <c r="H217" vm="3266">
        <f ca="1"/>
        <v>447.5</v>
      </c>
      <c r="I217" vm="3267">
        <f ca="1"/>
        <v>128.63999999999999</v>
      </c>
      <c r="J217" vm="3268">
        <f ca="1"/>
        <v>429.75</v>
      </c>
      <c r="K217" vm="649">
        <f ca="1"/>
        <v>105</v>
      </c>
      <c r="L217" vm="1636">
        <f ca="1"/>
        <v>316.85000000000002</v>
      </c>
      <c r="M217" vm="3269">
        <f ca="1"/>
        <v>269.3</v>
      </c>
      <c r="N217" vm="3110">
        <f ca="1"/>
        <v>14.574999999999999</v>
      </c>
      <c r="O217" vm="1472">
        <f ca="1"/>
        <v>559.79999999999995</v>
      </c>
      <c r="Q217" s="4">
        <f t="shared" ca="1" si="63"/>
        <v>4.4596912521441823E-3</v>
      </c>
      <c r="R217" s="4">
        <f t="shared" ca="1" si="64"/>
        <v>-1.685144124168525E-2</v>
      </c>
      <c r="S217" s="4">
        <f t="shared" ca="1" si="65"/>
        <v>-2.6598924088463982E-2</v>
      </c>
      <c r="T217" s="4">
        <f t="shared" ca="1" si="73"/>
        <v>-2.7985074626865059E-3</v>
      </c>
      <c r="U217" s="4">
        <f t="shared" ca="1" si="74"/>
        <v>1.221640488656206E-2</v>
      </c>
      <c r="V217" s="4">
        <f t="shared" ca="1" si="66"/>
        <v>-3.7086535248914254E-2</v>
      </c>
      <c r="W217" s="4">
        <f t="shared" ca="1" si="67"/>
        <v>-1.2272727272727213E-2</v>
      </c>
      <c r="X217" s="4">
        <f t="shared" ca="1" si="68"/>
        <v>1.8566654288898476E-4</v>
      </c>
      <c r="Y217" s="4">
        <f t="shared" ca="1" si="69"/>
        <v>9.7402597402596047E-3</v>
      </c>
      <c r="Z217" s="4">
        <f t="shared" ca="1" si="70"/>
        <v>-8.6791857345747125E-3</v>
      </c>
      <c r="AA217" s="4">
        <f t="shared" ca="1" si="71"/>
        <v>1.5642458100557644E-3</v>
      </c>
      <c r="AB217" s="4">
        <f t="shared" ca="1" si="75"/>
        <v>-2.2686673812075675E-2</v>
      </c>
      <c r="AC217" s="4">
        <f t="shared" ca="1" si="76"/>
        <v>-3.5849056603773577E-2</v>
      </c>
      <c r="AD217" s="4"/>
      <c r="AE217" s="2" cm="1">
        <f t="array" aca="1" ref="AE217" ca="1">SUMPRODUCT(Q217:AB217,TRANSPOSE(Insights.!$H$4:$H$15))</f>
        <v>-6.4900370072388308E-3</v>
      </c>
      <c r="AG217" s="10" vm="3261">
        <f ca="1"/>
        <v>45964</v>
      </c>
      <c r="AH217" s="1" vm="3270">
        <f ca="1"/>
        <v>112.875</v>
      </c>
      <c r="AI217" s="2">
        <f t="shared" ca="1" si="72"/>
        <v>-9.6566998892581024E-3</v>
      </c>
      <c r="AJ217" s="1" vm="3271">
        <f ca="1"/>
        <v>111.95</v>
      </c>
      <c r="AK217" s="2">
        <f t="shared" ca="1" si="77"/>
        <v>-3.5730236712818719E-3</v>
      </c>
      <c r="AL217" s="1" vm="3272">
        <f ca="1"/>
        <v>57.29</v>
      </c>
      <c r="AM217" s="2">
        <f t="shared" ca="1" si="78"/>
        <v>-7.5056728923023064E-3</v>
      </c>
      <c r="AO217" s="9">
        <f t="shared" ca="1" si="79"/>
        <v>103.59220730436996</v>
      </c>
      <c r="AP217">
        <f t="shared" ca="1" si="80"/>
        <v>104.66895400593479</v>
      </c>
      <c r="AQ217">
        <f t="shared" ca="1" si="81"/>
        <v>106.31528964862312</v>
      </c>
      <c r="AR217">
        <f t="shared" ca="1" si="82"/>
        <v>116.81109185441952</v>
      </c>
      <c r="AT217" s="21">
        <f ca="1">MAX($AO$3:AO218)</f>
        <v>106.96839029133979</v>
      </c>
      <c r="AU217" s="2">
        <f t="shared" ca="1" si="83"/>
        <v>-3.1562436134398464E-2</v>
      </c>
    </row>
    <row r="218" spans="1:47" x14ac:dyDescent="0.25">
      <c r="A218" vm="3273">
        <f ca="1"/>
        <v>45965</v>
      </c>
      <c r="B218" vm="3274">
        <f ca="1"/>
        <v>172.92</v>
      </c>
      <c r="C218" vm="3206">
        <f ca="1"/>
        <v>255.5</v>
      </c>
      <c r="D218" vm="3275">
        <f ca="1"/>
        <v>295.45</v>
      </c>
      <c r="E218" vm="1277">
        <f ca="1"/>
        <v>221.7</v>
      </c>
      <c r="F218" vm="3276">
        <f ca="1"/>
        <v>217.3</v>
      </c>
      <c r="G218" vm="2046">
        <f ca="1"/>
        <v>162.85</v>
      </c>
      <c r="H218" vm="3277">
        <f ca="1"/>
        <v>448.2</v>
      </c>
      <c r="I218" vm="3278">
        <f ca="1"/>
        <v>128.28</v>
      </c>
      <c r="J218" vm="3279">
        <f ca="1"/>
        <v>435</v>
      </c>
      <c r="K218" vm="1166">
        <f ca="1"/>
        <v>96</v>
      </c>
      <c r="L218" vm="3280">
        <f ca="1"/>
        <v>314.10000000000002</v>
      </c>
      <c r="M218" vm="3281">
        <f ca="1"/>
        <v>269.35000000000002</v>
      </c>
      <c r="N218" vm="2780">
        <f ca="1"/>
        <v>14.64</v>
      </c>
      <c r="O218" vm="3282">
        <f ca="1"/>
        <v>547.1</v>
      </c>
      <c r="Q218" s="4">
        <f t="shared" ca="1" si="63"/>
        <v>-2.732240437158473E-2</v>
      </c>
      <c r="R218" s="4">
        <f t="shared" ca="1" si="64"/>
        <v>-2.2552999548930419E-4</v>
      </c>
      <c r="S218" s="4">
        <f t="shared" ca="1" si="65"/>
        <v>-9.824992324224735E-3</v>
      </c>
      <c r="T218" s="4">
        <f t="shared" ca="1" si="73"/>
        <v>-1.0445899594636709E-2</v>
      </c>
      <c r="U218" s="4">
        <f t="shared" ca="1" si="74"/>
        <v>-5.7471264367816577E-3</v>
      </c>
      <c r="V218" s="4">
        <f t="shared" ca="1" si="66"/>
        <v>-1.8043025676613311E-2</v>
      </c>
      <c r="W218" s="4">
        <f t="shared" ca="1" si="67"/>
        <v>6.9028992176711768E-4</v>
      </c>
      <c r="X218" s="4">
        <f t="shared" ca="1" si="68"/>
        <v>-7.4252830889198762E-4</v>
      </c>
      <c r="Y218" s="4">
        <f t="shared" ca="1" si="69"/>
        <v>2.3692672194957076E-3</v>
      </c>
      <c r="Z218" s="4">
        <f t="shared" ca="1" si="70"/>
        <v>8.1184336198660834E-3</v>
      </c>
      <c r="AA218" s="4">
        <f t="shared" ca="1" si="71"/>
        <v>-1.4725568942436373E-2</v>
      </c>
      <c r="AB218" s="4">
        <f t="shared" ca="1" si="75"/>
        <v>2.1933832937305775E-2</v>
      </c>
      <c r="AC218" s="4">
        <f t="shared" ca="1" si="76"/>
        <v>5.8708414872798986E-3</v>
      </c>
      <c r="AD218" s="4"/>
      <c r="AE218" s="2" cm="1">
        <f t="array" aca="1" ref="AE218" ca="1">SUMPRODUCT(Q218:AB218,TRANSPOSE(Insights.!$H$4:$H$15))</f>
        <v>-3.0373556456864698E-3</v>
      </c>
      <c r="AG218" s="10" vm="3273">
        <f ca="1"/>
        <v>45965</v>
      </c>
      <c r="AH218" s="1" vm="3259">
        <f ca="1"/>
        <v>111.785</v>
      </c>
      <c r="AI218" s="2">
        <f t="shared" ca="1" si="72"/>
        <v>7.3355101310552673E-3</v>
      </c>
      <c r="AJ218" s="1" vm="3283">
        <f ca="1"/>
        <v>111.55</v>
      </c>
      <c r="AK218" s="2">
        <f t="shared" ca="1" si="77"/>
        <v>1.7032720753025199E-3</v>
      </c>
      <c r="AL218" s="1" vm="3284">
        <f ca="1"/>
        <v>56.86</v>
      </c>
      <c r="AM218" s="2">
        <f t="shared" ca="1" si="78"/>
        <v>7.0348223707350499E-3</v>
      </c>
      <c r="AO218" s="9">
        <f t="shared" ca="1" si="79"/>
        <v>102.91989004530305</v>
      </c>
      <c r="AP218">
        <f t="shared" ca="1" si="80"/>
        <v>103.65819732937692</v>
      </c>
      <c r="AQ218">
        <f t="shared" ca="1" si="81"/>
        <v>105.9354226020894</v>
      </c>
      <c r="AR218">
        <f t="shared" ca="1" si="82"/>
        <v>115.93434600876756</v>
      </c>
      <c r="AT218" s="21">
        <f ca="1">MAX($AO$3:AO219)</f>
        <v>106.96839029133979</v>
      </c>
      <c r="AU218" s="2">
        <f t="shared" ca="1" si="83"/>
        <v>-3.7847631763086476E-2</v>
      </c>
    </row>
    <row r="219" spans="1:47" x14ac:dyDescent="0.25">
      <c r="A219" vm="3285">
        <f ca="1"/>
        <v>45966</v>
      </c>
      <c r="B219" vm="3286">
        <f ca="1"/>
        <v>169.8</v>
      </c>
      <c r="C219" vm="3103">
        <f ca="1"/>
        <v>257</v>
      </c>
      <c r="D219" vm="3287">
        <f ca="1"/>
        <v>296.14999999999998</v>
      </c>
      <c r="E219" vm="3288">
        <f ca="1"/>
        <v>221.65</v>
      </c>
      <c r="F219" vm="3289">
        <f ca="1"/>
        <v>217.45</v>
      </c>
      <c r="G219" vm="3290">
        <f ca="1"/>
        <v>161.25</v>
      </c>
      <c r="H219" vm="2976">
        <f ca="1"/>
        <v>441.6</v>
      </c>
      <c r="I219" vm="3291">
        <f ca="1"/>
        <v>126.94</v>
      </c>
      <c r="J219" vm="3292">
        <f ca="1"/>
        <v>432.5</v>
      </c>
      <c r="K219" vm="3293">
        <f ca="1"/>
        <v>101</v>
      </c>
      <c r="L219" vm="3294">
        <f ca="1"/>
        <v>316.64999999999998</v>
      </c>
      <c r="M219" vm="2935">
        <f ca="1"/>
        <v>269.14999999999998</v>
      </c>
      <c r="N219" vm="3295">
        <f ca="1"/>
        <v>14.24</v>
      </c>
      <c r="O219" vm="3296">
        <f ca="1"/>
        <v>559.1</v>
      </c>
      <c r="Q219" s="4">
        <f t="shared" ca="1" si="63"/>
        <v>-2.1067415730337102E-2</v>
      </c>
      <c r="R219" s="4">
        <f t="shared" ca="1" si="64"/>
        <v>-6.4967290773742414E-2</v>
      </c>
      <c r="S219" s="4">
        <f t="shared" ca="1" si="65"/>
        <v>-3.2558139534883734E-2</v>
      </c>
      <c r="T219" s="4">
        <f t="shared" ca="1" si="73"/>
        <v>-5.6719710099258913E-3</v>
      </c>
      <c r="U219" s="4">
        <f t="shared" ca="1" si="74"/>
        <v>-1.8034682080924846E-2</v>
      </c>
      <c r="V219" s="4">
        <f t="shared" ca="1" si="66"/>
        <v>-4.2402826855123754E-2</v>
      </c>
      <c r="W219" s="4">
        <f t="shared" ca="1" si="67"/>
        <v>-3.0121867095884047E-2</v>
      </c>
      <c r="X219" s="4">
        <f t="shared" ca="1" si="68"/>
        <v>1.226082110347404E-2</v>
      </c>
      <c r="Y219" s="4">
        <f t="shared" ca="1" si="69"/>
        <v>-1.9753503292250452E-2</v>
      </c>
      <c r="Z219" s="4">
        <f t="shared" ca="1" si="70"/>
        <v>-2.4948681509553094E-2</v>
      </c>
      <c r="AA219" s="4">
        <f t="shared" ca="1" si="71"/>
        <v>-2.1625905797101441E-2</v>
      </c>
      <c r="AB219" s="4">
        <f t="shared" ca="1" si="75"/>
        <v>-3.8454659273832958E-2</v>
      </c>
      <c r="AC219" s="4">
        <f t="shared" ca="1" si="76"/>
        <v>-2.3346303501945553E-2</v>
      </c>
      <c r="AD219" s="4"/>
      <c r="AE219" s="2" cm="1">
        <f t="array" aca="1" ref="AE219" ca="1">SUMPRODUCT(Q219:AB219,TRANSPOSE(Insights.!$H$4:$H$15))</f>
        <v>-2.3464535615898251E-2</v>
      </c>
      <c r="AG219" s="10" vm="3285">
        <f ca="1"/>
        <v>45966</v>
      </c>
      <c r="AH219" s="1" vm="3297">
        <f ca="1"/>
        <v>112.605</v>
      </c>
      <c r="AI219" s="2">
        <f t="shared" ca="1" si="72"/>
        <v>-1.8604857688379717E-2</v>
      </c>
      <c r="AJ219" s="1" vm="3298">
        <f ca="1"/>
        <v>111.74</v>
      </c>
      <c r="AK219" s="2">
        <f t="shared" ca="1" si="77"/>
        <v>-1.360300698049044E-2</v>
      </c>
      <c r="AL219" s="1" vm="3299">
        <f ca="1"/>
        <v>57.26</v>
      </c>
      <c r="AM219" s="2">
        <f t="shared" ca="1" si="78"/>
        <v>-1.0478519035976297E-2</v>
      </c>
      <c r="AO219" s="9">
        <f t="shared" ca="1" si="79"/>
        <v>102.60728573622052</v>
      </c>
      <c r="AP219">
        <f t="shared" ca="1" si="80"/>
        <v>104.41858308605349</v>
      </c>
      <c r="AQ219">
        <f t="shared" ca="1" si="81"/>
        <v>106.11585944919291</v>
      </c>
      <c r="AR219">
        <f t="shared" ca="1" si="82"/>
        <v>116.74992353960658</v>
      </c>
      <c r="AT219" s="21">
        <f ca="1">MAX($AO$3:AO220)</f>
        <v>106.96839029133979</v>
      </c>
      <c r="AU219" s="2">
        <f t="shared" ca="1" si="83"/>
        <v>-4.0770030690761461E-2</v>
      </c>
    </row>
    <row r="220" spans="1:47" x14ac:dyDescent="0.25">
      <c r="A220" vm="3300">
        <f ca="1"/>
        <v>45967</v>
      </c>
      <c r="B220" vm="822">
        <f ca="1"/>
        <v>162.6</v>
      </c>
      <c r="C220" vm="1068">
        <f ca="1"/>
        <v>251</v>
      </c>
      <c r="D220" vm="672">
        <f ca="1"/>
        <v>290.3</v>
      </c>
      <c r="E220" vm="3301">
        <f ca="1"/>
        <v>207.25</v>
      </c>
      <c r="F220" vm="3302">
        <f ca="1"/>
        <v>210.9</v>
      </c>
      <c r="G220" vm="1066">
        <f ca="1"/>
        <v>156</v>
      </c>
      <c r="H220" vm="2558">
        <f ca="1"/>
        <v>432.05</v>
      </c>
      <c r="I220" vm="3303">
        <f ca="1"/>
        <v>126.22</v>
      </c>
      <c r="J220" vm="3304">
        <f ca="1"/>
        <v>424.7</v>
      </c>
      <c r="K220" vm="3305">
        <f ca="1"/>
        <v>97.5</v>
      </c>
      <c r="L220" vm="1415">
        <f ca="1"/>
        <v>308.75</v>
      </c>
      <c r="M220" vm="3306">
        <f ca="1"/>
        <v>272.45</v>
      </c>
      <c r="N220" vm="3307">
        <f ca="1"/>
        <v>13.94</v>
      </c>
      <c r="O220" vm="732">
        <f ca="1"/>
        <v>537.6</v>
      </c>
      <c r="Q220" s="4">
        <f t="shared" ca="1" si="63"/>
        <v>1.0760401721664259E-2</v>
      </c>
      <c r="R220" s="4">
        <f t="shared" ca="1" si="64"/>
        <v>-1.6164053075995111E-2</v>
      </c>
      <c r="S220" s="4">
        <f t="shared" ca="1" si="65"/>
        <v>4.8076923076923128E-2</v>
      </c>
      <c r="T220" s="4">
        <f t="shared" ca="1" si="73"/>
        <v>2.6937093962922098E-3</v>
      </c>
      <c r="U220" s="4">
        <f t="shared" ca="1" si="74"/>
        <v>9.4184129974106412E-4</v>
      </c>
      <c r="V220" s="4">
        <f t="shared" ca="1" si="66"/>
        <v>-3.5670356703566553E-3</v>
      </c>
      <c r="W220" s="4">
        <f t="shared" ca="1" si="67"/>
        <v>1.8966334755807779E-3</v>
      </c>
      <c r="X220" s="4">
        <f t="shared" ca="1" si="68"/>
        <v>-2.0003670398238138E-2</v>
      </c>
      <c r="Y220" s="4">
        <f t="shared" ca="1" si="69"/>
        <v>-3.4447123665182211E-4</v>
      </c>
      <c r="Z220" s="4">
        <f t="shared" ca="1" si="70"/>
        <v>-4.9554655870445385E-2</v>
      </c>
      <c r="AA220" s="4">
        <f t="shared" ca="1" si="71"/>
        <v>-6.1335493577132638E-3</v>
      </c>
      <c r="AB220" s="4">
        <f t="shared" ca="1" si="75"/>
        <v>-1.1160714285714302E-2</v>
      </c>
      <c r="AC220" s="4">
        <f t="shared" ca="1" si="76"/>
        <v>-2.1912350597609542E-2</v>
      </c>
      <c r="AD220" s="4"/>
      <c r="AE220" s="2" cm="1">
        <f t="array" aca="1" ref="AE220" ca="1">SUMPRODUCT(Q220:AB220,TRANSPOSE(Insights.!$H$4:$H$15))</f>
        <v>-5.4486996542791304E-3</v>
      </c>
      <c r="AG220" s="10" vm="3300">
        <f ca="1"/>
        <v>45967</v>
      </c>
      <c r="AH220" s="1" vm="3308">
        <f ca="1"/>
        <v>110.51</v>
      </c>
      <c r="AI220" s="2">
        <f t="shared" ca="1" si="72"/>
        <v>-3.3481132929147339E-3</v>
      </c>
      <c r="AJ220" s="1" vm="3309">
        <f ca="1"/>
        <v>110.22</v>
      </c>
      <c r="AK220" s="2">
        <f t="shared" ca="1" si="77"/>
        <v>-1.3200870985302093E-2</v>
      </c>
      <c r="AL220" s="1" vm="3310">
        <f ca="1"/>
        <v>56.66</v>
      </c>
      <c r="AM220" s="2">
        <f t="shared" ca="1" si="78"/>
        <v>-5.2947405577126183E-3</v>
      </c>
      <c r="AO220" s="9">
        <f t="shared" ca="1" si="79"/>
        <v>100.19965342561233</v>
      </c>
      <c r="AP220">
        <f t="shared" ca="1" si="80"/>
        <v>102.47589020771521</v>
      </c>
      <c r="AQ220">
        <f t="shared" ca="1" si="81"/>
        <v>104.67236467236479</v>
      </c>
      <c r="AR220">
        <f t="shared" ca="1" si="82"/>
        <v>115.52655724334804</v>
      </c>
      <c r="AT220" s="21">
        <f ca="1">MAX($AO$3:AO221)</f>
        <v>106.96839029133979</v>
      </c>
      <c r="AU220" s="2">
        <f t="shared" ca="1" si="83"/>
        <v>-6.327791646945502E-2</v>
      </c>
    </row>
    <row r="221" spans="1:47" x14ac:dyDescent="0.25">
      <c r="A221" vm="3311">
        <f ca="1"/>
        <v>45968</v>
      </c>
      <c r="B221" vm="3312">
        <f ca="1"/>
        <v>162.02000000000001</v>
      </c>
      <c r="C221" vm="3313">
        <f ca="1"/>
        <v>245.5</v>
      </c>
      <c r="D221" vm="3314">
        <f ca="1"/>
        <v>290.2</v>
      </c>
      <c r="E221" vm="3315">
        <f ca="1"/>
        <v>203.9</v>
      </c>
      <c r="F221" vm="3316">
        <f ca="1"/>
        <v>211.3</v>
      </c>
      <c r="G221" vm="3317">
        <f ca="1"/>
        <v>163.5</v>
      </c>
      <c r="H221" vm="3318">
        <f ca="1"/>
        <v>429.4</v>
      </c>
      <c r="I221" vm="3319">
        <f ca="1"/>
        <v>126.56</v>
      </c>
      <c r="J221" vm="3320">
        <f ca="1"/>
        <v>425.1</v>
      </c>
      <c r="K221" vm="2933">
        <f ca="1"/>
        <v>95.5</v>
      </c>
      <c r="L221" vm="3321">
        <f ca="1"/>
        <v>293.45</v>
      </c>
      <c r="M221" vm="3322">
        <f ca="1"/>
        <v>267</v>
      </c>
      <c r="N221" vm="3323">
        <f ca="1"/>
        <v>14.09</v>
      </c>
      <c r="O221" vm="3324">
        <f ca="1"/>
        <v>531.6</v>
      </c>
      <c r="Q221" s="4">
        <f t="shared" ca="1" si="63"/>
        <v>2.8034066713981565E-2</v>
      </c>
      <c r="R221" s="4">
        <f t="shared" ca="1" si="64"/>
        <v>1.8391368317802748E-2</v>
      </c>
      <c r="S221" s="4">
        <f t="shared" ca="1" si="65"/>
        <v>2.7522935779816571E-2</v>
      </c>
      <c r="T221" s="4">
        <f t="shared" ca="1" si="73"/>
        <v>-8.5335018963337284E-3</v>
      </c>
      <c r="U221" s="4">
        <f t="shared" ca="1" si="74"/>
        <v>-7.9981180898612836E-3</v>
      </c>
      <c r="V221" s="4">
        <f t="shared" ca="1" si="66"/>
        <v>6.2955190717195242E-2</v>
      </c>
      <c r="W221" s="4">
        <f t="shared" ca="1" si="67"/>
        <v>1.7037387600567833E-2</v>
      </c>
      <c r="X221" s="4">
        <f t="shared" ca="1" si="68"/>
        <v>2.6029962546816332E-2</v>
      </c>
      <c r="Y221" s="4">
        <f t="shared" ca="1" si="69"/>
        <v>1.3783597518952639E-3</v>
      </c>
      <c r="Z221" s="4">
        <f t="shared" ca="1" si="70"/>
        <v>4.9582552393934165E-2</v>
      </c>
      <c r="AA221" s="4">
        <f t="shared" ca="1" si="71"/>
        <v>1.9678621332091417E-2</v>
      </c>
      <c r="AB221" s="4">
        <f t="shared" ca="1" si="75"/>
        <v>7.900677200902706E-3</v>
      </c>
      <c r="AC221" s="4">
        <f t="shared" ca="1" si="76"/>
        <v>4.2769857433808456E-2</v>
      </c>
      <c r="AD221" s="4"/>
      <c r="AE221" s="2" cm="1">
        <f t="array" aca="1" ref="AE221" ca="1">SUMPRODUCT(Q221:AB221,TRANSPOSE(Insights.!$H$4:$H$15))</f>
        <v>1.7930933945670462E-2</v>
      </c>
      <c r="AG221" s="10" vm="3311">
        <f ca="1"/>
        <v>45968</v>
      </c>
      <c r="AH221" s="1" vm="3325">
        <f ca="1"/>
        <v>110.14</v>
      </c>
      <c r="AI221" s="2">
        <f t="shared" ca="1" si="72"/>
        <v>1.5344107499545956E-2</v>
      </c>
      <c r="AJ221" s="1" vm="3326">
        <f ca="1"/>
        <v>108.765</v>
      </c>
      <c r="AK221" s="2">
        <f t="shared" ca="1" si="77"/>
        <v>1.9951271089045264E-2</v>
      </c>
      <c r="AL221" s="1" vm="3327">
        <f ca="1"/>
        <v>56.36</v>
      </c>
      <c r="AM221" s="2">
        <f t="shared" ca="1" si="78"/>
        <v>1.6678495386799108E-2</v>
      </c>
      <c r="AO221" s="9">
        <f t="shared" ca="1" si="79"/>
        <v>99.653695608633313</v>
      </c>
      <c r="AP221">
        <f t="shared" ca="1" si="80"/>
        <v>102.13278931750749</v>
      </c>
      <c r="AQ221">
        <f t="shared" ca="1" si="81"/>
        <v>103.29059829059841</v>
      </c>
      <c r="AR221">
        <f t="shared" ca="1" si="82"/>
        <v>114.91487409521878</v>
      </c>
      <c r="AT221" s="21">
        <f ca="1">MAX($AO$3:AO222)</f>
        <v>106.96839029133979</v>
      </c>
      <c r="AU221" s="2">
        <f t="shared" ca="1" si="83"/>
        <v>-6.8381833762143462E-2</v>
      </c>
    </row>
    <row r="222" spans="1:47" x14ac:dyDescent="0.25">
      <c r="A222" vm="3328">
        <f ca="1"/>
        <v>45971</v>
      </c>
      <c r="B222" vm="3329">
        <f ca="1"/>
        <v>172.22</v>
      </c>
      <c r="C222" vm="3330">
        <f ca="1"/>
        <v>256</v>
      </c>
      <c r="D222" vm="3331">
        <f ca="1"/>
        <v>290.60000000000002</v>
      </c>
      <c r="E222" vm="1224">
        <f ca="1"/>
        <v>207.65</v>
      </c>
      <c r="F222" vm="3332">
        <f ca="1"/>
        <v>214.9</v>
      </c>
      <c r="G222" vm="3333">
        <f ca="1"/>
        <v>168</v>
      </c>
      <c r="H222" vm="3334">
        <f ca="1"/>
        <v>437.85</v>
      </c>
      <c r="I222" vm="1869">
        <f ca="1"/>
        <v>125.48</v>
      </c>
      <c r="J222" vm="1156">
        <f ca="1"/>
        <v>421.7</v>
      </c>
      <c r="K222" vm="3305">
        <f ca="1"/>
        <v>97.5</v>
      </c>
      <c r="L222" vm="3335">
        <f ca="1"/>
        <v>308</v>
      </c>
      <c r="M222" vm="3336">
        <f ca="1"/>
        <v>273.95</v>
      </c>
      <c r="N222" vm="3337">
        <f ca="1"/>
        <v>14.484999999999999</v>
      </c>
      <c r="O222" vm="3338">
        <f ca="1"/>
        <v>535.79999999999995</v>
      </c>
      <c r="Q222" s="4">
        <f t="shared" ca="1" si="63"/>
        <v>-1.2426648256817385E-2</v>
      </c>
      <c r="R222" s="4">
        <f t="shared" ca="1" si="64"/>
        <v>1.0594750782566775E-2</v>
      </c>
      <c r="S222" s="4">
        <f t="shared" ca="1" si="65"/>
        <v>-7.1428571428571397E-2</v>
      </c>
      <c r="T222" s="4">
        <f t="shared" ca="1" si="73"/>
        <v>1.8170226330889383E-2</v>
      </c>
      <c r="U222" s="4">
        <f t="shared" ca="1" si="74"/>
        <v>2.0275077069006331E-2</v>
      </c>
      <c r="V222" s="4">
        <f t="shared" ca="1" si="66"/>
        <v>-2.717454418766696E-2</v>
      </c>
      <c r="W222" s="4">
        <f t="shared" ca="1" si="67"/>
        <v>0</v>
      </c>
      <c r="X222" s="4">
        <f t="shared" ca="1" si="68"/>
        <v>-5.4754517247672663E-3</v>
      </c>
      <c r="Y222" s="4">
        <f t="shared" ca="1" si="69"/>
        <v>-4.9896765313146574E-3</v>
      </c>
      <c r="Z222" s="4">
        <f t="shared" ca="1" si="70"/>
        <v>-8.116883116883078E-3</v>
      </c>
      <c r="AA222" s="4">
        <f t="shared" ca="1" si="71"/>
        <v>2.0554984583760483E-3</v>
      </c>
      <c r="AB222" s="4">
        <f t="shared" ca="1" si="75"/>
        <v>7.6521089958940802E-3</v>
      </c>
      <c r="AC222" s="4">
        <f t="shared" ca="1" si="76"/>
        <v>-2.1484375E-2</v>
      </c>
      <c r="AD222" s="4"/>
      <c r="AE222" s="2" cm="1">
        <f t="array" aca="1" ref="AE222" ca="1">SUMPRODUCT(Q222:AB222,TRANSPOSE(Insights.!$H$4:$H$15))</f>
        <v>-3.9017811720283542E-3</v>
      </c>
      <c r="AG222" s="10" vm="3328">
        <f ca="1"/>
        <v>45971</v>
      </c>
      <c r="AH222" s="1" vm="3339">
        <f ca="1"/>
        <v>111.83</v>
      </c>
      <c r="AI222" s="2">
        <f t="shared" ca="1" si="72"/>
        <v>1.6095859787177424E-3</v>
      </c>
      <c r="AJ222" s="1" vm="3340">
        <f ca="1"/>
        <v>110.935</v>
      </c>
      <c r="AK222" s="2">
        <f t="shared" ca="1" si="77"/>
        <v>3.6507864965971137E-3</v>
      </c>
      <c r="AL222" s="1" vm="3142">
        <f ca="1"/>
        <v>57.3</v>
      </c>
      <c r="AM222" s="2">
        <f t="shared" ca="1" si="78"/>
        <v>9.9476439790575633E-3</v>
      </c>
      <c r="AO222" s="9">
        <f t="shared" ca="1" si="79"/>
        <v>101.44057944203365</v>
      </c>
      <c r="AP222">
        <f t="shared" ca="1" si="80"/>
        <v>103.69992581602381</v>
      </c>
      <c r="AQ222">
        <f t="shared" ca="1" si="81"/>
        <v>105.35137701804382</v>
      </c>
      <c r="AR222">
        <f t="shared" ca="1" si="82"/>
        <v>116.83148129269048</v>
      </c>
      <c r="AT222" s="21">
        <f ca="1">MAX($AO$3:AO223)</f>
        <v>106.96839029133979</v>
      </c>
      <c r="AU222" s="2">
        <f t="shared" ca="1" si="83"/>
        <v>-5.1677049960745958E-2</v>
      </c>
    </row>
    <row r="223" spans="1:47" x14ac:dyDescent="0.25">
      <c r="A223" vm="3341">
        <f ca="1"/>
        <v>45972</v>
      </c>
      <c r="B223" vm="3342">
        <f ca="1"/>
        <v>167.54</v>
      </c>
      <c r="C223" vm="790">
        <f ca="1"/>
        <v>250.5</v>
      </c>
      <c r="D223" vm="3343">
        <f ca="1"/>
        <v>289.14999999999998</v>
      </c>
      <c r="E223" vm="3344">
        <f ca="1"/>
        <v>209.85</v>
      </c>
      <c r="F223" vm="3332">
        <f ca="1"/>
        <v>214.9</v>
      </c>
      <c r="G223" vm="1066">
        <f ca="1"/>
        <v>156</v>
      </c>
      <c r="H223" vm="3345">
        <f ca="1"/>
        <v>438.75</v>
      </c>
      <c r="I223" vm="3346">
        <f ca="1"/>
        <v>127.76</v>
      </c>
      <c r="J223" vm="3347">
        <f ca="1"/>
        <v>430.25</v>
      </c>
      <c r="K223" vm="2859">
        <f ca="1"/>
        <v>89.5</v>
      </c>
      <c r="L223" vm="3348">
        <f ca="1"/>
        <v>305.5</v>
      </c>
      <c r="M223" vm="3306">
        <f ca="1"/>
        <v>272.45</v>
      </c>
      <c r="N223" vm="3349">
        <f ca="1"/>
        <v>14.305</v>
      </c>
      <c r="O223" vm="3350">
        <f ca="1"/>
        <v>539.9</v>
      </c>
      <c r="Q223" s="4">
        <f t="shared" ca="1" si="63"/>
        <v>-1.7126878713736415E-2</v>
      </c>
      <c r="R223" s="4">
        <f t="shared" ca="1" si="64"/>
        <v>1.7393376221110257E-2</v>
      </c>
      <c r="S223" s="4">
        <f t="shared" ca="1" si="65"/>
        <v>-9.6153846153845812E-3</v>
      </c>
      <c r="T223" s="4">
        <f t="shared" ca="1" si="73"/>
        <v>-2.5046963055730398E-3</v>
      </c>
      <c r="U223" s="4">
        <f t="shared" ca="1" si="74"/>
        <v>-4.7646717024986129E-3</v>
      </c>
      <c r="V223" s="4">
        <f t="shared" ca="1" si="66"/>
        <v>-4.7749791094663374E-3</v>
      </c>
      <c r="W223" s="4">
        <f t="shared" ca="1" si="67"/>
        <v>-1.6984644020474615E-2</v>
      </c>
      <c r="X223" s="4">
        <f t="shared" ca="1" si="68"/>
        <v>1.7067351807671161E-2</v>
      </c>
      <c r="Y223" s="4">
        <f t="shared" ca="1" si="69"/>
        <v>1.6600380425384698E-2</v>
      </c>
      <c r="Z223" s="4">
        <f t="shared" ca="1" si="70"/>
        <v>3.7643207855972971E-3</v>
      </c>
      <c r="AA223" s="4">
        <f t="shared" ca="1" si="71"/>
        <v>5.2421652421652531E-3</v>
      </c>
      <c r="AB223" s="4">
        <f t="shared" ca="1" si="75"/>
        <v>2.0003704389701893E-2</v>
      </c>
      <c r="AC223" s="4">
        <f t="shared" ca="1" si="76"/>
        <v>0</v>
      </c>
      <c r="AD223" s="4"/>
      <c r="AE223" s="2" cm="1">
        <f t="array" aca="1" ref="AE223" ca="1">SUMPRODUCT(Q223:AB223,TRANSPOSE(Insights.!$H$4:$H$15))</f>
        <v>3.6493987030223286E-3</v>
      </c>
      <c r="AG223" s="10" vm="3341">
        <f ca="1"/>
        <v>45972</v>
      </c>
      <c r="AH223" s="1" vm="3351">
        <f ca="1"/>
        <v>112.01</v>
      </c>
      <c r="AI223" s="2">
        <f t="shared" ca="1" si="72"/>
        <v>9.3741630211585658E-4</v>
      </c>
      <c r="AJ223" s="1" vm="3352">
        <f ca="1"/>
        <v>111.34</v>
      </c>
      <c r="AK223" s="2">
        <f t="shared" ca="1" si="77"/>
        <v>5.5685288306088765E-3</v>
      </c>
      <c r="AL223" s="1" vm="3353">
        <f ca="1"/>
        <v>57.87</v>
      </c>
      <c r="AM223" s="2">
        <f t="shared" ca="1" si="78"/>
        <v>9.5040608259893133E-3</v>
      </c>
      <c r="AO223" s="9">
        <f t="shared" ca="1" si="79"/>
        <v>101.04478049908708</v>
      </c>
      <c r="AP223">
        <f t="shared" ca="1" si="80"/>
        <v>103.86683976261135</v>
      </c>
      <c r="AQ223">
        <f t="shared" ca="1" si="81"/>
        <v>105.73599240265921</v>
      </c>
      <c r="AR223">
        <f t="shared" ca="1" si="82"/>
        <v>117.9936792741361</v>
      </c>
      <c r="AT223" s="21">
        <f ca="1">MAX($AO$3:AO224)</f>
        <v>106.96839029133979</v>
      </c>
      <c r="AU223" s="2">
        <f t="shared" ca="1" si="83"/>
        <v>-5.5377198592211463E-2</v>
      </c>
    </row>
    <row r="224" spans="1:47" x14ac:dyDescent="0.25">
      <c r="A224" vm="3354">
        <f ca="1"/>
        <v>45973</v>
      </c>
      <c r="B224" vm="3355">
        <f ca="1"/>
        <v>166.74</v>
      </c>
      <c r="C224" vm="790">
        <f ca="1"/>
        <v>250.5</v>
      </c>
      <c r="D224" vm="1898">
        <f ca="1"/>
        <v>293.95</v>
      </c>
      <c r="E224" vm="610">
        <f ca="1"/>
        <v>213.5</v>
      </c>
      <c r="F224" vm="3356">
        <f ca="1"/>
        <v>211.25</v>
      </c>
      <c r="G224" vm="3357">
        <f ca="1"/>
        <v>154.5</v>
      </c>
      <c r="H224" vm="3358">
        <f ca="1"/>
        <v>441.05</v>
      </c>
      <c r="I224" vm="3359">
        <f ca="1"/>
        <v>127.44</v>
      </c>
      <c r="J224" vm="3360">
        <f ca="1"/>
        <v>428.2</v>
      </c>
      <c r="K224" vm="3361">
        <f ca="1"/>
        <v>82</v>
      </c>
      <c r="L224" vm="3362">
        <f ca="1"/>
        <v>306.64999999999998</v>
      </c>
      <c r="M224" vm="3363">
        <f ca="1"/>
        <v>277.10000000000002</v>
      </c>
      <c r="N224" vm="3364">
        <f ca="1"/>
        <v>14.06</v>
      </c>
      <c r="O224" vm="3365">
        <f ca="1"/>
        <v>550.70000000000005</v>
      </c>
      <c r="Q224" s="4">
        <f t="shared" ca="1" si="63"/>
        <v>-2.9160739687055459E-2</v>
      </c>
      <c r="R224" s="4">
        <f t="shared" ca="1" si="64"/>
        <v>-2.5292740046838458E-2</v>
      </c>
      <c r="S224" s="4">
        <f t="shared" ca="1" si="65"/>
        <v>-2.0711974110032338E-2</v>
      </c>
      <c r="T224" s="4">
        <f t="shared" ca="1" si="73"/>
        <v>-1.5693659761456535E-3</v>
      </c>
      <c r="U224" s="4">
        <f t="shared" ca="1" si="74"/>
        <v>9.6917328351238119E-3</v>
      </c>
      <c r="V224" s="4">
        <f t="shared" ca="1" si="66"/>
        <v>-3.8742953100635802E-2</v>
      </c>
      <c r="W224" s="4">
        <f t="shared" ca="1" si="67"/>
        <v>-3.4319526627218933E-2</v>
      </c>
      <c r="X224" s="4">
        <f t="shared" ca="1" si="68"/>
        <v>-2.941176470588247E-2</v>
      </c>
      <c r="Y224" s="4">
        <f t="shared" ca="1" si="69"/>
        <v>-1.7349889436979016E-2</v>
      </c>
      <c r="Z224" s="4">
        <f t="shared" ca="1" si="70"/>
        <v>-5.7557475949779779E-2</v>
      </c>
      <c r="AA224" s="4">
        <f t="shared" ca="1" si="71"/>
        <v>-1.7911801383063253E-2</v>
      </c>
      <c r="AB224" s="4">
        <f t="shared" ca="1" si="75"/>
        <v>1.7432358816052096E-2</v>
      </c>
      <c r="AC224" s="4">
        <f t="shared" ca="1" si="76"/>
        <v>-2.5948103792415189E-2</v>
      </c>
      <c r="AD224" s="4"/>
      <c r="AE224" s="2" cm="1">
        <f t="array" aca="1" ref="AE224" ca="1">SUMPRODUCT(Q224:AB224,TRANSPOSE(Insights.!$H$4:$H$15))</f>
        <v>-1.8609593194695725E-2</v>
      </c>
      <c r="AG224" s="10" vm="3354">
        <f ca="1"/>
        <v>45973</v>
      </c>
      <c r="AH224" s="1" vm="3366">
        <f ca="1"/>
        <v>112.11499999999999</v>
      </c>
      <c r="AI224" s="2">
        <f t="shared" ca="1" si="72"/>
        <v>-2.1361994380769689E-2</v>
      </c>
      <c r="AJ224" s="1" vm="3367">
        <f ca="1"/>
        <v>111.96</v>
      </c>
      <c r="AK224" s="2">
        <f t="shared" ca="1" si="77"/>
        <v>-1.2906395141121796E-2</v>
      </c>
      <c r="AL224" s="1" vm="3368">
        <f ca="1"/>
        <v>58.42</v>
      </c>
      <c r="AM224" s="2">
        <f t="shared" ca="1" si="78"/>
        <v>-1.3693940431359186E-2</v>
      </c>
      <c r="AO224" s="9">
        <f t="shared" ca="1" si="79"/>
        <v>101.41353318998763</v>
      </c>
      <c r="AP224">
        <f t="shared" ca="1" si="80"/>
        <v>103.96420623145407</v>
      </c>
      <c r="AQ224">
        <f t="shared" ca="1" si="81"/>
        <v>106.32478632478646</v>
      </c>
      <c r="AR224">
        <f t="shared" ca="1" si="82"/>
        <v>119.11509837903976</v>
      </c>
      <c r="AT224" s="21">
        <f ca="1">MAX($AO$3:AO225)</f>
        <v>106.96839029133979</v>
      </c>
      <c r="AU224" s="2">
        <f t="shared" ca="1" si="83"/>
        <v>-5.1929893365908475E-2</v>
      </c>
    </row>
    <row r="225" spans="1:47" x14ac:dyDescent="0.25">
      <c r="A225" vm="3369">
        <f ca="1"/>
        <v>45974</v>
      </c>
      <c r="B225" vm="3370">
        <f ca="1"/>
        <v>160.28</v>
      </c>
      <c r="C225" vm="645">
        <f ca="1"/>
        <v>244</v>
      </c>
      <c r="D225" vm="3371">
        <f ca="1"/>
        <v>288.85000000000002</v>
      </c>
      <c r="E225" vm="3372">
        <f ca="1"/>
        <v>208.1</v>
      </c>
      <c r="F225" vm="2157">
        <f ca="1"/>
        <v>204</v>
      </c>
      <c r="G225" vm="1777">
        <f ca="1"/>
        <v>151.30000000000001</v>
      </c>
      <c r="H225" vm="3373">
        <f ca="1"/>
        <v>433.15</v>
      </c>
      <c r="I225" vm="3374">
        <f ca="1"/>
        <v>127.24</v>
      </c>
      <c r="J225" vm="3375">
        <f ca="1"/>
        <v>432.35</v>
      </c>
      <c r="K225" vm="2762">
        <f ca="1"/>
        <v>75.5</v>
      </c>
      <c r="L225" vm="2436">
        <f ca="1"/>
        <v>289</v>
      </c>
      <c r="M225" vm="3376">
        <f ca="1"/>
        <v>268.95</v>
      </c>
      <c r="N225" vm="3377">
        <f ca="1"/>
        <v>13.65</v>
      </c>
      <c r="O225" vm="3378">
        <f ca="1"/>
        <v>560.29999999999995</v>
      </c>
      <c r="Q225" s="4">
        <f t="shared" ca="1" si="63"/>
        <v>-1.5384615384615441E-2</v>
      </c>
      <c r="R225" s="4">
        <f t="shared" ca="1" si="64"/>
        <v>9.610764055742349E-3</v>
      </c>
      <c r="S225" s="4">
        <f t="shared" ca="1" si="65"/>
        <v>-7.4686054196959728E-2</v>
      </c>
      <c r="T225" s="4">
        <f t="shared" ca="1" si="73"/>
        <v>2.8292989625904319E-3</v>
      </c>
      <c r="U225" s="4">
        <f t="shared" ca="1" si="74"/>
        <v>-4.8571758991557967E-3</v>
      </c>
      <c r="V225" s="4">
        <f t="shared" ca="1" si="66"/>
        <v>1.859246318941854E-2</v>
      </c>
      <c r="W225" s="4">
        <f t="shared" ca="1" si="67"/>
        <v>-3.9215686274510775E-3</v>
      </c>
      <c r="X225" s="4">
        <f t="shared" ca="1" si="68"/>
        <v>-2.212307120282575E-2</v>
      </c>
      <c r="Y225" s="4">
        <f t="shared" ca="1" si="69"/>
        <v>-1.6617621602908139E-2</v>
      </c>
      <c r="Z225" s="4">
        <f t="shared" ca="1" si="70"/>
        <v>2.076124567474058E-2</v>
      </c>
      <c r="AA225" s="4">
        <f t="shared" ca="1" si="71"/>
        <v>1.5237215745123045E-2</v>
      </c>
      <c r="AB225" s="4">
        <f t="shared" ca="1" si="75"/>
        <v>-1.2314831340353383E-2</v>
      </c>
      <c r="AC225" s="4">
        <f t="shared" ca="1" si="76"/>
        <v>2.049180327868827E-3</v>
      </c>
      <c r="AD225" s="4"/>
      <c r="AE225" s="2" cm="1">
        <f t="array" aca="1" ref="AE225" ca="1">SUMPRODUCT(Q225:AB225,TRANSPOSE(Insights.!$H$4:$H$15))</f>
        <v>-6.2330393341139424E-3</v>
      </c>
      <c r="AG225" s="10" vm="3369">
        <f ca="1"/>
        <v>45974</v>
      </c>
      <c r="AH225" s="1" vm="3379">
        <f ca="1"/>
        <v>109.72</v>
      </c>
      <c r="AI225" s="2">
        <f t="shared" ca="1" si="72"/>
        <v>3.8279256288735741E-3</v>
      </c>
      <c r="AJ225" s="1" vm="3380">
        <f ca="1"/>
        <v>110.515</v>
      </c>
      <c r="AK225" s="2">
        <f t="shared" ca="1" si="77"/>
        <v>-2.8502918155905999E-3</v>
      </c>
      <c r="AL225" s="1" vm="3381">
        <f ca="1"/>
        <v>57.62</v>
      </c>
      <c r="AM225" s="2">
        <f t="shared" ca="1" si="78"/>
        <v>-5.2065255119749798E-3</v>
      </c>
      <c r="AO225" s="9">
        <f t="shared" ca="1" si="79"/>
        <v>99.526268592885188</v>
      </c>
      <c r="AP225">
        <f t="shared" ca="1" si="80"/>
        <v>101.74332344213657</v>
      </c>
      <c r="AQ225">
        <f t="shared" ca="1" si="81"/>
        <v>104.95251661918343</v>
      </c>
      <c r="AR225">
        <f t="shared" ca="1" si="82"/>
        <v>117.48394331736171</v>
      </c>
      <c r="AT225" s="21">
        <f ca="1">MAX($AO$3:AO226)</f>
        <v>106.96839029133979</v>
      </c>
      <c r="AU225" s="2">
        <f t="shared" ca="1" si="83"/>
        <v>-6.9573092370420753E-2</v>
      </c>
    </row>
    <row r="226" spans="1:47" x14ac:dyDescent="0.25">
      <c r="A226" vm="3382">
        <f ca="1"/>
        <v>45975</v>
      </c>
      <c r="B226" vm="3383">
        <f ca="1"/>
        <v>163.26</v>
      </c>
      <c r="C226" vm="3384">
        <f ca="1"/>
        <v>244.5</v>
      </c>
      <c r="D226" vm="3385">
        <f ca="1"/>
        <v>284.05</v>
      </c>
      <c r="E226" vm="3386">
        <f ca="1"/>
        <v>210.1</v>
      </c>
      <c r="F226" vm="3387">
        <f ca="1"/>
        <v>203.2</v>
      </c>
      <c r="G226" vm="1674">
        <f ca="1"/>
        <v>140</v>
      </c>
      <c r="H226" vm="3388">
        <f ca="1"/>
        <v>439.75</v>
      </c>
      <c r="I226" vm="3389">
        <f ca="1"/>
        <v>127.6</v>
      </c>
      <c r="J226" vm="3347">
        <f ca="1"/>
        <v>430.25</v>
      </c>
      <c r="K226" vm="3390">
        <f ca="1"/>
        <v>72</v>
      </c>
      <c r="L226" vm="3391">
        <f ca="1"/>
        <v>295</v>
      </c>
      <c r="M226" vm="3232">
        <f ca="1"/>
        <v>263</v>
      </c>
      <c r="N226" vm="3392">
        <f ca="1"/>
        <v>13.44</v>
      </c>
      <c r="O226" vm="3393">
        <f ca="1"/>
        <v>553.4</v>
      </c>
      <c r="Q226" s="4">
        <f t="shared" ca="1" si="63"/>
        <v>-2.1577380952380931E-2</v>
      </c>
      <c r="R226" s="4">
        <f t="shared" ca="1" si="64"/>
        <v>-2.9033793431699206E-2</v>
      </c>
      <c r="S226" s="4">
        <f t="shared" ca="1" si="65"/>
        <v>7.1785714285714342E-2</v>
      </c>
      <c r="T226" s="4">
        <f t="shared" ca="1" si="73"/>
        <v>-1.3479623824451448E-2</v>
      </c>
      <c r="U226" s="4">
        <f t="shared" ca="1" si="74"/>
        <v>-1.9523532829750057E-2</v>
      </c>
      <c r="V226" s="4">
        <f t="shared" ca="1" si="66"/>
        <v>-1.3842949895871537E-2</v>
      </c>
      <c r="W226" s="4">
        <f t="shared" ca="1" si="67"/>
        <v>-1.5944881889763729E-2</v>
      </c>
      <c r="X226" s="4">
        <f t="shared" ca="1" si="68"/>
        <v>-6.6539923954372915E-3</v>
      </c>
      <c r="Y226" s="4">
        <f t="shared" ca="1" si="69"/>
        <v>-8.8012673825030863E-3</v>
      </c>
      <c r="Z226" s="4">
        <f t="shared" ca="1" si="70"/>
        <v>1.2033898305084723E-2</v>
      </c>
      <c r="AA226" s="4">
        <f t="shared" ca="1" si="71"/>
        <v>-7.6179647527004901E-3</v>
      </c>
      <c r="AB226" s="4">
        <f t="shared" ca="1" si="75"/>
        <v>-5.6017347307554255E-3</v>
      </c>
      <c r="AC226" s="4">
        <f t="shared" ca="1" si="76"/>
        <v>-1.2269938650306789E-2</v>
      </c>
      <c r="AD226" s="4"/>
      <c r="AE226" s="2" cm="1">
        <f t="array" aca="1" ref="AE226" ca="1">SUMPRODUCT(Q226:AB226,TRANSPOSE(Insights.!$H$4:$H$15))</f>
        <v>-5.3726889240984718E-3</v>
      </c>
      <c r="AG226" s="10" vm="3382">
        <f ca="1"/>
        <v>45975</v>
      </c>
      <c r="AH226" s="1" vm="3325">
        <f ca="1"/>
        <v>110.14</v>
      </c>
      <c r="AI226" s="2">
        <f t="shared" ca="1" si="72"/>
        <v>-1.2484111131287445E-2</v>
      </c>
      <c r="AJ226" s="1" vm="3394">
        <f ca="1"/>
        <v>110.2</v>
      </c>
      <c r="AK226" s="2">
        <f t="shared" ca="1" si="77"/>
        <v>-4.0834845735027159E-3</v>
      </c>
      <c r="AL226" s="1" vm="3395">
        <f ca="1"/>
        <v>57.32</v>
      </c>
      <c r="AM226" s="2">
        <f t="shared" ca="1" si="78"/>
        <v>-1.4654570830425762E-2</v>
      </c>
      <c r="AO226" s="9">
        <f t="shared" ca="1" si="79"/>
        <v>98.905917445968143</v>
      </c>
      <c r="AP226">
        <f t="shared" ca="1" si="80"/>
        <v>102.1327893175075</v>
      </c>
      <c r="AQ226">
        <f t="shared" ca="1" si="81"/>
        <v>104.65337132003813</v>
      </c>
      <c r="AR226">
        <f t="shared" ca="1" si="82"/>
        <v>116.87226016923245</v>
      </c>
      <c r="AT226" s="21">
        <f ca="1">MAX($AO$3:AO227)</f>
        <v>106.96839029133979</v>
      </c>
      <c r="AU226" s="2">
        <f t="shared" ca="1" si="83"/>
        <v>-7.5372479883193955E-2</v>
      </c>
    </row>
    <row r="227" spans="1:47" x14ac:dyDescent="0.25">
      <c r="A227" vm="3396">
        <f ca="1"/>
        <v>45978</v>
      </c>
      <c r="B227" vm="3397">
        <f ca="1"/>
        <v>161</v>
      </c>
      <c r="C227" vm="3398">
        <f ca="1"/>
        <v>241.5</v>
      </c>
      <c r="D227" vm="3399">
        <f ca="1"/>
        <v>281.55</v>
      </c>
      <c r="E227" vm="2157">
        <f ca="1"/>
        <v>204</v>
      </c>
      <c r="F227" vm="3400">
        <f ca="1"/>
        <v>199.96</v>
      </c>
      <c r="G227" vm="3401">
        <f ca="1"/>
        <v>150.05000000000001</v>
      </c>
      <c r="H227" vm="2221">
        <f ca="1"/>
        <v>436.4</v>
      </c>
      <c r="I227" vm="3402">
        <f ca="1"/>
        <v>125.88</v>
      </c>
      <c r="J227" vm="3197">
        <f ca="1"/>
        <v>421.85</v>
      </c>
      <c r="K227" vm="3403">
        <f ca="1"/>
        <v>73.5</v>
      </c>
      <c r="L227" vm="3404">
        <f ca="1"/>
        <v>298.55</v>
      </c>
      <c r="M227" vm="3405">
        <f ca="1"/>
        <v>261.25</v>
      </c>
      <c r="N227" vm="3406">
        <f ca="1"/>
        <v>13.15</v>
      </c>
      <c r="O227" vm="3407">
        <f ca="1"/>
        <v>550.29999999999995</v>
      </c>
      <c r="Q227" s="4">
        <f t="shared" ca="1" si="63"/>
        <v>-1.4448669201520881E-2</v>
      </c>
      <c r="R227" s="4">
        <f t="shared" ca="1" si="64"/>
        <v>-2.4509803921568651E-2</v>
      </c>
      <c r="S227" s="4">
        <f t="shared" ca="1" si="65"/>
        <v>-1.0663112295901556E-2</v>
      </c>
      <c r="T227" s="4">
        <f t="shared" ca="1" si="73"/>
        <v>6.0374960279632184E-3</v>
      </c>
      <c r="U227" s="4">
        <f t="shared" ca="1" si="74"/>
        <v>2.4890363873413257E-3</v>
      </c>
      <c r="V227" s="4">
        <f t="shared" ca="1" si="66"/>
        <v>-2.4720496894409916E-2</v>
      </c>
      <c r="W227" s="4">
        <f t="shared" ca="1" si="67"/>
        <v>-2.6005201040208092E-2</v>
      </c>
      <c r="X227" s="4">
        <f t="shared" ca="1" si="68"/>
        <v>-6.5071770334927947E-3</v>
      </c>
      <c r="Y227" s="4">
        <f t="shared" ca="1" si="69"/>
        <v>-1.9889895222873433E-2</v>
      </c>
      <c r="Z227" s="4">
        <f t="shared" ca="1" si="70"/>
        <v>-3.8519510969687865E-3</v>
      </c>
      <c r="AA227" s="4">
        <f t="shared" ca="1" si="71"/>
        <v>-2.1769019248395916E-2</v>
      </c>
      <c r="AB227" s="4">
        <f t="shared" ca="1" si="75"/>
        <v>-8.1773578048337514E-3</v>
      </c>
      <c r="AC227" s="4">
        <f t="shared" ca="1" si="76"/>
        <v>-2.0703933747412417E-3</v>
      </c>
      <c r="AD227" s="4"/>
      <c r="AE227" s="2" cm="1">
        <f t="array" aca="1" ref="AE227" ca="1">SUMPRODUCT(Q227:AB227,TRANSPOSE(Insights.!$H$4:$H$15))</f>
        <v>-1.136359349697543E-2</v>
      </c>
      <c r="AG227" s="10" vm="3396">
        <f ca="1"/>
        <v>45978</v>
      </c>
      <c r="AH227" s="1" vm="3326">
        <f ca="1"/>
        <v>108.765</v>
      </c>
      <c r="AI227" s="2">
        <f t="shared" ca="1" si="72"/>
        <v>-1.2871787799384471E-3</v>
      </c>
      <c r="AJ227" s="1" vm="3178">
        <f ca="1"/>
        <v>109.75</v>
      </c>
      <c r="AK227" s="2">
        <f t="shared" ca="1" si="77"/>
        <v>-1.3348519362186839E-2</v>
      </c>
      <c r="AL227" s="1" vm="3408">
        <f ca="1"/>
        <v>56.48</v>
      </c>
      <c r="AM227" s="2">
        <f t="shared" ca="1" si="78"/>
        <v>-8.8526912181302597E-3</v>
      </c>
      <c r="AO227" s="9">
        <f t="shared" ca="1" si="79"/>
        <v>98.374526718778398</v>
      </c>
      <c r="AP227">
        <f t="shared" ca="1" si="80"/>
        <v>100.85775222551938</v>
      </c>
      <c r="AQ227">
        <f t="shared" ca="1" si="81"/>
        <v>104.2260208926877</v>
      </c>
      <c r="AR227">
        <f t="shared" ca="1" si="82"/>
        <v>115.15954735447048</v>
      </c>
      <c r="AT227" s="21">
        <f ca="1">MAX($AO$3:AO228)</f>
        <v>106.96839029133979</v>
      </c>
      <c r="AU227" s="2">
        <f t="shared" ca="1" si="83"/>
        <v>-8.0340215919442071E-2</v>
      </c>
    </row>
    <row r="228" spans="1:47" x14ac:dyDescent="0.25">
      <c r="A228" vm="3409">
        <f ca="1"/>
        <v>45979</v>
      </c>
      <c r="B228" vm="3410">
        <f ca="1"/>
        <v>157.02000000000001</v>
      </c>
      <c r="C228" vm="1151">
        <f ca="1"/>
        <v>241</v>
      </c>
      <c r="D228" vm="3411">
        <f ca="1"/>
        <v>275.95</v>
      </c>
      <c r="E228" vm="3412">
        <f ca="1"/>
        <v>199</v>
      </c>
      <c r="F228" vm="3413">
        <f ca="1"/>
        <v>194.76</v>
      </c>
      <c r="G228" vm="3414">
        <f ca="1"/>
        <v>148.44999999999999</v>
      </c>
      <c r="H228" vm="3415">
        <f ca="1"/>
        <v>426.9</v>
      </c>
      <c r="I228" vm="1882">
        <f ca="1"/>
        <v>126.64</v>
      </c>
      <c r="J228" vm="3094">
        <f ca="1"/>
        <v>422.9</v>
      </c>
      <c r="K228" vm="3416">
        <f ca="1"/>
        <v>78</v>
      </c>
      <c r="L228" vm="3417">
        <f ca="1"/>
        <v>297.39999999999998</v>
      </c>
      <c r="M228" vm="3418">
        <f ca="1"/>
        <v>259.55</v>
      </c>
      <c r="N228" vm="3419">
        <f ca="1"/>
        <v>12.96</v>
      </c>
      <c r="O228" vm="3420">
        <f ca="1"/>
        <v>545.79999999999995</v>
      </c>
      <c r="Q228" s="4">
        <f t="shared" ca="1" si="63"/>
        <v>-7.716049382717749E-4</v>
      </c>
      <c r="R228" s="4">
        <f t="shared" ca="1" si="64"/>
        <v>-1.0150753768844223E-2</v>
      </c>
      <c r="S228" s="4">
        <f t="shared" ca="1" si="65"/>
        <v>5.4227012462108481E-2</v>
      </c>
      <c r="T228" s="4">
        <f t="shared" ca="1" si="73"/>
        <v>7.2646873025901115E-3</v>
      </c>
      <c r="U228" s="4">
        <f t="shared" ca="1" si="74"/>
        <v>2.1281626862144076E-3</v>
      </c>
      <c r="V228" s="4">
        <f t="shared" ca="1" si="66"/>
        <v>3.1078843459431793E-2</v>
      </c>
      <c r="W228" s="4">
        <f t="shared" ca="1" si="67"/>
        <v>-6.982953378517065E-3</v>
      </c>
      <c r="X228" s="4">
        <f t="shared" ca="1" si="68"/>
        <v>9.4394143710267997E-3</v>
      </c>
      <c r="Y228" s="4">
        <f t="shared" ca="1" si="69"/>
        <v>6.341728574017047E-3</v>
      </c>
      <c r="Z228" s="4">
        <f t="shared" ca="1" si="70"/>
        <v>1.916610625420323E-2</v>
      </c>
      <c r="AA228" s="4">
        <f t="shared" ca="1" si="71"/>
        <v>-1.054111033028815E-2</v>
      </c>
      <c r="AB228" s="4">
        <f t="shared" ca="1" si="75"/>
        <v>-3.2979113228287504E-3</v>
      </c>
      <c r="AC228" s="4">
        <f t="shared" ca="1" si="76"/>
        <v>2.0746887966804906E-2</v>
      </c>
      <c r="AD228" s="4"/>
      <c r="AE228" s="2" cm="1">
        <f t="array" aca="1" ref="AE228" ca="1">SUMPRODUCT(Q228:AB228,TRANSPOSE(Insights.!$H$4:$H$15))</f>
        <v>6.2109515518612565E-3</v>
      </c>
      <c r="AG228" s="10" vm="3409">
        <f ca="1"/>
        <v>45979</v>
      </c>
      <c r="AH228" s="1" vm="3421">
        <f ca="1"/>
        <v>108.625</v>
      </c>
      <c r="AI228" s="2">
        <f t="shared" ca="1" si="72"/>
        <v>7.8711162255467038E-3</v>
      </c>
      <c r="AJ228" s="1" vm="3422">
        <f ca="1"/>
        <v>108.285</v>
      </c>
      <c r="AK228" s="2">
        <f t="shared" ca="1" si="77"/>
        <v>2.7242923765988802E-3</v>
      </c>
      <c r="AL228" s="1" vm="3423">
        <f ca="1"/>
        <v>55.98</v>
      </c>
      <c r="AM228" s="2">
        <f t="shared" ca="1" si="78"/>
        <v>1.607717041800738E-3</v>
      </c>
      <c r="AO228" s="9">
        <f t="shared" ca="1" si="79"/>
        <v>97.256638586688851</v>
      </c>
      <c r="AP228">
        <f t="shared" ca="1" si="80"/>
        <v>100.7279302670624</v>
      </c>
      <c r="AQ228">
        <f t="shared" ca="1" si="81"/>
        <v>102.83475783475797</v>
      </c>
      <c r="AR228">
        <f t="shared" ca="1" si="82"/>
        <v>114.14007544092171</v>
      </c>
      <c r="AT228" s="21">
        <f ca="1">MAX($AO$3:AO229)</f>
        <v>106.96839029133979</v>
      </c>
      <c r="AU228" s="2">
        <f t="shared" ca="1" si="83"/>
        <v>-9.0790855861249686E-2</v>
      </c>
    </row>
    <row r="229" spans="1:47" x14ac:dyDescent="0.25">
      <c r="A229" vm="3424">
        <f ca="1"/>
        <v>45980</v>
      </c>
      <c r="B229" vm="3425">
        <f ca="1"/>
        <v>161.9</v>
      </c>
      <c r="C229" vm="2958">
        <f ca="1"/>
        <v>246</v>
      </c>
      <c r="D229" vm="3426">
        <f ca="1"/>
        <v>277.7</v>
      </c>
      <c r="E229" vm="3427">
        <f ca="1"/>
        <v>196.98</v>
      </c>
      <c r="F229" vm="3428">
        <f ca="1"/>
        <v>193.4</v>
      </c>
      <c r="G229" vm="3429">
        <f ca="1"/>
        <v>156.5</v>
      </c>
      <c r="H229" vm="3430">
        <f ca="1"/>
        <v>422.4</v>
      </c>
      <c r="I229" vm="3431">
        <f ca="1"/>
        <v>127.56</v>
      </c>
      <c r="J229" vm="3432">
        <f ca="1"/>
        <v>423.8</v>
      </c>
      <c r="K229" vm="3433">
        <f ca="1"/>
        <v>79</v>
      </c>
      <c r="L229" vm="806">
        <f ca="1"/>
        <v>303.10000000000002</v>
      </c>
      <c r="M229" vm="823">
        <f ca="1"/>
        <v>262</v>
      </c>
      <c r="N229" vm="3434">
        <f ca="1"/>
        <v>12.95</v>
      </c>
      <c r="O229" vm="3435">
        <f ca="1"/>
        <v>544</v>
      </c>
      <c r="Q229" s="4">
        <f t="shared" ca="1" si="63"/>
        <v>1.9691119691119807E-2</v>
      </c>
      <c r="R229" s="4">
        <f t="shared" ca="1" si="64"/>
        <v>-1.0051781906792567E-2</v>
      </c>
      <c r="S229" s="4">
        <f t="shared" ca="1" si="65"/>
        <v>-2.4920127795527214E-2</v>
      </c>
      <c r="T229" s="4">
        <f t="shared" ca="1" si="73"/>
        <v>8.9369708372528667E-3</v>
      </c>
      <c r="U229" s="4">
        <f t="shared" ca="1" si="74"/>
        <v>8.4945729117507085E-3</v>
      </c>
      <c r="V229" s="4">
        <f t="shared" ca="1" si="66"/>
        <v>-3.1871525633106801E-2</v>
      </c>
      <c r="W229" s="4">
        <f t="shared" ca="1" si="67"/>
        <v>-2.585315408479838E-2</v>
      </c>
      <c r="X229" s="4">
        <f t="shared" ca="1" si="68"/>
        <v>-7.6335877862595547E-3</v>
      </c>
      <c r="Y229" s="4">
        <f t="shared" ca="1" si="69"/>
        <v>1.2243428159884884E-2</v>
      </c>
      <c r="Z229" s="4">
        <f t="shared" ca="1" si="70"/>
        <v>4.157043879907607E-2</v>
      </c>
      <c r="AA229" s="4">
        <f t="shared" ca="1" si="71"/>
        <v>-1.7282196969696906E-2</v>
      </c>
      <c r="AB229" s="4">
        <f t="shared" ca="1" si="75"/>
        <v>-4.283088235294108E-2</v>
      </c>
      <c r="AC229" s="4">
        <f t="shared" ca="1" si="76"/>
        <v>-2.2357723577235755E-2</v>
      </c>
      <c r="AD229" s="4"/>
      <c r="AE229" s="2" cm="1">
        <f t="array" aca="1" ref="AE229" ca="1">SUMPRODUCT(Q229:AB229,TRANSPOSE(Insights.!$H$4:$H$15))</f>
        <v>-4.2033290477556115E-3</v>
      </c>
      <c r="AG229" s="10" vm="3424">
        <f ca="1"/>
        <v>45980</v>
      </c>
      <c r="AH229" s="1" vm="3436">
        <f ca="1"/>
        <v>109.48</v>
      </c>
      <c r="AI229" s="2">
        <f t="shared" ca="1" si="72"/>
        <v>-9.4537815126051195E-3</v>
      </c>
      <c r="AJ229" s="1" vm="3437">
        <f ca="1"/>
        <v>108.58</v>
      </c>
      <c r="AK229" s="2">
        <f t="shared" ca="1" si="77"/>
        <v>6.0324184932769587E-3</v>
      </c>
      <c r="AL229" s="1" vm="3438">
        <f ca="1"/>
        <v>56.07</v>
      </c>
      <c r="AM229" s="2">
        <f t="shared" ca="1" si="78"/>
        <v>-6.5988942393436778E-3</v>
      </c>
      <c r="AO229" s="9">
        <f t="shared" ca="1" si="79"/>
        <v>97.860694857047662</v>
      </c>
      <c r="AP229">
        <f t="shared" ca="1" si="80"/>
        <v>101.52077151335321</v>
      </c>
      <c r="AQ229">
        <f t="shared" ca="1" si="81"/>
        <v>103.11490978157659</v>
      </c>
      <c r="AR229">
        <f t="shared" ca="1" si="82"/>
        <v>114.3235803853605</v>
      </c>
      <c r="AT229" s="21">
        <f ca="1">MAX($AO$3:AO230)</f>
        <v>106.96839029133979</v>
      </c>
      <c r="AU229" s="2">
        <f t="shared" ca="1" si="83"/>
        <v>-8.5143801916494621E-2</v>
      </c>
    </row>
    <row r="230" spans="1:47" x14ac:dyDescent="0.25">
      <c r="A230" vm="3439">
        <f ca="1"/>
        <v>45981</v>
      </c>
      <c r="B230" vm="3440">
        <f ca="1"/>
        <v>156.74</v>
      </c>
      <c r="C230" vm="3441">
        <f ca="1"/>
        <v>240.5</v>
      </c>
      <c r="D230" vm="3442">
        <f ca="1"/>
        <v>281.10000000000002</v>
      </c>
      <c r="E230" vm="520">
        <f ca="1"/>
        <v>195</v>
      </c>
      <c r="F230" vm="3443">
        <f ca="1"/>
        <v>188.4</v>
      </c>
      <c r="G230" vm="1018">
        <f ca="1"/>
        <v>152.6</v>
      </c>
      <c r="H230" vm="3444">
        <f ca="1"/>
        <v>415.1</v>
      </c>
      <c r="I230" vm="3445">
        <f ca="1"/>
        <v>128.69999999999999</v>
      </c>
      <c r="J230" vm="3446">
        <f ca="1"/>
        <v>427.4</v>
      </c>
      <c r="K230" vm="3447">
        <f ca="1"/>
        <v>75</v>
      </c>
      <c r="L230" vm="3448">
        <f ca="1"/>
        <v>315.7</v>
      </c>
      <c r="M230" vm="2988">
        <f ca="1"/>
        <v>260</v>
      </c>
      <c r="N230" vm="3449">
        <f ca="1"/>
        <v>13.205</v>
      </c>
      <c r="O230" vm="3450">
        <f ca="1"/>
        <v>520.70000000000005</v>
      </c>
      <c r="Q230" s="4">
        <f t="shared" ca="1" si="63"/>
        <v>1.6281711472927007E-2</v>
      </c>
      <c r="R230" s="4">
        <f t="shared" ca="1" si="64"/>
        <v>1.538461538461533E-2</v>
      </c>
      <c r="S230" s="4">
        <f t="shared" ca="1" si="65"/>
        <v>-5.0131061598951532E-2</v>
      </c>
      <c r="T230" s="4">
        <f t="shared" ca="1" si="73"/>
        <v>1.5540015540016494E-3</v>
      </c>
      <c r="U230" s="4">
        <f t="shared" ca="1" si="74"/>
        <v>7.9550772110434931E-3</v>
      </c>
      <c r="V230" s="4">
        <f t="shared" ca="1" si="66"/>
        <v>-1.0080387903534604E-2</v>
      </c>
      <c r="W230" s="4">
        <f t="shared" ca="1" si="67"/>
        <v>1.6666666666666607E-2</v>
      </c>
      <c r="X230" s="4">
        <f t="shared" ca="1" si="68"/>
        <v>-1.8846153846153846E-2</v>
      </c>
      <c r="Y230" s="4">
        <f t="shared" ca="1" si="69"/>
        <v>1.9743863393809846E-2</v>
      </c>
      <c r="Z230" s="4">
        <f t="shared" ca="1" si="70"/>
        <v>-6.5726955970858425E-2</v>
      </c>
      <c r="AA230" s="4">
        <f t="shared" ca="1" si="71"/>
        <v>-1.3972536738135366E-2</v>
      </c>
      <c r="AB230" s="4">
        <f t="shared" ca="1" si="75"/>
        <v>-1.6324178989821414E-2</v>
      </c>
      <c r="AC230" s="4">
        <f t="shared" ca="1" si="76"/>
        <v>-8.3160083160083165E-3</v>
      </c>
      <c r="AD230" s="4"/>
      <c r="AE230" s="2" cm="1">
        <f t="array" aca="1" ref="AE230" ca="1">SUMPRODUCT(Q230:AB230,TRANSPOSE(Insights.!$H$4:$H$15))</f>
        <v>-7.6377913539800429E-3</v>
      </c>
      <c r="AG230" s="10" vm="3439">
        <f ca="1"/>
        <v>45981</v>
      </c>
      <c r="AH230" s="1" vm="3451">
        <f ca="1"/>
        <v>108.44499999999999</v>
      </c>
      <c r="AI230" s="2">
        <f t="shared" ca="1" si="72"/>
        <v>3.9190373000139722E-3</v>
      </c>
      <c r="AJ230" s="1" vm="3452">
        <f ca="1"/>
        <v>109.235</v>
      </c>
      <c r="AK230" s="2">
        <f t="shared" ca="1" si="77"/>
        <v>-1.0344669748706847E-2</v>
      </c>
      <c r="AL230" s="1" vm="3453">
        <f ca="1"/>
        <v>55.7</v>
      </c>
      <c r="AM230" s="2">
        <f t="shared" ca="1" si="78"/>
        <v>5.3859964093350143E-4</v>
      </c>
      <c r="AO230" s="9">
        <f t="shared" ca="1" si="79"/>
        <v>97.44935415572148</v>
      </c>
      <c r="AP230">
        <f t="shared" ca="1" si="80"/>
        <v>100.56101632047486</v>
      </c>
      <c r="AQ230">
        <f t="shared" ca="1" si="81"/>
        <v>103.73694207027555</v>
      </c>
      <c r="AR230">
        <f t="shared" ca="1" si="82"/>
        <v>113.5691711693344</v>
      </c>
      <c r="AT230" s="21">
        <f ca="1">MAX($AO$3:AO231)</f>
        <v>106.96839029133979</v>
      </c>
      <c r="AU230" s="2">
        <f t="shared" ca="1" si="83"/>
        <v>-8.8989243548418417E-2</v>
      </c>
    </row>
    <row r="231" spans="1:47" x14ac:dyDescent="0.25">
      <c r="A231" vm="3454">
        <f ca="1"/>
        <v>45982</v>
      </c>
      <c r="B231" vm="3073">
        <f ca="1"/>
        <v>155.16</v>
      </c>
      <c r="C231" vm="3455">
        <f ca="1"/>
        <v>238.5</v>
      </c>
      <c r="D231" vm="3456">
        <f ca="1"/>
        <v>286.64999999999998</v>
      </c>
      <c r="E231" vm="486">
        <f ca="1"/>
        <v>198</v>
      </c>
      <c r="F231" vm="3457">
        <f ca="1"/>
        <v>191.54</v>
      </c>
      <c r="G231" vm="3458">
        <f ca="1"/>
        <v>144.94999999999999</v>
      </c>
      <c r="H231" vm="3459">
        <f ca="1"/>
        <v>409.3</v>
      </c>
      <c r="I231" vm="3460">
        <f ca="1"/>
        <v>128.9</v>
      </c>
      <c r="J231" vm="3461">
        <f ca="1"/>
        <v>430.8</v>
      </c>
      <c r="K231" vm="2762">
        <f ca="1"/>
        <v>75.5</v>
      </c>
      <c r="L231" vm="3462">
        <f ca="1"/>
        <v>294.95</v>
      </c>
      <c r="M231" vm="3463">
        <f ca="1"/>
        <v>255.1</v>
      </c>
      <c r="N231" vm="3464">
        <f ca="1"/>
        <v>13.42</v>
      </c>
      <c r="O231" vm="3465">
        <f ca="1"/>
        <v>512.20000000000005</v>
      </c>
      <c r="Q231" s="4">
        <f t="shared" ca="1" si="63"/>
        <v>-2.2354694485841042E-3</v>
      </c>
      <c r="R231" s="4">
        <f t="shared" ca="1" si="64"/>
        <v>-2.525252525252486E-3</v>
      </c>
      <c r="S231" s="4">
        <f t="shared" ca="1" si="65"/>
        <v>2.7595722662987265E-2</v>
      </c>
      <c r="T231" s="4">
        <f t="shared" ca="1" si="73"/>
        <v>-1.2102404965089186E-2</v>
      </c>
      <c r="U231" s="4">
        <f t="shared" ca="1" si="74"/>
        <v>-9.1689879294335475E-3</v>
      </c>
      <c r="V231" s="4">
        <f t="shared" ca="1" si="66"/>
        <v>1.9721577726218076E-2</v>
      </c>
      <c r="W231" s="4">
        <f t="shared" ca="1" si="67"/>
        <v>2.5164456510389677E-2</v>
      </c>
      <c r="X231" s="4">
        <f t="shared" ca="1" si="68"/>
        <v>1.7052136417091246E-2</v>
      </c>
      <c r="Y231" s="4">
        <f t="shared" ca="1" si="69"/>
        <v>-5.2328623757195158E-3</v>
      </c>
      <c r="Z231" s="4">
        <f t="shared" ca="1" si="70"/>
        <v>9.679606713002209E-2</v>
      </c>
      <c r="AA231" s="4">
        <f t="shared" ca="1" si="71"/>
        <v>9.6506230149033811E-3</v>
      </c>
      <c r="AB231" s="4">
        <f t="shared" ca="1" si="75"/>
        <v>-2.4990238188207892E-2</v>
      </c>
      <c r="AC231" s="4">
        <f t="shared" ca="1" si="76"/>
        <v>3.563941299790363E-2</v>
      </c>
      <c r="AD231" s="4"/>
      <c r="AE231" s="2" cm="1">
        <f t="array" aca="1" ref="AE231" ca="1">SUMPRODUCT(Q231:AB231,TRANSPOSE(Insights.!$H$4:$H$15))</f>
        <v>1.0929008602561966E-2</v>
      </c>
      <c r="AG231" s="10" vm="3454">
        <f ca="1"/>
        <v>45982</v>
      </c>
      <c r="AH231" s="1" vm="3466">
        <f ca="1"/>
        <v>108.87</v>
      </c>
      <c r="AI231" s="2">
        <f t="shared" ca="1" si="72"/>
        <v>1.2446036557361984E-2</v>
      </c>
      <c r="AJ231" s="1" vm="3467">
        <f ca="1"/>
        <v>108.105</v>
      </c>
      <c r="AK231" s="2">
        <f t="shared" ca="1" si="77"/>
        <v>1.3227880301558637E-2</v>
      </c>
      <c r="AL231" s="1" vm="3468">
        <f ca="1"/>
        <v>55.73</v>
      </c>
      <c r="AM231" s="2">
        <f t="shared" ca="1" si="78"/>
        <v>2.6915485375920145E-3</v>
      </c>
      <c r="AO231" s="9">
        <f t="shared" ca="1" si="79"/>
        <v>96.705056321099974</v>
      </c>
      <c r="AP231">
        <f t="shared" ca="1" si="80"/>
        <v>100.95511869436211</v>
      </c>
      <c r="AQ231">
        <f t="shared" ca="1" si="81"/>
        <v>102.66381766381781</v>
      </c>
      <c r="AR231">
        <f t="shared" ca="1" si="82"/>
        <v>113.63033948414731</v>
      </c>
      <c r="AT231" s="21">
        <f ca="1">MAX($AO$3:AO232)</f>
        <v>106.96839029133979</v>
      </c>
      <c r="AU231" s="2">
        <f t="shared" ca="1" si="83"/>
        <v>-9.5947353627427012E-2</v>
      </c>
    </row>
    <row r="232" spans="1:47" x14ac:dyDescent="0.25">
      <c r="A232" vm="3469">
        <f ca="1"/>
        <v>45985</v>
      </c>
      <c r="B232" vm="3470">
        <f ca="1"/>
        <v>158.22</v>
      </c>
      <c r="C232" vm="662">
        <f ca="1"/>
        <v>247</v>
      </c>
      <c r="D232" vm="3471">
        <f ca="1"/>
        <v>285.14999999999998</v>
      </c>
      <c r="E232" vm="3222">
        <f ca="1"/>
        <v>197.5</v>
      </c>
      <c r="F232" vm="3472">
        <f ca="1"/>
        <v>196.36</v>
      </c>
      <c r="G232" vm="3473">
        <f ca="1"/>
        <v>148.94999999999999</v>
      </c>
      <c r="H232" vm="3474">
        <f ca="1"/>
        <v>413.25</v>
      </c>
      <c r="I232" vm="3475">
        <f ca="1"/>
        <v>127.34</v>
      </c>
      <c r="J232" vm="3476">
        <f ca="1"/>
        <v>426.85</v>
      </c>
      <c r="K232" vm="3164">
        <f ca="1"/>
        <v>81</v>
      </c>
      <c r="L232" vm="3477">
        <f ca="1"/>
        <v>323.5</v>
      </c>
      <c r="M232" vm="3051">
        <f ca="1"/>
        <v>259.45</v>
      </c>
      <c r="N232" vm="3478">
        <f ca="1"/>
        <v>13.39</v>
      </c>
      <c r="O232" vm="3479">
        <f ca="1"/>
        <v>499.4</v>
      </c>
      <c r="Q232" s="4">
        <f t="shared" ca="1" si="63"/>
        <v>-1.7176997759522084E-2</v>
      </c>
      <c r="R232" s="4">
        <f t="shared" ca="1" si="64"/>
        <v>1.5949367088607724E-2</v>
      </c>
      <c r="S232" s="4">
        <f t="shared" ca="1" si="65"/>
        <v>1.8462571332662048E-2</v>
      </c>
      <c r="T232" s="4">
        <f t="shared" ca="1" si="73"/>
        <v>8.1671116695460899E-3</v>
      </c>
      <c r="U232" s="4">
        <f t="shared" ca="1" si="74"/>
        <v>3.7483893639451704E-3</v>
      </c>
      <c r="V232" s="4">
        <f t="shared" ca="1" si="66"/>
        <v>-2.9958285930982265E-2</v>
      </c>
      <c r="W232" s="4">
        <f t="shared" ca="1" si="67"/>
        <v>9.3705438989608592E-3</v>
      </c>
      <c r="X232" s="4">
        <f t="shared" ca="1" si="68"/>
        <v>7.9013297359800116E-3</v>
      </c>
      <c r="Y232" s="4">
        <f t="shared" ca="1" si="69"/>
        <v>1.4729089952656649E-2</v>
      </c>
      <c r="Z232" s="4">
        <f t="shared" ca="1" si="70"/>
        <v>3.4003091190109025E-3</v>
      </c>
      <c r="AA232" s="4">
        <f t="shared" ca="1" si="71"/>
        <v>2.0568663036903967E-3</v>
      </c>
      <c r="AB232" s="4">
        <f t="shared" ca="1" si="75"/>
        <v>2.7032438926712032E-2</v>
      </c>
      <c r="AC232" s="4">
        <f t="shared" ca="1" si="76"/>
        <v>-1.0121457489878583E-2</v>
      </c>
      <c r="AD232" s="4"/>
      <c r="AE232" s="2" cm="1">
        <f t="array" aca="1" ref="AE232" ca="1">SUMPRODUCT(Q232:AB232,TRANSPOSE(Insights.!$H$4:$H$15))</f>
        <v>6.0670306259981519E-3</v>
      </c>
      <c r="AG232" s="10" vm="3469">
        <f ca="1"/>
        <v>45985</v>
      </c>
      <c r="AH232" s="1" vm="3480">
        <f ca="1"/>
        <v>110.22499999999999</v>
      </c>
      <c r="AI232" s="2">
        <f t="shared" ca="1" si="72"/>
        <v>3.6743025629395465E-3</v>
      </c>
      <c r="AJ232" s="1" vm="3481">
        <f ca="1"/>
        <v>109.535</v>
      </c>
      <c r="AK232" s="2">
        <f t="shared" ca="1" si="77"/>
        <v>2.6475555758433966E-3</v>
      </c>
      <c r="AL232" s="1" vm="3482">
        <f ca="1"/>
        <v>55.88</v>
      </c>
      <c r="AM232" s="2">
        <f t="shared" ca="1" si="78"/>
        <v>9.6635647816749604E-3</v>
      </c>
      <c r="AO232" s="9">
        <f t="shared" ca="1" si="79"/>
        <v>97.761946713544518</v>
      </c>
      <c r="AP232">
        <f t="shared" ca="1" si="80"/>
        <v>102.21160979228496</v>
      </c>
      <c r="AQ232">
        <f t="shared" ca="1" si="81"/>
        <v>104.02184235517583</v>
      </c>
      <c r="AR232">
        <f t="shared" ca="1" si="82"/>
        <v>113.93618105821196</v>
      </c>
      <c r="AT232" s="21">
        <f ca="1">MAX($AO$3:AO233)</f>
        <v>106.96839029133979</v>
      </c>
      <c r="AU232" s="2">
        <f t="shared" ca="1" si="83"/>
        <v>-8.6066954478052238E-2</v>
      </c>
    </row>
    <row r="233" spans="1:47" x14ac:dyDescent="0.25">
      <c r="A233" vm="3483">
        <f ca="1"/>
        <v>45986</v>
      </c>
      <c r="B233" vm="3484">
        <f ca="1"/>
        <v>153.47999999999999</v>
      </c>
      <c r="C233" vm="3384">
        <f ca="1"/>
        <v>244.5</v>
      </c>
      <c r="D233" vm="2874">
        <f ca="1"/>
        <v>289.35000000000002</v>
      </c>
      <c r="E233" vm="3485">
        <f ca="1"/>
        <v>200.65</v>
      </c>
      <c r="F233" vm="2057">
        <f ca="1"/>
        <v>198.2</v>
      </c>
      <c r="G233" vm="1247">
        <f ca="1"/>
        <v>151.69999999999999</v>
      </c>
      <c r="H233" vm="1826">
        <f ca="1"/>
        <v>414.1</v>
      </c>
      <c r="I233" vm="3224">
        <f ca="1"/>
        <v>128.38</v>
      </c>
      <c r="J233" vm="3486">
        <f ca="1"/>
        <v>428.45</v>
      </c>
      <c r="K233" vm="3416">
        <f ca="1"/>
        <v>78</v>
      </c>
      <c r="L233" vm="3487">
        <f ca="1"/>
        <v>324.60000000000002</v>
      </c>
      <c r="M233" vm="3488">
        <f ca="1"/>
        <v>261.5</v>
      </c>
      <c r="N233" vm="3489">
        <f ca="1"/>
        <v>13.16</v>
      </c>
      <c r="O233" vm="3490">
        <f ca="1"/>
        <v>512.9</v>
      </c>
      <c r="Q233" s="4">
        <f t="shared" ca="1" si="63"/>
        <v>1.3297872340425565E-2</v>
      </c>
      <c r="R233" s="4">
        <f t="shared" ca="1" si="64"/>
        <v>-2.2775978071268299E-2</v>
      </c>
      <c r="S233" s="4">
        <f t="shared" ca="1" si="65"/>
        <v>1.6479894528675931E-3</v>
      </c>
      <c r="T233" s="4">
        <f t="shared" ca="1" si="73"/>
        <v>-4.985200186945038E-3</v>
      </c>
      <c r="U233" s="4">
        <f t="shared" ca="1" si="74"/>
        <v>-1.6337962422686703E-3</v>
      </c>
      <c r="V233" s="4">
        <f t="shared" ca="1" si="66"/>
        <v>1.2509773260359847E-2</v>
      </c>
      <c r="W233" s="4">
        <f t="shared" ca="1" si="67"/>
        <v>-1.9172552976790547E-3</v>
      </c>
      <c r="X233" s="4">
        <f t="shared" ca="1" si="68"/>
        <v>1.4149139579349823E-2</v>
      </c>
      <c r="Y233" s="4">
        <f t="shared" ca="1" si="69"/>
        <v>-1.0368066355624928E-3</v>
      </c>
      <c r="Z233" s="4">
        <f t="shared" ca="1" si="70"/>
        <v>4.8367221195317223E-2</v>
      </c>
      <c r="AA233" s="4">
        <f t="shared" ca="1" si="71"/>
        <v>1.2557353296305251E-2</v>
      </c>
      <c r="AB233" s="4">
        <f t="shared" ca="1" si="75"/>
        <v>-1.9496977968415097E-3</v>
      </c>
      <c r="AC233" s="4">
        <f t="shared" ca="1" si="76"/>
        <v>3.2719836400818103E-2</v>
      </c>
      <c r="AD233" s="4"/>
      <c r="AE233" s="2" cm="1">
        <f t="array" aca="1" ref="AE233" ca="1">SUMPRODUCT(Q233:AB233,TRANSPOSE(Insights.!$H$4:$H$15))</f>
        <v>4.914833938312671E-3</v>
      </c>
      <c r="AG233" s="10" vm="3483">
        <f ca="1"/>
        <v>45986</v>
      </c>
      <c r="AH233" s="1" vm="3491">
        <f ca="1"/>
        <v>110.63</v>
      </c>
      <c r="AI233" s="2">
        <f t="shared" ca="1" si="72"/>
        <v>8.4063997107475252E-3</v>
      </c>
      <c r="AJ233" s="1" vm="3492">
        <f ca="1"/>
        <v>109.825</v>
      </c>
      <c r="AK233" s="2">
        <f t="shared" ca="1" si="77"/>
        <v>1.1336216708399682E-2</v>
      </c>
      <c r="AL233" s="1" vm="3086">
        <f ca="1"/>
        <v>56.42</v>
      </c>
      <c r="AM233" s="2">
        <f t="shared" ca="1" si="78"/>
        <v>1.2229705778092903E-2</v>
      </c>
      <c r="AO233" s="9">
        <f t="shared" ca="1" si="79"/>
        <v>98.355071438312805</v>
      </c>
      <c r="AP233">
        <f t="shared" ca="1" si="80"/>
        <v>102.58716617210693</v>
      </c>
      <c r="AQ233">
        <f t="shared" ca="1" si="81"/>
        <v>104.29724596391279</v>
      </c>
      <c r="AR233">
        <f t="shared" ca="1" si="82"/>
        <v>115.03721072484464</v>
      </c>
      <c r="AT233" s="21">
        <f ca="1">MAX($AO$3:AO234)</f>
        <v>106.96839029133979</v>
      </c>
      <c r="AU233" s="2">
        <f t="shared" ca="1" si="83"/>
        <v>-8.0522094700758773E-2</v>
      </c>
    </row>
    <row r="234" spans="1:47" x14ac:dyDescent="0.25">
      <c r="A234" vm="3493">
        <f ca="1"/>
        <v>45987</v>
      </c>
      <c r="B234" vm="3102">
        <f ca="1"/>
        <v>155.4</v>
      </c>
      <c r="C234" vm="293">
        <f ca="1"/>
        <v>252.5</v>
      </c>
      <c r="D234" vm="3494">
        <f ca="1"/>
        <v>289.05</v>
      </c>
      <c r="E234" vm="3495">
        <f ca="1"/>
        <v>196.08</v>
      </c>
      <c r="F234" vm="3496">
        <f ca="1"/>
        <v>197.82</v>
      </c>
      <c r="G234" vm="3497">
        <f ca="1"/>
        <v>151.94999999999999</v>
      </c>
      <c r="H234" vm="3498">
        <f ca="1"/>
        <v>419.3</v>
      </c>
      <c r="I234" vm="3499">
        <f ca="1"/>
        <v>127.74</v>
      </c>
      <c r="J234" vm="3500">
        <f ca="1"/>
        <v>427.75</v>
      </c>
      <c r="K234" vm="3164">
        <f ca="1"/>
        <v>81</v>
      </c>
      <c r="L234" vm="3501">
        <f ca="1"/>
        <v>340.3</v>
      </c>
      <c r="M234" vm="757">
        <f ca="1"/>
        <v>265.2</v>
      </c>
      <c r="N234" vm="3502">
        <f ca="1"/>
        <v>13.335000000000001</v>
      </c>
      <c r="O234" vm="3503">
        <f ca="1"/>
        <v>511.9</v>
      </c>
      <c r="Q234" s="4">
        <f t="shared" ca="1" si="63"/>
        <v>-7.1241094863142562E-3</v>
      </c>
      <c r="R234" s="4">
        <f t="shared" ca="1" si="64"/>
        <v>2.7539779681762244E-3</v>
      </c>
      <c r="S234" s="4">
        <f t="shared" ca="1" si="65"/>
        <v>3.6196117143798556E-3</v>
      </c>
      <c r="T234" s="4">
        <f t="shared" ca="1" si="73"/>
        <v>7.9849694692344375E-3</v>
      </c>
      <c r="U234" s="4">
        <f t="shared" ca="1" si="74"/>
        <v>4.7925189947399804E-3</v>
      </c>
      <c r="V234" s="4">
        <f t="shared" ca="1" si="66"/>
        <v>-4.5045045045045695E-3</v>
      </c>
      <c r="W234" s="4">
        <f t="shared" ca="1" si="67"/>
        <v>5.055100596501827E-3</v>
      </c>
      <c r="X234" s="4">
        <f t="shared" ca="1" si="68"/>
        <v>5.090497737556543E-3</v>
      </c>
      <c r="Y234" s="4">
        <f t="shared" ca="1" si="69"/>
        <v>-4.1515308770108117E-3</v>
      </c>
      <c r="Z234" s="4">
        <f t="shared" ca="1" si="70"/>
        <v>1.3811342932706472E-2</v>
      </c>
      <c r="AA234" s="4">
        <f t="shared" ca="1" si="71"/>
        <v>5.2468399713807568E-3</v>
      </c>
      <c r="AB234" s="4">
        <f t="shared" ca="1" si="75"/>
        <v>7.8140261769876762E-3</v>
      </c>
      <c r="AC234" s="4">
        <f t="shared" ca="1" si="76"/>
        <v>-1.1881188118811892E-2</v>
      </c>
      <c r="AD234" s="4"/>
      <c r="AE234" s="2" cm="1">
        <f t="array" aca="1" ref="AE234" ca="1">SUMPRODUCT(Q234:AB234,TRANSPOSE(Insights.!$H$4:$H$15))</f>
        <v>3.3573452093875345E-3</v>
      </c>
      <c r="AG234" s="10" vm="3493">
        <f ca="1"/>
        <v>45987</v>
      </c>
      <c r="AH234" s="1" vm="3504">
        <f ca="1"/>
        <v>111.56</v>
      </c>
      <c r="AI234" s="2">
        <f t="shared" ca="1" si="72"/>
        <v>-6.2746504123345481E-4</v>
      </c>
      <c r="AJ234" s="1" vm="3505">
        <f ca="1"/>
        <v>111.07</v>
      </c>
      <c r="AK234" s="2">
        <f t="shared" ca="1" si="77"/>
        <v>-6.7524984244160535E-4</v>
      </c>
      <c r="AL234" s="1" vm="3506">
        <f ca="1"/>
        <v>57.11</v>
      </c>
      <c r="AM234" s="2">
        <f t="shared" ca="1" si="78"/>
        <v>-1.2257047802486376E-3</v>
      </c>
      <c r="AO234" s="9">
        <f t="shared" ca="1" si="79"/>
        <v>98.838470281423</v>
      </c>
      <c r="AP234">
        <f t="shared" ca="1" si="80"/>
        <v>103.44955489614254</v>
      </c>
      <c r="AQ234">
        <f t="shared" ca="1" si="81"/>
        <v>105.47958214624897</v>
      </c>
      <c r="AR234">
        <f t="shared" ca="1" si="82"/>
        <v>116.44408196554197</v>
      </c>
      <c r="AT234" s="21">
        <f ca="1">MAX($AO$3:AO235)</f>
        <v>106.96839029133979</v>
      </c>
      <c r="AU234" s="2">
        <f t="shared" ca="1" si="83"/>
        <v>-7.6003013486265258E-2</v>
      </c>
    </row>
    <row r="235" spans="1:47" x14ac:dyDescent="0.25">
      <c r="A235" vm="3507">
        <f ca="1"/>
        <v>45988</v>
      </c>
      <c r="B235" vm="3508">
        <f ca="1"/>
        <v>154.69999999999999</v>
      </c>
      <c r="C235" vm="2508">
        <f ca="1"/>
        <v>249.5</v>
      </c>
      <c r="D235" vm="2448">
        <f ca="1"/>
        <v>287.85000000000002</v>
      </c>
      <c r="E235" vm="3509">
        <f ca="1"/>
        <v>196.62</v>
      </c>
      <c r="F235" vm="3510">
        <f ca="1"/>
        <v>198.82</v>
      </c>
      <c r="G235" vm="3511">
        <f ca="1"/>
        <v>152.5</v>
      </c>
      <c r="H235" vm="3512">
        <f ca="1"/>
        <v>421.5</v>
      </c>
      <c r="I235" vm="3513">
        <f ca="1"/>
        <v>128.76</v>
      </c>
      <c r="J235" vm="3514">
        <f ca="1"/>
        <v>429.8</v>
      </c>
      <c r="K235" vm="3361">
        <f ca="1"/>
        <v>82</v>
      </c>
      <c r="L235" vm="303">
        <f ca="1"/>
        <v>345</v>
      </c>
      <c r="M235" vm="3515">
        <f ca="1"/>
        <v>266.55</v>
      </c>
      <c r="N235" vm="3516">
        <f ca="1"/>
        <v>13.24</v>
      </c>
      <c r="O235" vm="3517">
        <f ca="1"/>
        <v>515.9</v>
      </c>
      <c r="Q235" s="4">
        <f t="shared" ca="1" si="63"/>
        <v>6.7975830815709681E-3</v>
      </c>
      <c r="R235" s="4">
        <f t="shared" ca="1" si="64"/>
        <v>1.2002848133455313E-2</v>
      </c>
      <c r="S235" s="4">
        <f t="shared" ca="1" si="65"/>
        <v>1.8688524590163791E-2</v>
      </c>
      <c r="T235" s="4">
        <f t="shared" ca="1" si="73"/>
        <v>-7.455731593662529E-3</v>
      </c>
      <c r="U235" s="4">
        <f t="shared" ca="1" si="74"/>
        <v>2.4429967426711219E-3</v>
      </c>
      <c r="V235" s="4">
        <f t="shared" ca="1" si="66"/>
        <v>-1.4867485455720586E-2</v>
      </c>
      <c r="W235" s="4">
        <f t="shared" ca="1" si="67"/>
        <v>1.0964691680917404E-2</v>
      </c>
      <c r="X235" s="4">
        <f t="shared" ca="1" si="68"/>
        <v>1.294316263365225E-2</v>
      </c>
      <c r="Y235" s="4">
        <f t="shared" ca="1" si="69"/>
        <v>5.2110474205302459E-4</v>
      </c>
      <c r="Z235" s="4">
        <f t="shared" ca="1" si="70"/>
        <v>8.6956521739134374E-4</v>
      </c>
      <c r="AA235" s="4">
        <f t="shared" ca="1" si="71"/>
        <v>6.6429418742586233E-3</v>
      </c>
      <c r="AB235" s="4">
        <f t="shared" ca="1" si="75"/>
        <v>2.7137042062415073E-3</v>
      </c>
      <c r="AC235" s="4">
        <f t="shared" ca="1" si="76"/>
        <v>0</v>
      </c>
      <c r="AD235" s="4"/>
      <c r="AE235" s="2" cm="1">
        <f t="array" aca="1" ref="AE235" ca="1">SUMPRODUCT(Q235:AB235,TRANSPOSE(Insights.!$H$4:$H$15))</f>
        <v>5.0301377006590911E-3</v>
      </c>
      <c r="AG235" s="10" vm="3507">
        <f ca="1"/>
        <v>45988</v>
      </c>
      <c r="AH235" s="1" vm="3518">
        <f ca="1"/>
        <v>111.49</v>
      </c>
      <c r="AI235" s="2">
        <f t="shared" ca="1" si="72"/>
        <v>3.7223069333573999E-3</v>
      </c>
      <c r="AJ235" s="1" vm="3519">
        <f ca="1"/>
        <v>110.995</v>
      </c>
      <c r="AK235" s="2">
        <f t="shared" ca="1" si="77"/>
        <v>3.6488130095950755E-3</v>
      </c>
      <c r="AL235" s="1" vm="3520">
        <f ca="1"/>
        <v>57.04</v>
      </c>
      <c r="AM235" s="2">
        <f t="shared" ca="1" si="78"/>
        <v>4.908835904628317E-3</v>
      </c>
      <c r="AO235" s="9">
        <f t="shared" ca="1" si="79"/>
        <v>99.170305146125528</v>
      </c>
      <c r="AP235">
        <f t="shared" ca="1" si="80"/>
        <v>103.38464391691406</v>
      </c>
      <c r="AQ235">
        <f t="shared" ca="1" si="81"/>
        <v>105.40835707502391</v>
      </c>
      <c r="AR235">
        <f t="shared" ca="1" si="82"/>
        <v>116.30135589764514</v>
      </c>
      <c r="AT235" s="21">
        <f ca="1">MAX($AO$3:AO236)</f>
        <v>106.96839029133979</v>
      </c>
      <c r="AU235" s="2">
        <f t="shared" ca="1" si="83"/>
        <v>-7.2900836630104826E-2</v>
      </c>
    </row>
    <row r="236" spans="1:47" x14ac:dyDescent="0.25">
      <c r="A236" vm="3521">
        <f ca="1"/>
        <v>45989</v>
      </c>
      <c r="B236" vm="3522">
        <f ca="1"/>
        <v>152.4</v>
      </c>
      <c r="C236" vm="2508">
        <f ca="1"/>
        <v>249.5</v>
      </c>
      <c r="D236" vm="3523">
        <f ca="1"/>
        <v>288</v>
      </c>
      <c r="E236" vm="3524">
        <f ca="1"/>
        <v>198.98</v>
      </c>
      <c r="F236" vm="452">
        <f ca="1"/>
        <v>201</v>
      </c>
      <c r="G236" vm="3525">
        <f ca="1"/>
        <v>155.35</v>
      </c>
      <c r="H236" vm="3526">
        <f ca="1"/>
        <v>424.3</v>
      </c>
      <c r="I236" vm="3527">
        <f ca="1"/>
        <v>127.8</v>
      </c>
      <c r="J236" vm="3528">
        <f ca="1"/>
        <v>430.85</v>
      </c>
      <c r="K236" vm="2722">
        <f ca="1"/>
        <v>83</v>
      </c>
      <c r="L236" vm="3529">
        <f ca="1"/>
        <v>345.3</v>
      </c>
      <c r="M236" vm="3530">
        <f ca="1"/>
        <v>270</v>
      </c>
      <c r="N236" vm="3531">
        <f ca="1"/>
        <v>13.33</v>
      </c>
      <c r="O236" vm="3532">
        <f ca="1"/>
        <v>517.29999999999995</v>
      </c>
      <c r="Q236" s="4">
        <f t="shared" ca="1" si="63"/>
        <v>-1.0502625656414133E-2</v>
      </c>
      <c r="R236" s="4">
        <f t="shared" ca="1" si="64"/>
        <v>5.1261433309881532E-3</v>
      </c>
      <c r="S236" s="4">
        <f t="shared" ca="1" si="65"/>
        <v>-2.3495333118764172E-2</v>
      </c>
      <c r="T236" s="4">
        <f t="shared" ca="1" si="73"/>
        <v>-1.0954616588418897E-3</v>
      </c>
      <c r="U236" s="4">
        <f t="shared" ca="1" si="74"/>
        <v>-3.7135894162702021E-3</v>
      </c>
      <c r="V236" s="4">
        <f t="shared" ca="1" si="66"/>
        <v>1.5748031496062964E-2</v>
      </c>
      <c r="W236" s="4">
        <f t="shared" ca="1" si="67"/>
        <v>2.9850746268655914E-3</v>
      </c>
      <c r="X236" s="4">
        <f t="shared" ca="1" si="68"/>
        <v>-7.4074074074074181E-3</v>
      </c>
      <c r="Y236" s="4">
        <f t="shared" ca="1" si="69"/>
        <v>-6.9444444444444198E-3</v>
      </c>
      <c r="Z236" s="4">
        <f t="shared" ca="1" si="70"/>
        <v>-2.3892267593397021E-2</v>
      </c>
      <c r="AA236" s="4">
        <f t="shared" ca="1" si="71"/>
        <v>-1.0016497761018095E-2</v>
      </c>
      <c r="AB236" s="4">
        <f t="shared" ca="1" si="75"/>
        <v>-2.8803402281074808E-2</v>
      </c>
      <c r="AC236" s="4">
        <f t="shared" ca="1" si="76"/>
        <v>-4.0080160320641323E-3</v>
      </c>
      <c r="AD236" s="4"/>
      <c r="AE236" s="2" cm="1">
        <f t="array" aca="1" ref="AE236" ca="1">SUMPRODUCT(Q236:AB236,TRANSPOSE(Insights.!$H$4:$H$15))</f>
        <v>-7.3899978073581575E-3</v>
      </c>
      <c r="AG236" s="10" vm="3521">
        <f ca="1"/>
        <v>45989</v>
      </c>
      <c r="AH236" s="1" vm="3533">
        <f ca="1"/>
        <v>111.905</v>
      </c>
      <c r="AI236" s="2">
        <f t="shared" ca="1" si="72"/>
        <v>-1.7425494839373723E-3</v>
      </c>
      <c r="AJ236" s="1" vm="3534">
        <f ca="1"/>
        <v>111.4</v>
      </c>
      <c r="AK236" s="2">
        <f t="shared" ca="1" si="77"/>
        <v>-3.8599640933573154E-3</v>
      </c>
      <c r="AL236" s="1" vm="3395">
        <f ca="1"/>
        <v>57.32</v>
      </c>
      <c r="AM236" s="2">
        <f t="shared" ca="1" si="78"/>
        <v>1.5701325889740936E-3</v>
      </c>
      <c r="AO236" s="9">
        <f t="shared" ca="1" si="79"/>
        <v>99.669145436826923</v>
      </c>
      <c r="AP236">
        <f t="shared" ca="1" si="80"/>
        <v>103.76947329376867</v>
      </c>
      <c r="AQ236">
        <f t="shared" ca="1" si="81"/>
        <v>105.7929724596393</v>
      </c>
      <c r="AR236">
        <f t="shared" ca="1" si="82"/>
        <v>116.87226016923246</v>
      </c>
      <c r="AT236" s="21">
        <f ca="1">MAX($AO$3:AO237)</f>
        <v>106.96839029133979</v>
      </c>
      <c r="AU236" s="2">
        <f t="shared" ca="1" si="83"/>
        <v>-6.8237400176188401E-2</v>
      </c>
    </row>
    <row r="237" spans="1:47" x14ac:dyDescent="0.25">
      <c r="A237" vm="3535">
        <f ca="1"/>
        <v>45992</v>
      </c>
      <c r="B237" vm="2015">
        <f ca="1"/>
        <v>154.80000000000001</v>
      </c>
      <c r="C237" vm="3536">
        <f ca="1"/>
        <v>248.5</v>
      </c>
      <c r="D237" vm="3537">
        <f ca="1"/>
        <v>286</v>
      </c>
      <c r="E237" vm="401">
        <f ca="1"/>
        <v>200</v>
      </c>
      <c r="F237" vm="2680">
        <f ca="1"/>
        <v>201.6</v>
      </c>
      <c r="G237" vm="1247">
        <f ca="1"/>
        <v>151.69999999999999</v>
      </c>
      <c r="H237" vm="3538">
        <f ca="1"/>
        <v>420.05</v>
      </c>
      <c r="I237" vm="3539">
        <f ca="1"/>
        <v>127.66</v>
      </c>
      <c r="J237" vm="3540">
        <f ca="1"/>
        <v>429.25</v>
      </c>
      <c r="K237" vm="3541">
        <f ca="1"/>
        <v>88.5</v>
      </c>
      <c r="L237" vm="3542">
        <f ca="1"/>
        <v>337.05</v>
      </c>
      <c r="M237" vm="3543">
        <f ca="1"/>
        <v>268</v>
      </c>
      <c r="N237" vm="3544">
        <f ca="1"/>
        <v>13.19</v>
      </c>
      <c r="O237" vm="3545">
        <f ca="1"/>
        <v>502.4</v>
      </c>
      <c r="Q237" s="4">
        <f t="shared" ca="1" si="63"/>
        <v>1.5163002274451998E-3</v>
      </c>
      <c r="R237" s="4">
        <f t="shared" ca="1" si="64"/>
        <v>1.5500000000000069E-2</v>
      </c>
      <c r="S237" s="4">
        <f t="shared" ca="1" si="65"/>
        <v>-1.1206328279498967E-2</v>
      </c>
      <c r="T237" s="4">
        <f t="shared" ca="1" si="73"/>
        <v>-2.0209932633557859E-2</v>
      </c>
      <c r="U237" s="4">
        <f t="shared" ca="1" si="74"/>
        <v>-7.5713453698310618E-3</v>
      </c>
      <c r="V237" s="4">
        <f t="shared" ca="1" si="66"/>
        <v>8.2687338501292729E-3</v>
      </c>
      <c r="W237" s="4">
        <f t="shared" ca="1" si="67"/>
        <v>3.9682539682539542E-3</v>
      </c>
      <c r="X237" s="4">
        <f t="shared" ca="1" si="68"/>
        <v>-6.3432835820894651E-3</v>
      </c>
      <c r="Y237" s="4">
        <f t="shared" ca="1" si="69"/>
        <v>-8.7412587412587506E-3</v>
      </c>
      <c r="Z237" s="4">
        <f t="shared" ca="1" si="70"/>
        <v>-2.4180388666370067E-2</v>
      </c>
      <c r="AA237" s="4">
        <f t="shared" ca="1" si="71"/>
        <v>3.571003451970034E-3</v>
      </c>
      <c r="AB237" s="4">
        <f t="shared" ca="1" si="75"/>
        <v>-1.164410828025475E-2</v>
      </c>
      <c r="AC237" s="4">
        <f t="shared" ca="1" si="76"/>
        <v>1.0060362173038184E-2</v>
      </c>
      <c r="AD237" s="4"/>
      <c r="AE237" s="2" cm="1">
        <f t="array" aca="1" ref="AE237" ca="1">SUMPRODUCT(Q237:AB237,TRANSPOSE(Insights.!$H$4:$H$15))</f>
        <v>-3.929458905906332E-3</v>
      </c>
      <c r="AG237" s="10" vm="3535">
        <f ca="1"/>
        <v>45992</v>
      </c>
      <c r="AH237" s="1" vm="3546">
        <f ca="1"/>
        <v>111.71</v>
      </c>
      <c r="AI237" s="2">
        <f t="shared" ca="1" si="72"/>
        <v>-8.0565750604233433E-4</v>
      </c>
      <c r="AJ237" s="1" vm="3547">
        <f ca="1"/>
        <v>110.97</v>
      </c>
      <c r="AK237" s="2">
        <f t="shared" ca="1" si="77"/>
        <v>1.8022889069113646E-4</v>
      </c>
      <c r="AL237" s="1" vm="3548">
        <f ca="1"/>
        <v>57.41</v>
      </c>
      <c r="AM237" s="2">
        <f t="shared" ca="1" si="78"/>
        <v>1.916042501306503E-3</v>
      </c>
      <c r="AO237" s="9">
        <f t="shared" ca="1" si="79"/>
        <v>98.932590670587516</v>
      </c>
      <c r="AP237">
        <f t="shared" ca="1" si="80"/>
        <v>103.58864985163216</v>
      </c>
      <c r="AQ237">
        <f t="shared" ca="1" si="81"/>
        <v>105.38461538461556</v>
      </c>
      <c r="AR237">
        <f t="shared" ca="1" si="82"/>
        <v>117.05576511367123</v>
      </c>
      <c r="AT237" s="21">
        <f ca="1">MAX($AO$3:AO238)</f>
        <v>106.96839029133979</v>
      </c>
      <c r="AU237" s="2">
        <f t="shared" ca="1" si="83"/>
        <v>-7.5123123745864717E-2</v>
      </c>
    </row>
    <row r="238" spans="1:47" x14ac:dyDescent="0.25">
      <c r="A238" vm="3549">
        <f ca="1"/>
        <v>45993</v>
      </c>
      <c r="B238" vm="3550">
        <f ca="1"/>
        <v>156.08000000000001</v>
      </c>
      <c r="C238" vm="1068">
        <f ca="1"/>
        <v>251</v>
      </c>
      <c r="D238" vm="3551">
        <f ca="1"/>
        <v>283.5</v>
      </c>
      <c r="E238" vm="3552">
        <f ca="1"/>
        <v>203.1</v>
      </c>
      <c r="F238" vm="1176">
        <f ca="1"/>
        <v>202.4</v>
      </c>
      <c r="G238" vm="1691">
        <f ca="1"/>
        <v>150</v>
      </c>
      <c r="H238" vm="3553">
        <f ca="1"/>
        <v>421.55</v>
      </c>
      <c r="I238" vm="3554">
        <f ca="1"/>
        <v>125.08</v>
      </c>
      <c r="J238" vm="3252">
        <f ca="1"/>
        <v>426</v>
      </c>
      <c r="K238" vm="3555">
        <f ca="1"/>
        <v>85</v>
      </c>
      <c r="L238" vm="3556">
        <f ca="1"/>
        <v>328.9</v>
      </c>
      <c r="M238" vm="3557">
        <f ca="1"/>
        <v>266.3</v>
      </c>
      <c r="N238" vm="3558">
        <f ca="1"/>
        <v>13.21</v>
      </c>
      <c r="O238" vm="3559">
        <f ca="1"/>
        <v>496.55</v>
      </c>
      <c r="Q238" s="4">
        <f t="shared" ca="1" si="63"/>
        <v>1.5897047691143085E-2</v>
      </c>
      <c r="R238" s="4">
        <f t="shared" ca="1" si="64"/>
        <v>7.6317085179715693E-3</v>
      </c>
      <c r="S238" s="4">
        <f t="shared" ca="1" si="65"/>
        <v>-1.3333333333333308E-2</v>
      </c>
      <c r="T238" s="4">
        <f t="shared" ca="1" si="73"/>
        <v>9.59385992964501E-3</v>
      </c>
      <c r="U238" s="4">
        <f t="shared" ca="1" si="74"/>
        <v>6.9248826291079535E-3</v>
      </c>
      <c r="V238" s="4">
        <f t="shared" ca="1" si="66"/>
        <v>-1.332649923116358E-2</v>
      </c>
      <c r="W238" s="4">
        <f t="shared" ca="1" si="67"/>
        <v>-1.4624505928853782E-2</v>
      </c>
      <c r="X238" s="4">
        <f t="shared" ca="1" si="68"/>
        <v>-1.8775816748028973E-3</v>
      </c>
      <c r="Y238" s="4">
        <f t="shared" ca="1" si="69"/>
        <v>3.1746031746031633E-3</v>
      </c>
      <c r="Z238" s="4">
        <f t="shared" ca="1" si="70"/>
        <v>-2.0522955305564028E-2</v>
      </c>
      <c r="AA238" s="4">
        <f t="shared" ca="1" si="71"/>
        <v>-2.6924445498754612E-2</v>
      </c>
      <c r="AB238" s="4">
        <f t="shared" ca="1" si="75"/>
        <v>-2.567717249018231E-2</v>
      </c>
      <c r="AC238" s="4">
        <f t="shared" ca="1" si="76"/>
        <v>9.960159362549792E-3</v>
      </c>
      <c r="AD238" s="4"/>
      <c r="AE238" s="2" cm="1">
        <f t="array" aca="1" ref="AE238" ca="1">SUMPRODUCT(Q238:AB238,TRANSPOSE(Insights.!$H$4:$H$15))</f>
        <v>-4.9802509239076729E-3</v>
      </c>
      <c r="AG238" s="10" vm="3549">
        <f ca="1"/>
        <v>45993</v>
      </c>
      <c r="AH238" s="1" vm="3560">
        <f ca="1"/>
        <v>111.62</v>
      </c>
      <c r="AI238" s="2">
        <f t="shared" ca="1" si="72"/>
        <v>-2.6876903780685968E-3</v>
      </c>
      <c r="AJ238" s="1" vm="3561">
        <f ca="1"/>
        <v>110.99</v>
      </c>
      <c r="AK238" s="2">
        <f t="shared" ca="1" si="77"/>
        <v>4.0544193170566345E-4</v>
      </c>
      <c r="AL238" s="1" vm="3562">
        <f ca="1"/>
        <v>57.52</v>
      </c>
      <c r="AM238" s="2">
        <f t="shared" ca="1" si="78"/>
        <v>1.2169680111264736E-3</v>
      </c>
      <c r="AO238" s="9">
        <f t="shared" ca="1" si="79"/>
        <v>98.543839121092589</v>
      </c>
      <c r="AP238">
        <f t="shared" ca="1" si="80"/>
        <v>103.50519287833839</v>
      </c>
      <c r="AQ238">
        <f t="shared" ca="1" si="81"/>
        <v>105.40360873694223</v>
      </c>
      <c r="AR238">
        <f t="shared" ca="1" si="82"/>
        <v>117.28004893465197</v>
      </c>
      <c r="AT238" s="21">
        <f ca="1">MAX($AO$3:AO239)</f>
        <v>106.96839029133979</v>
      </c>
      <c r="AU238" s="2">
        <f t="shared" ca="1" si="83"/>
        <v>-7.8757389424128355E-2</v>
      </c>
    </row>
    <row r="239" spans="1:47" x14ac:dyDescent="0.25">
      <c r="A239" vm="3563">
        <f ca="1"/>
        <v>45994</v>
      </c>
      <c r="B239" vm="110">
        <f ca="1"/>
        <v>154</v>
      </c>
      <c r="C239" vm="3564">
        <f ca="1"/>
        <v>253.5</v>
      </c>
      <c r="D239" vm="3565">
        <f ca="1"/>
        <v>284.39999999999998</v>
      </c>
      <c r="E239" vm="656">
        <f ca="1"/>
        <v>204.65</v>
      </c>
      <c r="F239" vm="3566">
        <f ca="1"/>
        <v>199.44</v>
      </c>
      <c r="G239" vm="3567">
        <f ca="1"/>
        <v>148</v>
      </c>
      <c r="H239" vm="109">
        <f ca="1"/>
        <v>410.2</v>
      </c>
      <c r="I239" vm="3568">
        <f ca="1"/>
        <v>126.28</v>
      </c>
      <c r="J239" vm="3569">
        <f ca="1"/>
        <v>428.95</v>
      </c>
      <c r="K239" vm="2722">
        <f ca="1"/>
        <v>83</v>
      </c>
      <c r="L239" vm="3570">
        <f ca="1"/>
        <v>322.14999999999998</v>
      </c>
      <c r="M239" vm="3571">
        <f ca="1"/>
        <v>265.8</v>
      </c>
      <c r="N239" vm="3464">
        <f ca="1"/>
        <v>13.42</v>
      </c>
      <c r="O239" vm="3572">
        <f ca="1"/>
        <v>483.8</v>
      </c>
      <c r="Q239" s="4">
        <f t="shared" ca="1" si="63"/>
        <v>3.4649776453055114E-2</v>
      </c>
      <c r="R239" s="4">
        <f t="shared" ca="1" si="64"/>
        <v>3.8113852919618774E-2</v>
      </c>
      <c r="S239" s="4">
        <f t="shared" ca="1" si="65"/>
        <v>1.4189189189189211E-2</v>
      </c>
      <c r="T239" s="4">
        <f t="shared" ca="1" si="73"/>
        <v>-1.4570795058599928E-2</v>
      </c>
      <c r="U239" s="4">
        <f t="shared" ca="1" si="74"/>
        <v>4.7791117845903397E-3</v>
      </c>
      <c r="V239" s="4">
        <f t="shared" ca="1" si="66"/>
        <v>2.1818181818181959E-2</v>
      </c>
      <c r="W239" s="4">
        <f t="shared" ca="1" si="67"/>
        <v>-1.3237063778579916E-2</v>
      </c>
      <c r="X239" s="4">
        <f t="shared" ca="1" si="68"/>
        <v>2.1632806621519896E-2</v>
      </c>
      <c r="Y239" s="4">
        <f t="shared" ca="1" si="69"/>
        <v>-1.828410689170179E-2</v>
      </c>
      <c r="Z239" s="4">
        <f t="shared" ca="1" si="70"/>
        <v>1.8004035387241935E-2</v>
      </c>
      <c r="AA239" s="4">
        <f t="shared" ca="1" si="71"/>
        <v>4.0224280838616622E-3</v>
      </c>
      <c r="AB239" s="4">
        <f t="shared" ca="1" si="75"/>
        <v>-1.7982637453493155E-2</v>
      </c>
      <c r="AC239" s="4">
        <f t="shared" ca="1" si="76"/>
        <v>-7.8895463510848529E-3</v>
      </c>
      <c r="AD239" s="4"/>
      <c r="AE239" s="2" cm="1">
        <f t="array" aca="1" ref="AE239" ca="1">SUMPRODUCT(Q239:AB239,TRANSPOSE(Insights.!$H$4:$H$15))</f>
        <v>9.1174487428699168E-3</v>
      </c>
      <c r="AG239" s="10" vm="3563">
        <f ca="1"/>
        <v>45994</v>
      </c>
      <c r="AH239" s="1" vm="3573">
        <f ca="1"/>
        <v>111.32</v>
      </c>
      <c r="AI239" s="2">
        <f t="shared" ca="1" si="72"/>
        <v>1.8415379087317607E-3</v>
      </c>
      <c r="AJ239" s="1" vm="3574">
        <f ca="1"/>
        <v>111.035</v>
      </c>
      <c r="AK239" s="2">
        <f t="shared" ca="1" si="77"/>
        <v>2.2065114603504465E-3</v>
      </c>
      <c r="AL239" s="1" vm="3575">
        <f ca="1"/>
        <v>57.59</v>
      </c>
      <c r="AM239" s="2">
        <f t="shared" ca="1" si="78"/>
        <v>3.2991838860914058E-3</v>
      </c>
      <c r="AO239" s="9">
        <f t="shared" ca="1" si="79"/>
        <v>98.053066075264368</v>
      </c>
      <c r="AP239">
        <f t="shared" ca="1" si="80"/>
        <v>103.22700296735914</v>
      </c>
      <c r="AQ239">
        <f t="shared" ca="1" si="81"/>
        <v>105.44634377967729</v>
      </c>
      <c r="AR239">
        <f t="shared" ca="1" si="82"/>
        <v>117.42277500254879</v>
      </c>
      <c r="AT239" s="21">
        <f ca="1">MAX($AO$3:AO240)</f>
        <v>106.96839029133979</v>
      </c>
      <c r="AU239" s="2">
        <f t="shared" ca="1" si="83"/>
        <v>-8.3345408786591912E-2</v>
      </c>
    </row>
    <row r="240" spans="1:47" x14ac:dyDescent="0.25">
      <c r="A240" vm="3576">
        <f ca="1"/>
        <v>45995</v>
      </c>
      <c r="B240" vm="3577">
        <f ca="1"/>
        <v>157.36000000000001</v>
      </c>
      <c r="C240" vm="696">
        <f ca="1"/>
        <v>251.5</v>
      </c>
      <c r="D240" vm="3578">
        <f ca="1"/>
        <v>279.2</v>
      </c>
      <c r="E240" vm="3579">
        <f ca="1"/>
        <v>212.45</v>
      </c>
      <c r="F240" vm="2622">
        <f ca="1"/>
        <v>196.8</v>
      </c>
      <c r="G240" vm="1841">
        <f ca="1"/>
        <v>150.1</v>
      </c>
      <c r="H240" vm="3580">
        <f ca="1"/>
        <v>411.85</v>
      </c>
      <c r="I240" vm="1759">
        <f ca="1"/>
        <v>124.44</v>
      </c>
      <c r="J240" vm="2669">
        <f ca="1"/>
        <v>431</v>
      </c>
      <c r="K240" vm="3581">
        <f ca="1"/>
        <v>86</v>
      </c>
      <c r="L240" vm="3582">
        <f ca="1"/>
        <v>327.95</v>
      </c>
      <c r="M240" vm="3583">
        <f ca="1"/>
        <v>271.55</v>
      </c>
      <c r="N240" vm="3584">
        <f ca="1"/>
        <v>13.885</v>
      </c>
      <c r="O240" vm="3585">
        <f ca="1"/>
        <v>475.1</v>
      </c>
      <c r="Q240" s="4">
        <f t="shared" ca="1" si="63"/>
        <v>-2.5927259632697153E-2</v>
      </c>
      <c r="R240" s="4">
        <f t="shared" ca="1" si="64"/>
        <v>5.5307131089668227E-2</v>
      </c>
      <c r="S240" s="4">
        <f t="shared" ca="1" si="65"/>
        <v>5.9960026648901987E-3</v>
      </c>
      <c r="T240" s="4">
        <f t="shared" ca="1" si="73"/>
        <v>-8.0360012857602081E-3</v>
      </c>
      <c r="U240" s="4">
        <f t="shared" ca="1" si="74"/>
        <v>-1.7865429234338759E-2</v>
      </c>
      <c r="V240" s="4">
        <f t="shared" ca="1" si="66"/>
        <v>-6.6090493136757855E-3</v>
      </c>
      <c r="W240" s="4">
        <f t="shared" ca="1" si="67"/>
        <v>-3.0487804878054359E-4</v>
      </c>
      <c r="X240" s="4">
        <f t="shared" ca="1" si="68"/>
        <v>-1.1047689191677756E-3</v>
      </c>
      <c r="Y240" s="4">
        <f t="shared" ca="1" si="69"/>
        <v>2.6683381088825175E-2</v>
      </c>
      <c r="Z240" s="4">
        <f t="shared" ca="1" si="70"/>
        <v>1.2959292575087655E-2</v>
      </c>
      <c r="AA240" s="4">
        <f t="shared" ca="1" si="71"/>
        <v>2.549471895107347E-3</v>
      </c>
      <c r="AB240" s="4">
        <f t="shared" ca="1" si="75"/>
        <v>2.3784466428120377E-2</v>
      </c>
      <c r="AC240" s="4">
        <f t="shared" ca="1" si="76"/>
        <v>1.9880715705765439E-2</v>
      </c>
      <c r="AD240" s="4"/>
      <c r="AE240" s="2" cm="1">
        <f t="array" aca="1" ref="AE240" ca="1">SUMPRODUCT(Q240:AB240,TRANSPOSE(Insights.!$H$4:$H$15))</f>
        <v>7.3695081905854505E-3</v>
      </c>
      <c r="AG240" s="10" vm="3576">
        <f ca="1"/>
        <v>45995</v>
      </c>
      <c r="AH240" s="1" vm="3586">
        <f ca="1"/>
        <v>111.52500000000001</v>
      </c>
      <c r="AI240" s="2">
        <f t="shared" ca="1" si="72"/>
        <v>5.4247926473884878E-3</v>
      </c>
      <c r="AJ240" s="1" vm="3587">
        <f ca="1"/>
        <v>111.28</v>
      </c>
      <c r="AK240" s="2">
        <f t="shared" ca="1" si="77"/>
        <v>3.7293314162472058E-3</v>
      </c>
      <c r="AL240" s="1" vm="3588">
        <f ca="1"/>
        <v>57.78</v>
      </c>
      <c r="AM240" s="2">
        <f t="shared" ca="1" si="78"/>
        <v>1.9037729318103214E-3</v>
      </c>
      <c r="AO240" s="9">
        <f t="shared" ca="1" si="79"/>
        <v>98.94705987928684</v>
      </c>
      <c r="AP240">
        <f t="shared" ca="1" si="80"/>
        <v>103.41709940652829</v>
      </c>
      <c r="AQ240">
        <f t="shared" ca="1" si="81"/>
        <v>105.6790123456792</v>
      </c>
      <c r="AR240">
        <f t="shared" ca="1" si="82"/>
        <v>117.81017432969733</v>
      </c>
      <c r="AT240" s="21">
        <f ca="1">MAX($AO$3:AO241)</f>
        <v>106.96839029133979</v>
      </c>
      <c r="AU240" s="2">
        <f t="shared" ca="1" si="83"/>
        <v>-7.4987857536287117E-2</v>
      </c>
    </row>
    <row r="241" spans="1:47" x14ac:dyDescent="0.25">
      <c r="A241" vm="3589">
        <f ca="1"/>
        <v>45996</v>
      </c>
      <c r="B241" vm="3590">
        <f ca="1"/>
        <v>156.32</v>
      </c>
      <c r="C241" vm="3591">
        <f ca="1"/>
        <v>256.5</v>
      </c>
      <c r="D241" vm="3456">
        <f ca="1"/>
        <v>286.64999999999998</v>
      </c>
      <c r="E241" vm="3592">
        <f ca="1"/>
        <v>224.2</v>
      </c>
      <c r="F241" vm="1125">
        <f ca="1"/>
        <v>196.74</v>
      </c>
      <c r="G241" vm="3593">
        <f ca="1"/>
        <v>151</v>
      </c>
      <c r="H241" vm="3594">
        <f ca="1"/>
        <v>412.9</v>
      </c>
      <c r="I241" vm="3595">
        <f ca="1"/>
        <v>123.44</v>
      </c>
      <c r="J241" vm="3596">
        <f ca="1"/>
        <v>423.3</v>
      </c>
      <c r="K241" vm="3597">
        <f ca="1"/>
        <v>83.5</v>
      </c>
      <c r="L241" vm="3598">
        <f ca="1"/>
        <v>332.2</v>
      </c>
      <c r="M241" vm="3599">
        <f ca="1"/>
        <v>271.25</v>
      </c>
      <c r="N241" vm="3600">
        <f ca="1"/>
        <v>13.525</v>
      </c>
      <c r="O241" vm="3601">
        <f ca="1"/>
        <v>486.4</v>
      </c>
      <c r="Q241" s="4">
        <f t="shared" ca="1" si="63"/>
        <v>-1.0351201478743133E-2</v>
      </c>
      <c r="R241" s="4">
        <f t="shared" ca="1" si="64"/>
        <v>-4.906333630686821E-3</v>
      </c>
      <c r="S241" s="4">
        <f t="shared" ca="1" si="65"/>
        <v>-5.3311258278145757E-2</v>
      </c>
      <c r="T241" s="4">
        <f t="shared" ca="1" si="73"/>
        <v>-3.7265068049254668E-2</v>
      </c>
      <c r="U241" s="4">
        <f t="shared" ca="1" si="74"/>
        <v>1.9607843137254832E-2</v>
      </c>
      <c r="V241" s="4">
        <f t="shared" ca="1" si="66"/>
        <v>1.7144319344933434E-2</v>
      </c>
      <c r="W241" s="4">
        <f t="shared" ca="1" si="67"/>
        <v>-8.7425027955677637E-3</v>
      </c>
      <c r="X241" s="4">
        <f t="shared" ca="1" si="68"/>
        <v>-4.9769585253457427E-3</v>
      </c>
      <c r="Y241" s="4">
        <f t="shared" ca="1" si="69"/>
        <v>-1.9884877027734116E-2</v>
      </c>
      <c r="Z241" s="4">
        <f t="shared" ca="1" si="70"/>
        <v>3.8380493678506822E-2</v>
      </c>
      <c r="AA241" s="4">
        <f t="shared" ca="1" si="71"/>
        <v>2.0343908936788724E-2</v>
      </c>
      <c r="AB241" s="4">
        <f t="shared" ca="1" si="75"/>
        <v>-1.8708881578947345E-2</v>
      </c>
      <c r="AC241" s="4">
        <f t="shared" ca="1" si="76"/>
        <v>-1.9493177387914784E-3</v>
      </c>
      <c r="AD241" s="4"/>
      <c r="AE241" s="2" cm="1">
        <f t="array" aca="1" ref="AE241" ca="1">SUMPRODUCT(Q241:AB241,TRANSPOSE(Insights.!$H$4:$H$15))</f>
        <v>-2.9659313862592067E-3</v>
      </c>
      <c r="AG241" s="10" vm="3589">
        <f ca="1"/>
        <v>45996</v>
      </c>
      <c r="AH241" s="1" vm="3602">
        <f ca="1"/>
        <v>112.13</v>
      </c>
      <c r="AI241" s="2">
        <f t="shared" ca="1" si="72"/>
        <v>-5.3955230535983612E-3</v>
      </c>
      <c r="AJ241" s="1" vm="3603">
        <f ca="1"/>
        <v>111.69499999999999</v>
      </c>
      <c r="AK241" s="2">
        <f t="shared" ca="1" si="77"/>
        <v>-1.6115314024799376E-3</v>
      </c>
      <c r="AL241" s="1" vm="3604">
        <f ca="1"/>
        <v>57.89</v>
      </c>
      <c r="AM241" s="2">
        <f t="shared" ca="1" si="78"/>
        <v>-1.9001554672655185E-3</v>
      </c>
      <c r="AO241" s="9">
        <f t="shared" ca="1" si="79"/>
        <v>99.67625104750158</v>
      </c>
      <c r="AP241">
        <f t="shared" ca="1" si="80"/>
        <v>103.97811572700307</v>
      </c>
      <c r="AQ241">
        <f t="shared" ca="1" si="81"/>
        <v>106.07312440645792</v>
      </c>
      <c r="AR241">
        <f t="shared" ca="1" si="82"/>
        <v>118.03445815067806</v>
      </c>
      <c r="AT241" s="21">
        <f ca="1">MAX($AO$3:AO242)</f>
        <v>106.96839029133979</v>
      </c>
      <c r="AU241" s="2">
        <f t="shared" ca="1" si="83"/>
        <v>-6.8170972976009936E-2</v>
      </c>
    </row>
    <row r="242" spans="1:47" x14ac:dyDescent="0.25">
      <c r="A242" vm="3605">
        <f ca="1"/>
        <v>45999</v>
      </c>
      <c r="B242" vm="3606">
        <f ca="1"/>
        <v>159</v>
      </c>
      <c r="C242" vm="3330">
        <f ca="1"/>
        <v>256</v>
      </c>
      <c r="D242" vm="3607">
        <f ca="1"/>
        <v>280.95</v>
      </c>
      <c r="E242" vm="3608">
        <f ca="1"/>
        <v>223.1</v>
      </c>
      <c r="F242" vm="3609">
        <f ca="1"/>
        <v>195.02</v>
      </c>
      <c r="G242" vm="3610">
        <f ca="1"/>
        <v>142.94999999999999</v>
      </c>
      <c r="H242" vm="3611">
        <f ca="1"/>
        <v>421.3</v>
      </c>
      <c r="I242" vm="3612">
        <f ca="1"/>
        <v>118.84</v>
      </c>
      <c r="J242" vm="3613">
        <f ca="1"/>
        <v>431.6</v>
      </c>
      <c r="K242" vm="3614">
        <f ca="1"/>
        <v>87</v>
      </c>
      <c r="L242" vm="3615">
        <f ca="1"/>
        <v>344.95</v>
      </c>
      <c r="M242" vm="3616">
        <f ca="1"/>
        <v>269.89999999999998</v>
      </c>
      <c r="N242" vm="3617">
        <f ca="1"/>
        <v>13.385</v>
      </c>
      <c r="O242" vm="3618">
        <f ca="1"/>
        <v>477.3</v>
      </c>
      <c r="Q242" s="4">
        <f t="shared" ca="1" si="63"/>
        <v>4.4826298094882144E-3</v>
      </c>
      <c r="R242" s="4">
        <f t="shared" ca="1" si="64"/>
        <v>8.2922456297624958E-3</v>
      </c>
      <c r="S242" s="4">
        <f t="shared" ca="1" si="65"/>
        <v>-2.7981811822314073E-3</v>
      </c>
      <c r="T242" s="4">
        <f t="shared" ca="1" si="73"/>
        <v>9.0878492090205043E-3</v>
      </c>
      <c r="U242" s="4">
        <f t="shared" ca="1" si="74"/>
        <v>-2.6876737720111232E-2</v>
      </c>
      <c r="V242" s="4">
        <f t="shared" ca="1" si="66"/>
        <v>-2.3899371069182607E-3</v>
      </c>
      <c r="W242" s="4">
        <f t="shared" ca="1" si="67"/>
        <v>3.9995897856630602E-3</v>
      </c>
      <c r="X242" s="4">
        <f t="shared" ca="1" si="68"/>
        <v>-4.1126343090033268E-2</v>
      </c>
      <c r="Y242" s="4">
        <f t="shared" ca="1" si="69"/>
        <v>-3.2034169781098853E-3</v>
      </c>
      <c r="Z242" s="4">
        <f t="shared" ca="1" si="70"/>
        <v>4.4934048412814676E-3</v>
      </c>
      <c r="AA242" s="4">
        <f t="shared" ca="1" si="71"/>
        <v>3.3230477094705613E-3</v>
      </c>
      <c r="AB242" s="4">
        <f t="shared" ca="1" si="75"/>
        <v>5.698721977791732E-2</v>
      </c>
      <c r="AC242" s="4">
        <f t="shared" ca="1" si="76"/>
        <v>2.1484375E-2</v>
      </c>
      <c r="AD242" s="4"/>
      <c r="AE242" s="2" cm="1">
        <f t="array" aca="1" ref="AE242" ca="1">SUMPRODUCT(Q242:AB242,TRANSPOSE(Insights.!$H$4:$H$15))</f>
        <v>-7.5155834164245851E-4</v>
      </c>
      <c r="AG242" s="10" vm="3605">
        <f ca="1"/>
        <v>45999</v>
      </c>
      <c r="AH242" s="1" vm="3586">
        <f ca="1"/>
        <v>111.52500000000001</v>
      </c>
      <c r="AI242" s="2">
        <f t="shared" ca="1" si="72"/>
        <v>2.914144810580499E-3</v>
      </c>
      <c r="AJ242" s="1" vm="3619">
        <f ca="1"/>
        <v>111.515</v>
      </c>
      <c r="AK242" s="2">
        <f t="shared" ca="1" si="77"/>
        <v>1.0760884185985198E-3</v>
      </c>
      <c r="AL242" s="1" vm="3588">
        <f ca="1"/>
        <v>57.78</v>
      </c>
      <c r="AM242" s="2">
        <f t="shared" ca="1" si="78"/>
        <v>-2.0768431983385627E-3</v>
      </c>
      <c r="AO242" s="9">
        <f t="shared" ca="1" si="79"/>
        <v>99.38061812605514</v>
      </c>
      <c r="AP242">
        <f t="shared" ca="1" si="80"/>
        <v>103.41709940652831</v>
      </c>
      <c r="AQ242">
        <f t="shared" ca="1" si="81"/>
        <v>105.90218423551775</v>
      </c>
      <c r="AR242">
        <f t="shared" ca="1" si="82"/>
        <v>117.81017432969733</v>
      </c>
      <c r="AT242" s="21">
        <f ca="1">MAX($AO$3:AO243)</f>
        <v>106.96839029133979</v>
      </c>
      <c r="AU242" s="2">
        <f t="shared" ca="1" si="83"/>
        <v>-7.0934713933887839E-2</v>
      </c>
    </row>
    <row r="243" spans="1:47" x14ac:dyDescent="0.25">
      <c r="A243" vm="3620">
        <f ca="1"/>
        <v>46000</v>
      </c>
      <c r="B243" vm="3621">
        <f ca="1"/>
        <v>158.62</v>
      </c>
      <c r="C243" vm="3488">
        <f ca="1"/>
        <v>261.5</v>
      </c>
      <c r="D243" vm="3622">
        <f ca="1"/>
        <v>280.05</v>
      </c>
      <c r="E243" vm="3623">
        <f ca="1"/>
        <v>224.95</v>
      </c>
      <c r="F243" vm="3624">
        <f ca="1"/>
        <v>195.8</v>
      </c>
      <c r="G243" vm="3625">
        <f ca="1"/>
        <v>142.55000000000001</v>
      </c>
      <c r="H243" vm="3626">
        <f ca="1"/>
        <v>422.7</v>
      </c>
      <c r="I243" vm="3627">
        <f ca="1"/>
        <v>119.92</v>
      </c>
      <c r="J243" vm="3628">
        <f ca="1"/>
        <v>420</v>
      </c>
      <c r="K243" vm="3629">
        <f ca="1"/>
        <v>84.5</v>
      </c>
      <c r="L243" vm="3630">
        <f ca="1"/>
        <v>346.5</v>
      </c>
      <c r="M243" vm="3631">
        <f ca="1"/>
        <v>258.8</v>
      </c>
      <c r="N243" vm="3632">
        <f ca="1"/>
        <v>13.445</v>
      </c>
      <c r="O243" vm="3633">
        <f ca="1"/>
        <v>504.5</v>
      </c>
      <c r="Q243" s="4">
        <f t="shared" ca="1" si="63"/>
        <v>1.8594272963927017E-2</v>
      </c>
      <c r="R243" s="4">
        <f t="shared" ca="1" si="64"/>
        <v>1.1113580795731881E-3</v>
      </c>
      <c r="S243" s="4">
        <f t="shared" ca="1" si="65"/>
        <v>-2.7709575587513302E-2</v>
      </c>
      <c r="T243" s="4">
        <f t="shared" ca="1" si="73"/>
        <v>-3.0020013342227925E-3</v>
      </c>
      <c r="U243" s="4">
        <f t="shared" ca="1" si="74"/>
        <v>-4.5238095238094855E-3</v>
      </c>
      <c r="V243" s="4">
        <f t="shared" ca="1" si="66"/>
        <v>-9.3304753498929527E-3</v>
      </c>
      <c r="W243" s="4">
        <f t="shared" ca="1" si="67"/>
        <v>1.3993871297242055E-2</v>
      </c>
      <c r="X243" s="4">
        <f t="shared" ca="1" si="68"/>
        <v>1.5069551777434187E-2</v>
      </c>
      <c r="Y243" s="4">
        <f t="shared" ca="1" si="69"/>
        <v>-5.5347259417961592E-3</v>
      </c>
      <c r="Z243" s="4">
        <f t="shared" ca="1" si="70"/>
        <v>-3.4632034632033903E-3</v>
      </c>
      <c r="AA243" s="4">
        <f t="shared" ca="1" si="71"/>
        <v>-3.3002129169623862E-2</v>
      </c>
      <c r="AB243" s="4">
        <f t="shared" ca="1" si="75"/>
        <v>1.9226957383548182E-2</v>
      </c>
      <c r="AC243" s="4">
        <f t="shared" ca="1" si="76"/>
        <v>2.2944550669216079E-2</v>
      </c>
      <c r="AD243" s="4"/>
      <c r="AE243" s="2" cm="1">
        <f t="array" aca="1" ref="AE243" ca="1">SUMPRODUCT(Q243:AB243,TRANSPOSE(Insights.!$H$4:$H$15))</f>
        <v>-7.0119450458539976E-4</v>
      </c>
      <c r="AG243" s="10" vm="3620">
        <f ca="1"/>
        <v>46000</v>
      </c>
      <c r="AH243" s="1" vm="3634">
        <f ca="1"/>
        <v>111.85</v>
      </c>
      <c r="AI243" s="2">
        <f t="shared" ca="1" si="72"/>
        <v>4.4702726866341358E-4</v>
      </c>
      <c r="AJ243" s="1" vm="3635">
        <f ca="1"/>
        <v>111.63500000000001</v>
      </c>
      <c r="AK243" s="2">
        <f t="shared" ca="1" si="77"/>
        <v>-2.239441035517542E-3</v>
      </c>
      <c r="AL243" s="1" vm="3636">
        <f ca="1"/>
        <v>57.66</v>
      </c>
      <c r="AM243" s="2">
        <f t="shared" ca="1" si="78"/>
        <v>2.0811654526535772E-3</v>
      </c>
      <c r="AO243" s="9">
        <f t="shared" ca="1" si="79"/>
        <v>99.305927793504921</v>
      </c>
      <c r="AP243">
        <f t="shared" ca="1" si="80"/>
        <v>103.71847181008913</v>
      </c>
      <c r="AQ243">
        <f t="shared" ca="1" si="81"/>
        <v>106.01614434947788</v>
      </c>
      <c r="AR243">
        <f t="shared" ca="1" si="82"/>
        <v>117.56550107044562</v>
      </c>
      <c r="AT243" s="21">
        <f ca="1">MAX($AO$3:AO244)</f>
        <v>106.96839029133979</v>
      </c>
      <c r="AU243" s="2">
        <f t="shared" ca="1" si="83"/>
        <v>-7.1632960699561155E-2</v>
      </c>
    </row>
    <row r="244" spans="1:47" x14ac:dyDescent="0.25">
      <c r="A244" vm="3637">
        <f ca="1"/>
        <v>46001</v>
      </c>
      <c r="B244" vm="2434">
        <f ca="1"/>
        <v>157.13999999999999</v>
      </c>
      <c r="C244" vm="3638">
        <f ca="1"/>
        <v>267.5</v>
      </c>
      <c r="D244" vm="3639">
        <f ca="1"/>
        <v>278.5</v>
      </c>
      <c r="E244" vm="3640">
        <f ca="1"/>
        <v>225.2</v>
      </c>
      <c r="F244" vm="3641">
        <f ca="1"/>
        <v>198.54</v>
      </c>
      <c r="G244" vm="3642">
        <f ca="1"/>
        <v>138.6</v>
      </c>
      <c r="H244" vm="3643">
        <f ca="1"/>
        <v>408.75</v>
      </c>
      <c r="I244" vm="3644">
        <f ca="1"/>
        <v>119.56</v>
      </c>
      <c r="J244" vm="3645">
        <f ca="1"/>
        <v>418.1</v>
      </c>
      <c r="K244" vm="2805">
        <f ca="1"/>
        <v>80</v>
      </c>
      <c r="L244" vm="3529">
        <f ca="1"/>
        <v>345.3</v>
      </c>
      <c r="M244" vm="3646">
        <f ca="1"/>
        <v>262.7</v>
      </c>
      <c r="N244" vm="3647">
        <f ca="1"/>
        <v>13.695</v>
      </c>
      <c r="O244" vm="3648">
        <f ca="1"/>
        <v>514.20000000000005</v>
      </c>
      <c r="Q244" s="4">
        <f t="shared" ca="1" si="63"/>
        <v>2.0445418035779372E-2</v>
      </c>
      <c r="R244" s="4">
        <f t="shared" ca="1" si="64"/>
        <v>-5.1065719360567918E-3</v>
      </c>
      <c r="S244" s="4">
        <f t="shared" ca="1" si="65"/>
        <v>4.3290043290043378E-2</v>
      </c>
      <c r="T244" s="4">
        <f t="shared" ca="1" si="73"/>
        <v>1.8400802944127381E-3</v>
      </c>
      <c r="U244" s="4">
        <f t="shared" ca="1" si="74"/>
        <v>7.175316909828755E-4</v>
      </c>
      <c r="V244" s="4">
        <f t="shared" ca="1" si="66"/>
        <v>-2.1000381825123982E-2</v>
      </c>
      <c r="W244" s="4">
        <f t="shared" ca="1" si="67"/>
        <v>-1.2793391759846839E-2</v>
      </c>
      <c r="X244" s="4">
        <f t="shared" ca="1" si="68"/>
        <v>1.5987818804720222E-2</v>
      </c>
      <c r="Y244" s="4">
        <f t="shared" ca="1" si="69"/>
        <v>4.4703770197486392E-2</v>
      </c>
      <c r="Z244" s="4">
        <f t="shared" ca="1" si="70"/>
        <v>-2.1720243266724615E-2</v>
      </c>
      <c r="AA244" s="4">
        <f t="shared" ca="1" si="71"/>
        <v>7.3394495412844041E-3</v>
      </c>
      <c r="AB244" s="4">
        <f t="shared" ca="1" si="75"/>
        <v>-4.278490859587758E-3</v>
      </c>
      <c r="AC244" s="4">
        <f t="shared" ca="1" si="76"/>
        <v>-3.1775700934579487E-2</v>
      </c>
      <c r="AD244" s="4"/>
      <c r="AE244" s="2" cm="1">
        <f t="array" aca="1" ref="AE244" ca="1">SUMPRODUCT(Q244:AB244,TRANSPOSE(Insights.!$H$4:$H$15))</f>
        <v>5.4326848617643336E-3</v>
      </c>
      <c r="AG244" s="10" vm="3637">
        <f ca="1"/>
        <v>46001</v>
      </c>
      <c r="AH244" s="1" vm="3649">
        <f ca="1"/>
        <v>111.9</v>
      </c>
      <c r="AI244" s="2">
        <f t="shared" ca="1" si="72"/>
        <v>-3.3065236818587973E-3</v>
      </c>
      <c r="AJ244" s="1" vm="3650">
        <f ca="1"/>
        <v>111.38500000000001</v>
      </c>
      <c r="AK244" s="2">
        <f t="shared" ca="1" si="77"/>
        <v>-3.680926516137828E-3</v>
      </c>
      <c r="AL244" s="1" vm="3588">
        <f ca="1"/>
        <v>57.78</v>
      </c>
      <c r="AM244" s="2">
        <f t="shared" ca="1" si="78"/>
        <v>9.1727241259951242E-3</v>
      </c>
      <c r="AO244" s="9">
        <f t="shared" ca="1" si="79"/>
        <v>99.236295022663356</v>
      </c>
      <c r="AP244">
        <f t="shared" ca="1" si="80"/>
        <v>103.76483679525234</v>
      </c>
      <c r="AQ244">
        <f t="shared" ca="1" si="81"/>
        <v>105.77872744539431</v>
      </c>
      <c r="AR244">
        <f t="shared" ca="1" si="82"/>
        <v>117.81017432969733</v>
      </c>
      <c r="AT244" s="21">
        <f ca="1">MAX($AO$3:AO245)</f>
        <v>106.96839029133979</v>
      </c>
      <c r="AU244" s="2">
        <f t="shared" ca="1" si="83"/>
        <v>-7.2283926565756884E-2</v>
      </c>
    </row>
    <row r="245" spans="1:47" x14ac:dyDescent="0.25">
      <c r="A245" vm="3651">
        <f ca="1"/>
        <v>46002</v>
      </c>
      <c r="B245" vm="3652">
        <f ca="1"/>
        <v>153.84</v>
      </c>
      <c r="C245" vm="3653">
        <f ca="1"/>
        <v>259</v>
      </c>
      <c r="D245" vm="3654">
        <f ca="1"/>
        <v>290.95</v>
      </c>
      <c r="E245" vm="471">
        <f ca="1"/>
        <v>224.05</v>
      </c>
      <c r="F245" vm="2142">
        <f ca="1"/>
        <v>196</v>
      </c>
      <c r="G245" vm="7">
        <f ca="1"/>
        <v>144.6</v>
      </c>
      <c r="H245" vm="223">
        <f ca="1"/>
        <v>411.75</v>
      </c>
      <c r="I245" vm="3655">
        <f ca="1"/>
        <v>119.78</v>
      </c>
      <c r="J245" vm="3656">
        <f ca="1"/>
        <v>418.4</v>
      </c>
      <c r="K245" vm="2805">
        <f ca="1"/>
        <v>80</v>
      </c>
      <c r="L245" vm="3657">
        <f ca="1"/>
        <v>337.8</v>
      </c>
      <c r="M245" vm="3658">
        <f ca="1"/>
        <v>266.89999999999998</v>
      </c>
      <c r="N245" vm="3659">
        <f ca="1"/>
        <v>13.975</v>
      </c>
      <c r="O245" vm="3660">
        <f ca="1"/>
        <v>512</v>
      </c>
      <c r="Q245" s="4">
        <f t="shared" ca="1" si="63"/>
        <v>-2.8622540250446971E-3</v>
      </c>
      <c r="R245" s="4">
        <f t="shared" ca="1" si="64"/>
        <v>7.5875920553447607E-3</v>
      </c>
      <c r="S245" s="4">
        <f t="shared" ca="1" si="65"/>
        <v>1.901798063623783E-2</v>
      </c>
      <c r="T245" s="4">
        <f t="shared" ca="1" si="73"/>
        <v>1.4359659375521749E-2</v>
      </c>
      <c r="U245" s="4">
        <f t="shared" ca="1" si="74"/>
        <v>2.9517208413001983E-2</v>
      </c>
      <c r="V245" s="4">
        <f t="shared" ca="1" si="66"/>
        <v>-3.1461258450337981E-2</v>
      </c>
      <c r="W245" s="4">
        <f t="shared" ca="1" si="67"/>
        <v>-1.2142857142857122E-2</v>
      </c>
      <c r="X245" s="4">
        <f t="shared" ca="1" si="68"/>
        <v>1.6298239040839269E-2</v>
      </c>
      <c r="Y245" s="4">
        <f t="shared" ca="1" si="69"/>
        <v>1.5638425846365323E-2</v>
      </c>
      <c r="Z245" s="4">
        <f t="shared" ca="1" si="70"/>
        <v>-8.4665482534043823E-2</v>
      </c>
      <c r="AA245" s="4">
        <f t="shared" ca="1" si="71"/>
        <v>-1.0443230115361302E-2</v>
      </c>
      <c r="AB245" s="4">
        <f t="shared" ca="1" si="75"/>
        <v>-1.1718750000000444E-3</v>
      </c>
      <c r="AC245" s="4">
        <f t="shared" ca="1" si="76"/>
        <v>-3.2818532818532864E-2</v>
      </c>
      <c r="AD245" s="4"/>
      <c r="AE245" s="2" cm="1">
        <f t="array" aca="1" ref="AE245" ca="1">SUMPRODUCT(Q245:AB245,TRANSPOSE(Insights.!$H$4:$H$15))</f>
        <v>-2.0074270708971371E-3</v>
      </c>
      <c r="AG245" s="10" vm="3651">
        <f ca="1"/>
        <v>46002</v>
      </c>
      <c r="AH245" s="1" vm="3661">
        <f ca="1"/>
        <v>111.53</v>
      </c>
      <c r="AI245" s="2">
        <f t="shared" ca="1" si="72"/>
        <v>-1.0086972115125992E-2</v>
      </c>
      <c r="AJ245" s="1" vm="3662">
        <f ca="1"/>
        <v>110.97499999999999</v>
      </c>
      <c r="AK245" s="2">
        <f t="shared" ca="1" si="77"/>
        <v>-6.1725613876998375E-3</v>
      </c>
      <c r="AL245" s="1" vm="3663">
        <f ca="1"/>
        <v>58.31</v>
      </c>
      <c r="AM245" s="2">
        <f t="shared" ca="1" si="78"/>
        <v>-6.1738981306808105E-3</v>
      </c>
      <c r="AO245" s="9">
        <f t="shared" ca="1" si="79"/>
        <v>99.775414540370548</v>
      </c>
      <c r="AP245">
        <f t="shared" ca="1" si="80"/>
        <v>103.42173590504463</v>
      </c>
      <c r="AQ245">
        <f t="shared" ca="1" si="81"/>
        <v>105.38936372269724</v>
      </c>
      <c r="AR245">
        <f t="shared" ca="1" si="82"/>
        <v>118.89081455805903</v>
      </c>
      <c r="AT245" s="21">
        <f ca="1">MAX($AO$3:AO246)</f>
        <v>106.96839029133979</v>
      </c>
      <c r="AU245" s="2">
        <f t="shared" ca="1" si="83"/>
        <v>-6.7243937497595385E-2</v>
      </c>
    </row>
    <row r="246" spans="1:47" x14ac:dyDescent="0.25">
      <c r="A246" vm="3664">
        <f ca="1"/>
        <v>46003</v>
      </c>
      <c r="B246" vm="3665">
        <f ca="1"/>
        <v>149</v>
      </c>
      <c r="C246" vm="790">
        <f ca="1"/>
        <v>250.5</v>
      </c>
      <c r="D246" vm="3666">
        <f ca="1"/>
        <v>295.5</v>
      </c>
      <c r="E246" vm="3249">
        <f ca="1"/>
        <v>225.75</v>
      </c>
      <c r="F246" vm="2233">
        <f ca="1"/>
        <v>193.62</v>
      </c>
      <c r="G246" vm="3667">
        <f ca="1"/>
        <v>147.35</v>
      </c>
      <c r="H246" vm="3668">
        <f ca="1"/>
        <v>407.45</v>
      </c>
      <c r="I246" vm="3669">
        <f ca="1"/>
        <v>121.5</v>
      </c>
      <c r="J246" vm="3670">
        <f ca="1"/>
        <v>430.75</v>
      </c>
      <c r="K246" vm="3447">
        <f ca="1"/>
        <v>75</v>
      </c>
      <c r="L246" vm="3671">
        <f ca="1"/>
        <v>309.2</v>
      </c>
      <c r="M246" vm="3599">
        <f ca="1"/>
        <v>271.25</v>
      </c>
      <c r="N246" vm="3672">
        <f ca="1"/>
        <v>13.935</v>
      </c>
      <c r="O246" vm="3673">
        <f ca="1"/>
        <v>511.4</v>
      </c>
      <c r="Q246" s="4">
        <f t="shared" ca="1" si="63"/>
        <v>-3.9468963042698091E-3</v>
      </c>
      <c r="R246" s="4">
        <f t="shared" ca="1" si="64"/>
        <v>-4.3410852713178349E-2</v>
      </c>
      <c r="S246" s="4">
        <f t="shared" ca="1" si="65"/>
        <v>-2.2734984730234054E-2</v>
      </c>
      <c r="T246" s="4">
        <f t="shared" ca="1" si="73"/>
        <v>1.6131687242798343E-2</v>
      </c>
      <c r="U246" s="4">
        <f t="shared" ca="1" si="74"/>
        <v>-4.6430644225188278E-3</v>
      </c>
      <c r="V246" s="4">
        <f t="shared" ca="1" si="66"/>
        <v>8.1879194630871677E-3</v>
      </c>
      <c r="W246" s="4">
        <f t="shared" ca="1" si="67"/>
        <v>-2.2828220225183382E-2</v>
      </c>
      <c r="X246" s="4">
        <f t="shared" ca="1" si="68"/>
        <v>6.2672811059907296E-3</v>
      </c>
      <c r="Y246" s="4">
        <f t="shared" ca="1" si="69"/>
        <v>-1.5228426395939021E-3</v>
      </c>
      <c r="Z246" s="4">
        <f t="shared" ca="1" si="70"/>
        <v>-5.1423027166882185E-2</v>
      </c>
      <c r="AA246" s="4">
        <f t="shared" ca="1" si="71"/>
        <v>-7.2401521659098966E-3</v>
      </c>
      <c r="AB246" s="4">
        <f t="shared" ca="1" si="75"/>
        <v>-3.5979663668361361E-2</v>
      </c>
      <c r="AC246" s="4">
        <f t="shared" ca="1" si="76"/>
        <v>-2.1956087824351322E-2</v>
      </c>
      <c r="AD246" s="4"/>
      <c r="AE246" s="2" cm="1">
        <f t="array" aca="1" ref="AE246" ca="1">SUMPRODUCT(Q246:AB246,TRANSPOSE(Insights.!$H$4:$H$15))</f>
        <v>-1.4321503988157557E-2</v>
      </c>
      <c r="AG246" s="10" vm="3664">
        <f ca="1"/>
        <v>46003</v>
      </c>
      <c r="AH246" s="1" vm="3674">
        <f ca="1"/>
        <v>110.405</v>
      </c>
      <c r="AI246" s="2">
        <f t="shared" ca="1" si="72"/>
        <v>-3.3512974955844932E-3</v>
      </c>
      <c r="AJ246" s="1" vm="3675">
        <f ca="1"/>
        <v>110.29</v>
      </c>
      <c r="AK246" s="2">
        <f t="shared" ca="1" si="77"/>
        <v>1.8587360594795044E-3</v>
      </c>
      <c r="AL246" s="1" vm="3676">
        <f ca="1"/>
        <v>57.95</v>
      </c>
      <c r="AM246" s="2">
        <f t="shared" ca="1" si="78"/>
        <v>-2.0707506471097092E-3</v>
      </c>
      <c r="AO246" s="9">
        <f t="shared" ca="1" si="79"/>
        <v>99.575122672212217</v>
      </c>
      <c r="AP246">
        <f t="shared" ca="1" si="80"/>
        <v>102.37852373887252</v>
      </c>
      <c r="AQ246">
        <f t="shared" ca="1" si="81"/>
        <v>104.73884140550827</v>
      </c>
      <c r="AR246">
        <f t="shared" ca="1" si="82"/>
        <v>118.15679478030391</v>
      </c>
      <c r="AT246" s="21">
        <f ca="1">MAX($AO$3:AO247)</f>
        <v>106.96839029133979</v>
      </c>
      <c r="AU246" s="2">
        <f t="shared" ca="1" si="83"/>
        <v>-6.9116377268006235E-2</v>
      </c>
    </row>
    <row r="247" spans="1:47" x14ac:dyDescent="0.25">
      <c r="A247" vm="3677">
        <f ca="1"/>
        <v>46006</v>
      </c>
      <c r="B247" vm="3678">
        <f ca="1"/>
        <v>150.22</v>
      </c>
      <c r="C247" vm="2943">
        <f ca="1"/>
        <v>245</v>
      </c>
      <c r="D247" vm="2959">
        <f ca="1"/>
        <v>295.05</v>
      </c>
      <c r="E247" vm="3679">
        <f ca="1"/>
        <v>215.95</v>
      </c>
      <c r="F247" vm="3680">
        <f ca="1"/>
        <v>189.2</v>
      </c>
      <c r="G247" vm="1137">
        <f ca="1"/>
        <v>144</v>
      </c>
      <c r="H247" vm="3681">
        <f ca="1"/>
        <v>404.5</v>
      </c>
      <c r="I247" vm="3682">
        <f ca="1"/>
        <v>123.46</v>
      </c>
      <c r="J247" vm="240">
        <f ca="1"/>
        <v>428.75</v>
      </c>
      <c r="K247" vm="3683">
        <f ca="1"/>
        <v>71</v>
      </c>
      <c r="L247" vm="3684">
        <f ca="1"/>
        <v>293.3</v>
      </c>
      <c r="M247" vm="3685">
        <f ca="1"/>
        <v>272.95</v>
      </c>
      <c r="N247" vm="3686">
        <f ca="1"/>
        <v>13.88</v>
      </c>
      <c r="O247" vm="3687">
        <f ca="1"/>
        <v>493</v>
      </c>
      <c r="Q247" s="4">
        <f t="shared" ca="1" si="63"/>
        <v>1.8011527377521652E-3</v>
      </c>
      <c r="R247" s="4">
        <f t="shared" ca="1" si="64"/>
        <v>-6.4829821717988789E-3</v>
      </c>
      <c r="S247" s="4">
        <f t="shared" ca="1" si="65"/>
        <v>6.2500000000000888E-3</v>
      </c>
      <c r="T247" s="4">
        <f t="shared" ca="1" si="73"/>
        <v>4.2118904908472476E-3</v>
      </c>
      <c r="U247" s="4">
        <f t="shared" ca="1" si="74"/>
        <v>-3.4985422740524408E-3</v>
      </c>
      <c r="V247" s="4">
        <f t="shared" ca="1" si="66"/>
        <v>8.7871122353879727E-3</v>
      </c>
      <c r="W247" s="4">
        <f t="shared" ca="1" si="67"/>
        <v>3.6997885835095001E-3</v>
      </c>
      <c r="X247" s="4">
        <f t="shared" ca="1" si="68"/>
        <v>-1.7768822128594874E-2</v>
      </c>
      <c r="Y247" s="4">
        <f t="shared" ca="1" si="69"/>
        <v>-1.8640908320624039E-3</v>
      </c>
      <c r="Z247" s="4">
        <f t="shared" ca="1" si="70"/>
        <v>-1.6024548244118586E-2</v>
      </c>
      <c r="AA247" s="4">
        <f t="shared" ca="1" si="71"/>
        <v>3.3374536464771953E-3</v>
      </c>
      <c r="AB247" s="4">
        <f t="shared" ca="1" si="75"/>
        <v>-1.0953346855983703E-2</v>
      </c>
      <c r="AC247" s="4">
        <f t="shared" ca="1" si="76"/>
        <v>-1.6326530612244872E-2</v>
      </c>
      <c r="AD247" s="4"/>
      <c r="AE247" s="2" cm="1">
        <f t="array" aca="1" ref="AE247" ca="1">SUMPRODUCT(Q247:AB247,TRANSPOSE(Insights.!$H$4:$H$15))</f>
        <v>-3.6884943478799775E-3</v>
      </c>
      <c r="AG247" s="10" vm="3677">
        <f ca="1"/>
        <v>46006</v>
      </c>
      <c r="AH247" s="1" vm="3038">
        <f ca="1"/>
        <v>110.035</v>
      </c>
      <c r="AI247" s="2">
        <f t="shared" ca="1" si="72"/>
        <v>-4.5440087244967842E-3</v>
      </c>
      <c r="AJ247" s="1" vm="3688">
        <f ca="1"/>
        <v>110.495</v>
      </c>
      <c r="AK247" s="2">
        <f t="shared" ca="1" si="77"/>
        <v>-6.9233901986515134E-3</v>
      </c>
      <c r="AL247" s="1" vm="3689">
        <f ca="1"/>
        <v>57.83</v>
      </c>
      <c r="AM247" s="2">
        <f t="shared" ca="1" si="78"/>
        <v>-3.8042538474839516E-3</v>
      </c>
      <c r="AO247" s="9">
        <f t="shared" ca="1" si="79"/>
        <v>98.149057155740849</v>
      </c>
      <c r="AP247">
        <f t="shared" ca="1" si="80"/>
        <v>102.03542284866479</v>
      </c>
      <c r="AQ247">
        <f t="shared" ca="1" si="81"/>
        <v>104.9335232668568</v>
      </c>
      <c r="AR247">
        <f t="shared" ca="1" si="82"/>
        <v>117.91212152105219</v>
      </c>
      <c r="AT247" s="21">
        <f ca="1">MAX($AO$3:AO248)</f>
        <v>106.96839029133979</v>
      </c>
      <c r="AU247" s="2">
        <f t="shared" ca="1" si="83"/>
        <v>-8.2448030783472959E-2</v>
      </c>
    </row>
    <row r="248" spans="1:47" x14ac:dyDescent="0.25">
      <c r="A248" vm="3690">
        <f ca="1"/>
        <v>46007</v>
      </c>
      <c r="B248" vm="1039">
        <f ca="1"/>
        <v>151.54</v>
      </c>
      <c r="C248" vm="1151">
        <f ca="1"/>
        <v>241</v>
      </c>
      <c r="D248" vm="1292">
        <f ca="1"/>
        <v>294.5</v>
      </c>
      <c r="E248" vm="6">
        <f ca="1"/>
        <v>214.55</v>
      </c>
      <c r="F248" vm="3691">
        <f ca="1"/>
        <v>189.9</v>
      </c>
      <c r="G248" vm="3692">
        <f ca="1"/>
        <v>144.9</v>
      </c>
      <c r="H248" vm="3693">
        <f ca="1"/>
        <v>405.85</v>
      </c>
      <c r="I248" vm="3694">
        <f ca="1"/>
        <v>123.98</v>
      </c>
      <c r="J248" vm="3695">
        <f ca="1"/>
        <v>427.25</v>
      </c>
      <c r="K248" vm="3696">
        <f ca="1"/>
        <v>66.5</v>
      </c>
      <c r="L248" vm="3697">
        <f ca="1"/>
        <v>288.60000000000002</v>
      </c>
      <c r="M248" vm="3698">
        <f ca="1"/>
        <v>268.10000000000002</v>
      </c>
      <c r="N248" vm="3699">
        <f ca="1"/>
        <v>13.904999999999999</v>
      </c>
      <c r="O248" vm="3700">
        <f ca="1"/>
        <v>487.6</v>
      </c>
      <c r="Q248" s="4">
        <f t="shared" ca="1" si="63"/>
        <v>-9.349154980222818E-3</v>
      </c>
      <c r="R248" s="4">
        <f t="shared" ca="1" si="64"/>
        <v>2.8198555115357626E-2</v>
      </c>
      <c r="S248" s="4">
        <f t="shared" ca="1" si="65"/>
        <v>-6.8322981366459645E-2</v>
      </c>
      <c r="T248" s="4">
        <f t="shared" ca="1" si="73"/>
        <v>1.6131634134537887E-2</v>
      </c>
      <c r="U248" s="4">
        <f t="shared" ca="1" si="74"/>
        <v>1.6500877706260964E-2</v>
      </c>
      <c r="V248" s="4">
        <f t="shared" ca="1" si="66"/>
        <v>-3.7217896265012484E-2</v>
      </c>
      <c r="W248" s="4">
        <f t="shared" ca="1" si="67"/>
        <v>-3.7914691943128354E-3</v>
      </c>
      <c r="X248" s="4">
        <f t="shared" ca="1" si="68"/>
        <v>6.1544199925400722E-3</v>
      </c>
      <c r="Y248" s="4">
        <f t="shared" ca="1" si="69"/>
        <v>-1.8675721561969283E-3</v>
      </c>
      <c r="Z248" s="4">
        <f t="shared" ca="1" si="70"/>
        <v>-4.6604296604296769E-2</v>
      </c>
      <c r="AA248" s="4">
        <f t="shared" ca="1" si="71"/>
        <v>2.4639645189108439E-3</v>
      </c>
      <c r="AB248" s="4">
        <f t="shared" ca="1" si="75"/>
        <v>-7.0754716981132892E-3</v>
      </c>
      <c r="AC248" s="4">
        <f t="shared" ca="1" si="76"/>
        <v>-2.6970954356846488E-2</v>
      </c>
      <c r="AD248" s="4"/>
      <c r="AE248" s="2" cm="1">
        <f t="array" aca="1" ref="AE248" ca="1">SUMPRODUCT(Q248:AB248,TRANSPOSE(Insights.!$H$4:$H$15))</f>
        <v>-5.5615590660234139E-3</v>
      </c>
      <c r="AG248" s="10" vm="3690">
        <f ca="1"/>
        <v>46007</v>
      </c>
      <c r="AH248" s="1" vm="3481">
        <f ca="1"/>
        <v>109.535</v>
      </c>
      <c r="AI248" s="2">
        <f t="shared" ca="1" si="72"/>
        <v>-5.1581686219016598E-3</v>
      </c>
      <c r="AJ248" s="1" vm="3701">
        <f ca="1"/>
        <v>109.73</v>
      </c>
      <c r="AK248" s="2">
        <f t="shared" ca="1" si="77"/>
        <v>-4.05540873052046E-3</v>
      </c>
      <c r="AL248" s="1" vm="3702">
        <f ca="1"/>
        <v>57.61</v>
      </c>
      <c r="AM248" s="2">
        <f t="shared" ca="1" si="78"/>
        <v>-5.9017531678526858E-3</v>
      </c>
      <c r="AO248" s="9">
        <f t="shared" ca="1" si="79"/>
        <v>97.78703491317215</v>
      </c>
      <c r="AP248">
        <f t="shared" ca="1" si="80"/>
        <v>101.57177299703274</v>
      </c>
      <c r="AQ248">
        <f t="shared" ca="1" si="81"/>
        <v>104.20702754036107</v>
      </c>
      <c r="AR248">
        <f t="shared" ca="1" si="82"/>
        <v>117.46355387909072</v>
      </c>
      <c r="AT248" s="21">
        <f ca="1">MAX($AO$3:AO249)</f>
        <v>106.96839029133979</v>
      </c>
      <c r="AU248" s="2">
        <f t="shared" ca="1" si="83"/>
        <v>-8.5832416035814263E-2</v>
      </c>
    </row>
    <row r="249" spans="1:47" x14ac:dyDescent="0.25">
      <c r="A249" vm="3703">
        <f ca="1"/>
        <v>46008</v>
      </c>
      <c r="B249" vm="3704">
        <f ca="1"/>
        <v>145.9</v>
      </c>
      <c r="C249" vm="1470">
        <f ca="1"/>
        <v>234.5</v>
      </c>
      <c r="D249" vm="1898">
        <f ca="1"/>
        <v>293.95</v>
      </c>
      <c r="E249" vm="3705">
        <f ca="1"/>
        <v>220.6</v>
      </c>
      <c r="F249" vm="3706">
        <f ca="1"/>
        <v>189.18</v>
      </c>
      <c r="G249" vm="2">
        <f ca="1"/>
        <v>135</v>
      </c>
      <c r="H249" vm="3707">
        <f ca="1"/>
        <v>406.85</v>
      </c>
      <c r="I249" vm="3708">
        <f ca="1"/>
        <v>125.98</v>
      </c>
      <c r="J249" vm="1918">
        <f ca="1"/>
        <v>434.3</v>
      </c>
      <c r="K249" vm="3709">
        <f ca="1"/>
        <v>66</v>
      </c>
      <c r="L249" vm="3710">
        <f ca="1"/>
        <v>275.14999999999998</v>
      </c>
      <c r="M249" vm="3711">
        <f ca="1"/>
        <v>269.75</v>
      </c>
      <c r="N249" vm="3712">
        <f ca="1"/>
        <v>13.775</v>
      </c>
      <c r="O249" vm="3713">
        <f ca="1"/>
        <v>484.15</v>
      </c>
      <c r="Q249" s="4">
        <f t="shared" ca="1" si="63"/>
        <v>-9.4373865698730297E-3</v>
      </c>
      <c r="R249" s="4">
        <f t="shared" ca="1" si="64"/>
        <v>-6.1196736174070621E-3</v>
      </c>
      <c r="S249" s="4">
        <f t="shared" ca="1" si="65"/>
        <v>4.4074074074073932E-2</v>
      </c>
      <c r="T249" s="4">
        <f t="shared" ca="1" si="73"/>
        <v>-1.5081759009366591E-2</v>
      </c>
      <c r="U249" s="4">
        <f t="shared" ca="1" si="74"/>
        <v>1.1282523601197303E-2</v>
      </c>
      <c r="V249" s="4">
        <f t="shared" ca="1" si="66"/>
        <v>2.069910897875249E-2</v>
      </c>
      <c r="W249" s="4">
        <f t="shared" ca="1" si="67"/>
        <v>2.2518236600063357E-2</v>
      </c>
      <c r="X249" s="4">
        <f t="shared" ca="1" si="68"/>
        <v>-8.8971269694160249E-3</v>
      </c>
      <c r="Y249" s="4">
        <f t="shared" ca="1" si="69"/>
        <v>8.5048477632243547E-4</v>
      </c>
      <c r="Z249" s="4">
        <f t="shared" ca="1" si="70"/>
        <v>1.2720334363074626E-2</v>
      </c>
      <c r="AA249" s="4">
        <f t="shared" ca="1" si="71"/>
        <v>1.4870345336118751E-2</v>
      </c>
      <c r="AB249" s="4">
        <f t="shared" ca="1" si="75"/>
        <v>9.2946400908822113E-4</v>
      </c>
      <c r="AC249" s="4">
        <f t="shared" ca="1" si="76"/>
        <v>3.6247334754797356E-2</v>
      </c>
      <c r="AD249" s="4"/>
      <c r="AE249" s="2" cm="1">
        <f t="array" aca="1" ref="AE249" ca="1">SUMPRODUCT(Q249:AB249,TRANSPOSE(Insights.!$H$4:$H$15))</f>
        <v>5.665088365755527E-3</v>
      </c>
      <c r="AG249" s="10" vm="3703">
        <f ca="1"/>
        <v>46008</v>
      </c>
      <c r="AH249" s="1" vm="3714">
        <f ca="1"/>
        <v>108.97</v>
      </c>
      <c r="AI249" s="2">
        <f t="shared" ca="1" si="72"/>
        <v>8.9474167201981647E-3</v>
      </c>
      <c r="AJ249" s="1" vm="3715">
        <f ca="1"/>
        <v>109.285</v>
      </c>
      <c r="AK249" s="2">
        <f t="shared" ca="1" si="77"/>
        <v>1.0431440728370767E-2</v>
      </c>
      <c r="AL249" s="1" vm="3716">
        <f ca="1"/>
        <v>57.27</v>
      </c>
      <c r="AM249" s="2">
        <f t="shared" ca="1" si="78"/>
        <v>9.2544089401080942E-3</v>
      </c>
      <c r="AO249" s="9">
        <f t="shared" ca="1" si="79"/>
        <v>97.243186542611255</v>
      </c>
      <c r="AP249">
        <f t="shared" ca="1" si="80"/>
        <v>101.04784866468853</v>
      </c>
      <c r="AQ249">
        <f t="shared" ca="1" si="81"/>
        <v>103.7844254510923</v>
      </c>
      <c r="AR249">
        <f t="shared" ca="1" si="82"/>
        <v>116.77031297787757</v>
      </c>
      <c r="AT249" s="21">
        <f ca="1">MAX($AO$3:AO250)</f>
        <v>106.96839029133979</v>
      </c>
      <c r="AU249" s="2">
        <f t="shared" ca="1" si="83"/>
        <v>-9.0916613050274986E-2</v>
      </c>
    </row>
    <row r="250" spans="1:47" x14ac:dyDescent="0.25">
      <c r="A250" vm="3717">
        <f ca="1"/>
        <v>46009</v>
      </c>
      <c r="B250" vm="3718">
        <f ca="1"/>
        <v>148.91999999999999</v>
      </c>
      <c r="C250" vm="3719">
        <f ca="1"/>
        <v>243</v>
      </c>
      <c r="D250" vm="2344">
        <f ca="1"/>
        <v>294.2</v>
      </c>
      <c r="E250" vm="3720">
        <f ca="1"/>
        <v>219.25</v>
      </c>
      <c r="F250" vm="3721">
        <f ca="1"/>
        <v>193.44</v>
      </c>
      <c r="G250" vm="3722">
        <f ca="1"/>
        <v>140.94999999999999</v>
      </c>
      <c r="H250" vm="3594">
        <f ca="1"/>
        <v>412.9</v>
      </c>
      <c r="I250" vm="3723">
        <f ca="1"/>
        <v>124.08</v>
      </c>
      <c r="J250" vm="3724">
        <f ca="1"/>
        <v>439.2</v>
      </c>
      <c r="K250" vm="3725">
        <f ca="1"/>
        <v>68</v>
      </c>
      <c r="L250" vm="3726">
        <f ca="1"/>
        <v>278.64999999999998</v>
      </c>
      <c r="M250" vm="3727">
        <f ca="1"/>
        <v>267.35000000000002</v>
      </c>
      <c r="N250" vm="3728">
        <f ca="1"/>
        <v>13.645</v>
      </c>
      <c r="O250" vm="3729">
        <f ca="1"/>
        <v>484.6</v>
      </c>
      <c r="Q250" s="4">
        <f t="shared" ca="1" si="63"/>
        <v>1.0993037742762946E-2</v>
      </c>
      <c r="R250" s="4">
        <f t="shared" ca="1" si="64"/>
        <v>2.2805017103766367E-4</v>
      </c>
      <c r="S250" s="4">
        <f t="shared" ca="1" si="65"/>
        <v>2.1284143313231585E-3</v>
      </c>
      <c r="T250" s="4">
        <f t="shared" ca="1" si="73"/>
        <v>-8.2205029013538988E-3</v>
      </c>
      <c r="U250" s="4">
        <f t="shared" ca="1" si="74"/>
        <v>-2.0947176684881552E-2</v>
      </c>
      <c r="V250" s="4">
        <f t="shared" ca="1" si="66"/>
        <v>3.2500671501477285E-2</v>
      </c>
      <c r="W250" s="4">
        <f t="shared" ca="1" si="67"/>
        <v>5.3763440860215006E-3</v>
      </c>
      <c r="X250" s="4">
        <f t="shared" ca="1" si="68"/>
        <v>9.9121002431268312E-3</v>
      </c>
      <c r="Y250" s="4">
        <f t="shared" ca="1" si="69"/>
        <v>1.291638341264445E-2</v>
      </c>
      <c r="Z250" s="4">
        <f t="shared" ca="1" si="70"/>
        <v>2.5659429391710065E-2</v>
      </c>
      <c r="AA250" s="4">
        <f t="shared" ca="1" si="71"/>
        <v>5.0859772341971254E-3</v>
      </c>
      <c r="AB250" s="4">
        <f t="shared" ca="1" si="75"/>
        <v>2.4556335121749928E-2</v>
      </c>
      <c r="AC250" s="4">
        <f t="shared" ca="1" si="76"/>
        <v>1.8518518518518601E-2</v>
      </c>
      <c r="AD250" s="4"/>
      <c r="AE250" s="2" cm="1">
        <f t="array" aca="1" ref="AE250" ca="1">SUMPRODUCT(Q250:AB250,TRANSPOSE(Insights.!$H$4:$H$15))</f>
        <v>6.9013740788181734E-3</v>
      </c>
      <c r="AG250" s="10" vm="3717">
        <f ca="1"/>
        <v>46009</v>
      </c>
      <c r="AH250" s="1" vm="3155">
        <f ca="1"/>
        <v>109.94499999999999</v>
      </c>
      <c r="AI250" s="2">
        <f t="shared" ca="1" si="72"/>
        <v>4.1384328527902525E-3</v>
      </c>
      <c r="AJ250" s="1" vm="3730">
        <f ca="1"/>
        <v>110.425</v>
      </c>
      <c r="AK250" s="2">
        <f t="shared" ca="1" si="77"/>
        <v>4.7543581616482644E-3</v>
      </c>
      <c r="AL250" s="1" vm="3731">
        <f ca="1"/>
        <v>57.8</v>
      </c>
      <c r="AM250" s="2">
        <f t="shared" ca="1" si="78"/>
        <v>5.3633217993080962E-3</v>
      </c>
      <c r="AO250" s="9">
        <f t="shared" ca="1" si="79"/>
        <v>97.7940777873428</v>
      </c>
      <c r="AP250">
        <f t="shared" ca="1" si="80"/>
        <v>101.95196587537102</v>
      </c>
      <c r="AQ250">
        <f t="shared" ca="1" si="81"/>
        <v>104.86704653371339</v>
      </c>
      <c r="AR250">
        <f t="shared" ca="1" si="82"/>
        <v>117.85095320623925</v>
      </c>
      <c r="AT250" s="21">
        <f ca="1">MAX($AO$3:AO251)</f>
        <v>106.96839029133979</v>
      </c>
      <c r="AU250" s="2">
        <f t="shared" ca="1" si="83"/>
        <v>-8.5766575331364447E-2</v>
      </c>
    </row>
    <row r="251" spans="1:47" x14ac:dyDescent="0.25">
      <c r="A251" vm="3732">
        <f ca="1"/>
        <v>46010</v>
      </c>
      <c r="B251" vm="3733">
        <f ca="1"/>
        <v>153.76</v>
      </c>
      <c r="C251" vm="2224">
        <f ca="1"/>
        <v>247.5</v>
      </c>
      <c r="D251" vm="3734">
        <f ca="1"/>
        <v>298</v>
      </c>
      <c r="E251" vm="3735">
        <f ca="1"/>
        <v>219.3</v>
      </c>
      <c r="F251" vm="3736">
        <f ca="1"/>
        <v>194.48</v>
      </c>
      <c r="G251" vm="3737">
        <f ca="1"/>
        <v>141.25</v>
      </c>
      <c r="H251" vm="3019">
        <f ca="1"/>
        <v>415</v>
      </c>
      <c r="I251" vm="3738">
        <f ca="1"/>
        <v>123.06</v>
      </c>
      <c r="J251" vm="3739">
        <f ca="1"/>
        <v>430</v>
      </c>
      <c r="K251" vm="2762">
        <f ca="1"/>
        <v>75.5</v>
      </c>
      <c r="L251" vm="3740">
        <f ca="1"/>
        <v>285.8</v>
      </c>
      <c r="M251" vm="3530">
        <f ca="1"/>
        <v>270</v>
      </c>
      <c r="N251" vm="3741">
        <f ca="1"/>
        <v>13.795</v>
      </c>
      <c r="O251" vm="3742">
        <f ca="1"/>
        <v>496.5</v>
      </c>
      <c r="Q251" s="4">
        <f t="shared" ca="1" si="63"/>
        <v>-1.1960855382384894E-2</v>
      </c>
      <c r="R251" s="4">
        <f t="shared" ca="1" si="64"/>
        <v>2.0291837665298518E-2</v>
      </c>
      <c r="S251" s="4">
        <f t="shared" ca="1" si="65"/>
        <v>-2.7610619469026543E-2</v>
      </c>
      <c r="T251" s="4">
        <f t="shared" ca="1" si="73"/>
        <v>-1.3001787745815063E-2</v>
      </c>
      <c r="U251" s="4">
        <f t="shared" ca="1" si="74"/>
        <v>1.7558139534883832E-2</v>
      </c>
      <c r="V251" s="4">
        <f t="shared" ca="1" si="66"/>
        <v>1.4177939646201843E-2</v>
      </c>
      <c r="W251" s="4">
        <f t="shared" ca="1" si="67"/>
        <v>2.3652817770465351E-3</v>
      </c>
      <c r="X251" s="4">
        <f t="shared" ca="1" si="68"/>
        <v>9.8148148148147207E-3</v>
      </c>
      <c r="Y251" s="4">
        <f t="shared" ca="1" si="69"/>
        <v>6.5436241610736801E-3</v>
      </c>
      <c r="Z251" s="4">
        <f t="shared" ca="1" si="70"/>
        <v>1.2071378586423931E-2</v>
      </c>
      <c r="AA251" s="4">
        <f t="shared" ca="1" si="71"/>
        <v>-5.9036144578312744E-3</v>
      </c>
      <c r="AB251" s="4">
        <f t="shared" ca="1" si="75"/>
        <v>-4.8338368580059798E-3</v>
      </c>
      <c r="AC251" s="4">
        <f t="shared" ca="1" si="76"/>
        <v>6.0606060606060996E-3</v>
      </c>
      <c r="AD251" s="4"/>
      <c r="AE251" s="2" cm="1">
        <f t="array" aca="1" ref="AE251" ca="1">SUMPRODUCT(Q251:AB251,TRANSPOSE(Insights.!$H$4:$H$15))</f>
        <v>3.3438863921753628E-3</v>
      </c>
      <c r="AG251" s="10" vm="3732">
        <f ca="1"/>
        <v>46010</v>
      </c>
      <c r="AH251" s="1" vm="498">
        <f ca="1"/>
        <v>110.4</v>
      </c>
      <c r="AI251" s="2">
        <f t="shared" ca="1" si="72"/>
        <v>3.6684782608695787E-3</v>
      </c>
      <c r="AJ251" s="1" vm="3743">
        <f ca="1"/>
        <v>110.95</v>
      </c>
      <c r="AK251" s="2">
        <f t="shared" ca="1" si="77"/>
        <v>1.9378098242452957E-3</v>
      </c>
      <c r="AL251" s="1" vm="3744">
        <f ca="1"/>
        <v>58.11</v>
      </c>
      <c r="AM251" s="2">
        <f t="shared" ca="1" si="78"/>
        <v>-4.818447771467893E-3</v>
      </c>
      <c r="AO251" s="9">
        <f t="shared" ca="1" si="79"/>
        <v>98.468991300846298</v>
      </c>
      <c r="AP251">
        <f t="shared" ca="1" si="80"/>
        <v>102.3738872403562</v>
      </c>
      <c r="AQ251">
        <f t="shared" ca="1" si="81"/>
        <v>105.3656220322889</v>
      </c>
      <c r="AR251">
        <f t="shared" ca="1" si="82"/>
        <v>118.48302579263951</v>
      </c>
      <c r="AT251" s="21">
        <f ca="1">MAX($AO$3:AO252)</f>
        <v>106.96839029133979</v>
      </c>
      <c r="AU251" s="2">
        <f t="shared" ca="1" si="83"/>
        <v>-7.9457108472367088E-2</v>
      </c>
    </row>
    <row r="252" spans="1:47" x14ac:dyDescent="0.25">
      <c r="A252" vm="3745">
        <f ca="1"/>
        <v>46013</v>
      </c>
      <c r="B252" vm="3746">
        <f ca="1"/>
        <v>155.94</v>
      </c>
      <c r="C252" vm="3747">
        <f ca="1"/>
        <v>249</v>
      </c>
      <c r="D252" vm="3748">
        <f ca="1"/>
        <v>299.95</v>
      </c>
      <c r="E252" vm="271">
        <f ca="1"/>
        <v>223.75</v>
      </c>
      <c r="F252" vm="3749">
        <f ca="1"/>
        <v>194.94</v>
      </c>
      <c r="G252" vm="3750">
        <f ca="1"/>
        <v>137.35</v>
      </c>
      <c r="H252" vm="3751">
        <f ca="1"/>
        <v>412.55</v>
      </c>
      <c r="I252" vm="3752">
        <f ca="1"/>
        <v>121.46</v>
      </c>
      <c r="J252" vm="3753">
        <f ca="1"/>
        <v>437.55</v>
      </c>
      <c r="K252" vm="3164">
        <f ca="1"/>
        <v>81</v>
      </c>
      <c r="L252" vm="2419">
        <f ca="1"/>
        <v>289.25</v>
      </c>
      <c r="M252" vm="3754">
        <f ca="1"/>
        <v>272.64999999999998</v>
      </c>
      <c r="N252" vm="3755">
        <f ca="1"/>
        <v>13.63</v>
      </c>
      <c r="O252" vm="3756">
        <f ca="1"/>
        <v>494.1</v>
      </c>
      <c r="Q252" s="4">
        <f t="shared" ca="1" si="63"/>
        <v>6.2362435803373639E-3</v>
      </c>
      <c r="R252" s="4">
        <f t="shared" ca="1" si="64"/>
        <v>1.5642458100557644E-3</v>
      </c>
      <c r="S252" s="4">
        <f t="shared" ca="1" si="65"/>
        <v>-2.9122679286495146E-3</v>
      </c>
      <c r="T252" s="4">
        <f t="shared" ca="1" si="73"/>
        <v>1.152642845381191E-3</v>
      </c>
      <c r="U252" s="4">
        <f t="shared" ca="1" si="74"/>
        <v>3.6567249457204465E-3</v>
      </c>
      <c r="V252" s="4">
        <f t="shared" ca="1" si="66"/>
        <v>2.7959471591637808E-2</v>
      </c>
      <c r="W252" s="4">
        <f t="shared" ca="1" si="67"/>
        <v>9.131014671180937E-3</v>
      </c>
      <c r="X252" s="4">
        <f t="shared" ca="1" si="68"/>
        <v>6.6018705299835112E-3</v>
      </c>
      <c r="Y252" s="4">
        <f t="shared" ca="1" si="69"/>
        <v>2.0003333888982677E-3</v>
      </c>
      <c r="Z252" s="4">
        <f t="shared" ca="1" si="70"/>
        <v>1.4866032843561028E-2</v>
      </c>
      <c r="AA252" s="4">
        <f t="shared" ca="1" si="71"/>
        <v>1.9391588898316492E-3</v>
      </c>
      <c r="AB252" s="4">
        <f t="shared" ca="1" si="75"/>
        <v>-2.9346286176887837E-3</v>
      </c>
      <c r="AC252" s="4">
        <f t="shared" ca="1" si="76"/>
        <v>1.4056224899598346E-2</v>
      </c>
      <c r="AD252" s="4"/>
      <c r="AE252" s="2" cm="1">
        <f t="array" aca="1" ref="AE252" ca="1">SUMPRODUCT(Q252:AB252,TRANSPOSE(Insights.!$H$4:$H$15))</f>
        <v>4.7830725788618276E-3</v>
      </c>
      <c r="AG252" s="10" vm="3745">
        <f ca="1"/>
        <v>46013</v>
      </c>
      <c r="AH252" s="1" vm="3757">
        <f ca="1"/>
        <v>110.80500000000001</v>
      </c>
      <c r="AI252" s="2">
        <f t="shared" ca="1" si="72"/>
        <v>2.3915888272187935E-3</v>
      </c>
      <c r="AJ252" s="1" vm="3758">
        <f ca="1"/>
        <v>111.16500000000001</v>
      </c>
      <c r="AK252" s="2">
        <f t="shared" ca="1" si="77"/>
        <v>2.1139747222596039E-3</v>
      </c>
      <c r="AL252" s="1" vm="3689">
        <f ca="1"/>
        <v>57.83</v>
      </c>
      <c r="AM252" s="2">
        <f t="shared" ca="1" si="78"/>
        <v>1.7292062943108366E-3</v>
      </c>
      <c r="AO252" s="9">
        <f t="shared" ca="1" si="79"/>
        <v>98.79826042090842</v>
      </c>
      <c r="AP252">
        <f t="shared" ca="1" si="80"/>
        <v>102.74944362017816</v>
      </c>
      <c r="AQ252">
        <f t="shared" ca="1" si="81"/>
        <v>105.56980056980078</v>
      </c>
      <c r="AR252">
        <f t="shared" ca="1" si="82"/>
        <v>117.91212152105219</v>
      </c>
      <c r="AT252" s="21">
        <f ca="1">MAX($AO$3:AO253)</f>
        <v>106.96839029133979</v>
      </c>
      <c r="AU252" s="2">
        <f t="shared" ca="1" si="83"/>
        <v>-7.6378917623974196E-2</v>
      </c>
    </row>
    <row r="253" spans="1:47" x14ac:dyDescent="0.25">
      <c r="A253" vm="3759">
        <f ca="1"/>
        <v>46014</v>
      </c>
      <c r="B253" vm="3760">
        <f ca="1"/>
        <v>160.30000000000001</v>
      </c>
      <c r="C253" vm="293">
        <f ca="1"/>
        <v>252.5</v>
      </c>
      <c r="D253" vm="2143">
        <f ca="1"/>
        <v>300.55</v>
      </c>
      <c r="E253" vm="3761">
        <f ca="1"/>
        <v>224.1</v>
      </c>
      <c r="F253" vm="3762">
        <f ca="1"/>
        <v>196.72</v>
      </c>
      <c r="G253" vm="3763">
        <f ca="1"/>
        <v>136.94999999999999</v>
      </c>
      <c r="H253" vm="3764">
        <f ca="1"/>
        <v>413.35</v>
      </c>
      <c r="I253" vm="3765">
        <f ca="1"/>
        <v>121.6</v>
      </c>
      <c r="J253" vm="3766">
        <f ca="1"/>
        <v>439.15</v>
      </c>
      <c r="K253" vm="2762">
        <f ca="1"/>
        <v>75.5</v>
      </c>
      <c r="L253" vm="3767">
        <f ca="1"/>
        <v>293.55</v>
      </c>
      <c r="M253" vm="3768">
        <f ca="1"/>
        <v>274.45</v>
      </c>
      <c r="N253" vm="3769">
        <f ca="1"/>
        <v>13.715</v>
      </c>
      <c r="O253" vm="3770">
        <f ca="1"/>
        <v>492.65</v>
      </c>
      <c r="Q253" s="4">
        <f t="shared" ca="1" si="63"/>
        <v>2.5519504192490494E-3</v>
      </c>
      <c r="R253" s="4">
        <f t="shared" ca="1" si="64"/>
        <v>1.1601963409192395E-2</v>
      </c>
      <c r="S253" s="4">
        <f t="shared" ca="1" si="65"/>
        <v>8.7623220153341119E-3</v>
      </c>
      <c r="T253" s="4">
        <f t="shared" ca="1" si="73"/>
        <v>1.1019736842105221E-2</v>
      </c>
      <c r="U253" s="4">
        <f t="shared" ca="1" si="74"/>
        <v>3.1082773539792941E-2</v>
      </c>
      <c r="V253" s="4">
        <f t="shared" ca="1" si="66"/>
        <v>-2.4953212726138707E-3</v>
      </c>
      <c r="W253" s="4">
        <f t="shared" ca="1" si="67"/>
        <v>1.0166734444894132E-4</v>
      </c>
      <c r="X253" s="4">
        <f t="shared" ca="1" si="68"/>
        <v>6.5585716888323375E-3</v>
      </c>
      <c r="Y253" s="4">
        <f t="shared" ca="1" si="69"/>
        <v>2.4954250540676348E-3</v>
      </c>
      <c r="Z253" s="4">
        <f t="shared" ca="1" si="70"/>
        <v>1.4818599897802542E-2</v>
      </c>
      <c r="AA253" s="4">
        <f t="shared" ca="1" si="71"/>
        <v>1.8144429660094108E-3</v>
      </c>
      <c r="AB253" s="4">
        <f t="shared" ca="1" si="75"/>
        <v>2.5372982847864378E-3</v>
      </c>
      <c r="AC253" s="4">
        <f t="shared" ca="1" si="76"/>
        <v>9.9009900990099098E-3</v>
      </c>
      <c r="AD253" s="4"/>
      <c r="AE253" s="2" cm="1">
        <f t="array" aca="1" ref="AE253" ca="1">SUMPRODUCT(Q253:AB253,TRANSPOSE(Insights.!$H$4:$H$15))</f>
        <v>7.898736582321559E-3</v>
      </c>
      <c r="AG253" s="10" vm="3759">
        <f ca="1"/>
        <v>46014</v>
      </c>
      <c r="AH253" s="1" vm="3505">
        <f ca="1"/>
        <v>111.07</v>
      </c>
      <c r="AI253" s="2">
        <f t="shared" ca="1" si="72"/>
        <v>1.1704330602324564E-3</v>
      </c>
      <c r="AJ253" s="1" vm="3534">
        <f ca="1"/>
        <v>111.4</v>
      </c>
      <c r="AK253" s="2">
        <f t="shared" ca="1" si="77"/>
        <v>8.9766606822250239E-4</v>
      </c>
      <c r="AL253" s="1" vm="3771">
        <f ca="1"/>
        <v>57.93</v>
      </c>
      <c r="AM253" s="2">
        <f t="shared" ca="1" si="78"/>
        <v>1.5535991714137332E-3</v>
      </c>
      <c r="AO253" s="9">
        <f t="shared" ca="1" si="79"/>
        <v>99.270819671166919</v>
      </c>
      <c r="AP253">
        <f t="shared" ca="1" si="80"/>
        <v>102.99517804154313</v>
      </c>
      <c r="AQ253">
        <f t="shared" ca="1" si="81"/>
        <v>105.79297245963932</v>
      </c>
      <c r="AR253">
        <f t="shared" ca="1" si="82"/>
        <v>118.11601590376193</v>
      </c>
      <c r="AT253" s="21">
        <f ca="1">MAX($AO$3:AO254)</f>
        <v>106.96839029133979</v>
      </c>
      <c r="AU253" s="2">
        <f t="shared" ca="1" si="83"/>
        <v>-7.1961170951602815E-2</v>
      </c>
    </row>
    <row r="254" spans="1:47" x14ac:dyDescent="0.25">
      <c r="A254" vm="3772">
        <f ca="1"/>
        <v>46020</v>
      </c>
      <c r="B254" vm="3773">
        <f ca="1"/>
        <v>159.9</v>
      </c>
      <c r="C254" vm="3117">
        <f ca="1"/>
        <v>255</v>
      </c>
      <c r="D254" vm="2218">
        <f ca="1"/>
        <v>301.3</v>
      </c>
      <c r="E254" vm="3774">
        <f ca="1"/>
        <v>226.7</v>
      </c>
      <c r="F254" vm="1125">
        <f ca="1"/>
        <v>196.74</v>
      </c>
      <c r="G254" vm="3775">
        <f ca="1"/>
        <v>138.15</v>
      </c>
      <c r="H254" vm="1826">
        <f ca="1"/>
        <v>414.1</v>
      </c>
      <c r="I254" vm="3776">
        <f ca="1"/>
        <v>122.94</v>
      </c>
      <c r="J254" vm="3777">
        <f ca="1"/>
        <v>452.8</v>
      </c>
      <c r="K254" vm="3390">
        <f ca="1"/>
        <v>72</v>
      </c>
      <c r="L254" vm="2989">
        <f ca="1"/>
        <v>297.89999999999998</v>
      </c>
      <c r="M254" vm="3778">
        <f ca="1"/>
        <v>276.25</v>
      </c>
      <c r="N254" vm="3779">
        <f ca="1"/>
        <v>13.75</v>
      </c>
      <c r="O254" vm="3780">
        <f ca="1"/>
        <v>493.9</v>
      </c>
      <c r="Q254" s="4">
        <f t="shared" ca="1" si="63"/>
        <v>1.0545454545454414E-2</v>
      </c>
      <c r="R254" s="4">
        <f t="shared" ca="1" si="64"/>
        <v>2.2055580061763891E-4</v>
      </c>
      <c r="S254" s="4">
        <f t="shared" ca="1" si="65"/>
        <v>-2.5334781035106779E-3</v>
      </c>
      <c r="T254" s="4">
        <f t="shared" ca="1" si="73"/>
        <v>0</v>
      </c>
      <c r="U254" s="4">
        <f t="shared" ca="1" si="74"/>
        <v>-1.3361307420494684E-2</v>
      </c>
      <c r="V254" s="4">
        <f t="shared" ca="1" si="66"/>
        <v>2.876797998749181E-3</v>
      </c>
      <c r="W254" s="4">
        <f t="shared" ca="1" si="67"/>
        <v>5.0828504625388682E-4</v>
      </c>
      <c r="X254" s="4">
        <f t="shared" ca="1" si="68"/>
        <v>-2.5339366515836348E-3</v>
      </c>
      <c r="Y254" s="4">
        <f t="shared" ca="1" si="69"/>
        <v>-1.6594756057086713E-4</v>
      </c>
      <c r="Z254" s="4">
        <f t="shared" ca="1" si="70"/>
        <v>-3.3568311513920701E-4</v>
      </c>
      <c r="AA254" s="4">
        <f t="shared" ca="1" si="71"/>
        <v>-2.1733880705144815E-3</v>
      </c>
      <c r="AB254" s="4">
        <f t="shared" ca="1" si="75"/>
        <v>2.632111763514855E-3</v>
      </c>
      <c r="AC254" s="4">
        <f t="shared" ca="1" si="76"/>
        <v>1.9607843137254832E-3</v>
      </c>
      <c r="AD254" s="4"/>
      <c r="AE254" s="2" cm="1">
        <f t="array" aca="1" ref="AE254" ca="1">SUMPRODUCT(Q254:AB254,TRANSPOSE(Insights.!$H$4:$H$15))</f>
        <v>-8.1167851850529049E-4</v>
      </c>
      <c r="AG254" s="10" vm="3772">
        <f ca="1"/>
        <v>46020</v>
      </c>
      <c r="AH254" s="1" vm="3781">
        <f ca="1"/>
        <v>111.2</v>
      </c>
      <c r="AI254" s="2">
        <f t="shared" ref="AI254:AI311" ca="1" si="84">AH255/AH254-1</f>
        <v>1.7985611510784594E-4</v>
      </c>
      <c r="AJ254" s="1" vm="3782">
        <f ca="1"/>
        <v>111.5</v>
      </c>
      <c r="AK254" s="2">
        <f t="shared" ca="1" si="77"/>
        <v>5.8295964125565369E-4</v>
      </c>
      <c r="AL254" s="1" vm="3783">
        <f ca="1"/>
        <v>58.02</v>
      </c>
      <c r="AM254" s="2">
        <f t="shared" ca="1" si="78"/>
        <v>6.5494657014821822E-3</v>
      </c>
      <c r="AO254" s="9">
        <f t="shared" ca="1" si="79"/>
        <v>100.05493372606061</v>
      </c>
      <c r="AP254">
        <f t="shared" ca="1" si="80"/>
        <v>103.11572700296747</v>
      </c>
      <c r="AQ254">
        <f t="shared" ca="1" si="81"/>
        <v>105.88793922127273</v>
      </c>
      <c r="AR254">
        <f t="shared" ca="1" si="82"/>
        <v>118.29952084820071</v>
      </c>
      <c r="AT254" s="21">
        <f ca="1">MAX($AO$3:AO255)</f>
        <v>106.96839029133979</v>
      </c>
      <c r="AU254" s="2">
        <f t="shared" ca="1" si="83"/>
        <v>-6.4630836702783356E-2</v>
      </c>
    </row>
    <row r="255" spans="1:47" x14ac:dyDescent="0.25">
      <c r="A255" vm="3784">
        <f ca="1"/>
        <v>46021</v>
      </c>
      <c r="B255" vm="3785">
        <f ca="1"/>
        <v>160.36000000000001</v>
      </c>
      <c r="C255" vm="3206">
        <f ca="1"/>
        <v>255.5</v>
      </c>
      <c r="D255" vm="3004">
        <f ca="1"/>
        <v>301.25</v>
      </c>
      <c r="E255" vm="46">
        <f ca="1"/>
        <v>226.75</v>
      </c>
      <c r="F255" vm="3786">
        <f ca="1"/>
        <v>196.84</v>
      </c>
      <c r="G255" vm="3787">
        <f ca="1"/>
        <v>137.80000000000001</v>
      </c>
      <c r="H255" vm="3788">
        <f ca="1"/>
        <v>413.2</v>
      </c>
      <c r="I255" vm="3776">
        <f ca="1"/>
        <v>122.94</v>
      </c>
      <c r="J255" vm="1812">
        <f ca="1"/>
        <v>446.75</v>
      </c>
      <c r="K255" vm="3447">
        <f ca="1"/>
        <v>75</v>
      </c>
      <c r="L255" vm="2566">
        <f ca="1"/>
        <v>297.8</v>
      </c>
      <c r="M255" vm="3789">
        <f ca="1"/>
        <v>275.55</v>
      </c>
      <c r="N255" vm="3790">
        <f ca="1"/>
        <v>13.895</v>
      </c>
      <c r="O255" vm="3791">
        <f ca="1"/>
        <v>495.2</v>
      </c>
      <c r="Q255" s="4">
        <f t="shared" ca="1" si="63"/>
        <v>3.5984166966536169E-3</v>
      </c>
      <c r="R255" s="4">
        <f t="shared" ca="1" si="64"/>
        <v>-3.175303197353907E-2</v>
      </c>
      <c r="S255" s="4">
        <f t="shared" ca="1" si="65"/>
        <v>2.0319303338171224E-2</v>
      </c>
      <c r="T255" s="4">
        <f t="shared" ca="1" si="73"/>
        <v>-1.4478607450788994E-2</v>
      </c>
      <c r="U255" s="4">
        <f t="shared" ca="1" si="74"/>
        <v>-4.9244543928371742E-3</v>
      </c>
      <c r="V255" s="4">
        <f t="shared" ca="1" si="66"/>
        <v>5.1134946370665624E-3</v>
      </c>
      <c r="W255" s="4">
        <f t="shared" ca="1" si="67"/>
        <v>-1.7476122739280675E-2</v>
      </c>
      <c r="X255" s="4">
        <f t="shared" ca="1" si="68"/>
        <v>-1.451642170205214E-3</v>
      </c>
      <c r="Y255" s="4">
        <f t="shared" ca="1" si="69"/>
        <v>-1.609958506224074E-2</v>
      </c>
      <c r="Z255" s="4">
        <f t="shared" ca="1" si="70"/>
        <v>2.8542646071187949E-3</v>
      </c>
      <c r="AA255" s="4">
        <f t="shared" ca="1" si="71"/>
        <v>-2.5532429816069735E-2</v>
      </c>
      <c r="AB255" s="4">
        <f t="shared" ca="1" si="75"/>
        <v>-8.7843295638125873E-3</v>
      </c>
      <c r="AC255" s="4">
        <f t="shared" ca="1" si="76"/>
        <v>7.0450097847358117E-2</v>
      </c>
      <c r="AD255" s="4"/>
      <c r="AE255" s="2" cm="1">
        <f t="array" aca="1" ref="AE255" ca="1">SUMPRODUCT(Q255:AB255,TRANSPOSE(Insights.!$H$4:$H$15))</f>
        <v>-7.4901441250751636E-3</v>
      </c>
      <c r="AG255" s="10" vm="3784">
        <f ca="1"/>
        <v>46021</v>
      </c>
      <c r="AH255" s="1" vm="3792">
        <f ca="1"/>
        <v>111.22</v>
      </c>
      <c r="AI255" s="2">
        <f t="shared" ca="1" si="84"/>
        <v>-2.922136306419687E-3</v>
      </c>
      <c r="AJ255" s="1" vm="3793">
        <f ca="1"/>
        <v>111.565</v>
      </c>
      <c r="AK255" s="2">
        <f t="shared" ca="1" si="77"/>
        <v>2.1063953748936548E-3</v>
      </c>
      <c r="AL255" s="1" vm="3794">
        <f ca="1"/>
        <v>58.4</v>
      </c>
      <c r="AM255" s="2">
        <f t="shared" ca="1" si="78"/>
        <v>5.3082191780822185E-3</v>
      </c>
      <c r="AO255" s="9">
        <f t="shared" ca="1" si="79"/>
        <v>99.973721285684704</v>
      </c>
      <c r="AP255">
        <f t="shared" ca="1" si="80"/>
        <v>103.13427299703275</v>
      </c>
      <c r="AQ255">
        <f t="shared" ca="1" si="81"/>
        <v>105.94966761633447</v>
      </c>
      <c r="AR255">
        <f t="shared" ca="1" si="82"/>
        <v>119.07431950249779</v>
      </c>
      <c r="AT255" s="21">
        <f ca="1">MAX($AO$3:AO256)</f>
        <v>106.96839029133979</v>
      </c>
      <c r="AU255" s="2">
        <f t="shared" ca="1" si="83"/>
        <v>-6.5390055759503851E-2</v>
      </c>
    </row>
    <row r="256" spans="1:47" x14ac:dyDescent="0.25">
      <c r="A256" vm="3795">
        <f ca="1"/>
        <v>46024</v>
      </c>
      <c r="B256" vm="3796">
        <f ca="1"/>
        <v>161.18</v>
      </c>
      <c r="C256" vm="3797">
        <f ca="1"/>
        <v>273.5</v>
      </c>
      <c r="D256" vm="2475">
        <f ca="1"/>
        <v>296.39999999999998</v>
      </c>
      <c r="E256" vm="3798">
        <f ca="1"/>
        <v>219.55</v>
      </c>
      <c r="F256" vm="3428">
        <f ca="1"/>
        <v>193.4</v>
      </c>
      <c r="G256" vm="3799">
        <f ca="1"/>
        <v>140.6</v>
      </c>
      <c r="H256" vm="3800">
        <f ca="1"/>
        <v>402.65</v>
      </c>
      <c r="I256" vm="3801">
        <f ca="1"/>
        <v>121.16</v>
      </c>
      <c r="J256" vm="3802">
        <f ca="1"/>
        <v>444.55</v>
      </c>
      <c r="K256" vm="3803">
        <f ca="1"/>
        <v>78.5</v>
      </c>
      <c r="L256" vm="3804">
        <f ca="1"/>
        <v>298.64999999999998</v>
      </c>
      <c r="M256" vm="3710">
        <f ca="1"/>
        <v>275.14999999999998</v>
      </c>
      <c r="N256" vm="3805">
        <f ca="1"/>
        <v>13.945</v>
      </c>
      <c r="O256" vm="3806">
        <f ca="1"/>
        <v>490.85</v>
      </c>
      <c r="Q256" s="4">
        <f t="shared" ca="1" si="63"/>
        <v>-1.1473646468268206E-2</v>
      </c>
      <c r="R256" s="4">
        <f t="shared" ca="1" si="64"/>
        <v>5.2379867911636069E-3</v>
      </c>
      <c r="S256" s="4">
        <f t="shared" ca="1" si="65"/>
        <v>-1.6358463726884653E-2</v>
      </c>
      <c r="T256" s="4">
        <f t="shared" ca="1" si="73"/>
        <v>-1.1885110597556925E-2</v>
      </c>
      <c r="U256" s="4">
        <f t="shared" ca="1" si="74"/>
        <v>3.9028230795186136E-2</v>
      </c>
      <c r="V256" s="4">
        <f t="shared" ca="1" si="66"/>
        <v>-6.8246680729618925E-3</v>
      </c>
      <c r="W256" s="4">
        <f t="shared" ca="1" si="67"/>
        <v>2.7300930713547E-2</v>
      </c>
      <c r="X256" s="4">
        <f t="shared" ca="1" si="68"/>
        <v>4.4702889333091189E-2</v>
      </c>
      <c r="Y256" s="4">
        <f t="shared" ca="1" si="69"/>
        <v>1.9905533063427905E-2</v>
      </c>
      <c r="Z256" s="4">
        <f t="shared" ca="1" si="70"/>
        <v>-2.0257826887660979E-2</v>
      </c>
      <c r="AA256" s="4">
        <f t="shared" ca="1" si="71"/>
        <v>2.9802558052900441E-3</v>
      </c>
      <c r="AB256" s="4">
        <f t="shared" ca="1" si="75"/>
        <v>4.6348171539166705E-2</v>
      </c>
      <c r="AC256" s="4">
        <f t="shared" ca="1" si="76"/>
        <v>1.8281535648994041E-3</v>
      </c>
      <c r="AD256" s="4"/>
      <c r="AE256" s="2" cm="1">
        <f t="array" aca="1" ref="AE256" ca="1">SUMPRODUCT(Q256:AB256,TRANSPOSE(Insights.!$H$4:$H$15))</f>
        <v>1.1462700482199028E-2</v>
      </c>
      <c r="AG256" s="10" vm="3795">
        <f ca="1"/>
        <v>46024</v>
      </c>
      <c r="AH256" s="1" vm="3807">
        <f ca="1"/>
        <v>110.895</v>
      </c>
      <c r="AI256" s="2">
        <f t="shared" ca="1" si="84"/>
        <v>6.086838901663727E-3</v>
      </c>
      <c r="AJ256" s="1" vm="3808">
        <f ca="1"/>
        <v>111.8</v>
      </c>
      <c r="AK256" s="2">
        <f t="shared" ca="1" si="77"/>
        <v>-2.415026833631484E-3</v>
      </c>
      <c r="AL256" s="1" vm="3809">
        <f ca="1"/>
        <v>58.71</v>
      </c>
      <c r="AM256" s="2">
        <f t="shared" ca="1" si="78"/>
        <v>1.515925736671786E-2</v>
      </c>
      <c r="AO256" s="9">
        <f t="shared" ca="1" si="79"/>
        <v>99.224903704534825</v>
      </c>
      <c r="AP256">
        <f t="shared" ca="1" si="80"/>
        <v>102.83290059347192</v>
      </c>
      <c r="AQ256">
        <f t="shared" ca="1" si="81"/>
        <v>106.17283950617303</v>
      </c>
      <c r="AR256">
        <f t="shared" ca="1" si="82"/>
        <v>119.70639208889803</v>
      </c>
      <c r="AT256" s="21">
        <f ca="1">MAX($AO$3:AO257)</f>
        <v>106.96839029133979</v>
      </c>
      <c r="AU256" s="2">
        <f t="shared" ca="1" si="83"/>
        <v>-7.2390418942593682E-2</v>
      </c>
    </row>
    <row r="257" spans="1:52" x14ac:dyDescent="0.25">
      <c r="A257" vm="3810">
        <f ca="1"/>
        <v>46027</v>
      </c>
      <c r="B257" vm="1009">
        <f ca="1"/>
        <v>160.08000000000001</v>
      </c>
      <c r="C257" vm="3811">
        <f ca="1"/>
        <v>274</v>
      </c>
      <c r="D257" vm="2188">
        <f ca="1"/>
        <v>302.3</v>
      </c>
      <c r="E257" vm="129">
        <f ca="1"/>
        <v>220.7</v>
      </c>
      <c r="F257" vm="3812">
        <f ca="1"/>
        <v>198.68</v>
      </c>
      <c r="G257" vm="3813">
        <f ca="1"/>
        <v>138.30000000000001</v>
      </c>
      <c r="H257" vm="1675">
        <f ca="1"/>
        <v>403.85</v>
      </c>
      <c r="I257" vm="3814">
        <f ca="1"/>
        <v>119.72</v>
      </c>
      <c r="J257" vm="3815">
        <f ca="1"/>
        <v>461.9</v>
      </c>
      <c r="K257" vm="3416">
        <f ca="1"/>
        <v>78</v>
      </c>
      <c r="L257" vm="3263">
        <f ca="1"/>
        <v>292.60000000000002</v>
      </c>
      <c r="M257" vm="3816">
        <f ca="1"/>
        <v>287.45</v>
      </c>
      <c r="N257" vm="3817">
        <f ca="1"/>
        <v>13.785</v>
      </c>
      <c r="O257" vm="3818">
        <f ca="1"/>
        <v>513.6</v>
      </c>
      <c r="Q257" s="4">
        <f t="shared" ca="1" si="63"/>
        <v>1.5596663039535663E-2</v>
      </c>
      <c r="R257" s="4">
        <f t="shared" ca="1" si="64"/>
        <v>1.9030357951971055E-2</v>
      </c>
      <c r="S257" s="4">
        <f t="shared" ca="1" si="65"/>
        <v>4.1214750542299283E-2</v>
      </c>
      <c r="T257" s="4">
        <f t="shared" ca="1" si="73"/>
        <v>-6.6822586034076537E-4</v>
      </c>
      <c r="U257" s="4">
        <f t="shared" ca="1" si="74"/>
        <v>-2.1433210651656154E-2</v>
      </c>
      <c r="V257" s="4">
        <f t="shared" ca="1" si="66"/>
        <v>9.9950024987505159E-4</v>
      </c>
      <c r="W257" s="4">
        <f t="shared" ca="1" si="67"/>
        <v>4.0114757398832301E-2</v>
      </c>
      <c r="X257" s="4">
        <f t="shared" ca="1" si="68"/>
        <v>-5.2182988345799153E-3</v>
      </c>
      <c r="Y257" s="4">
        <f t="shared" ca="1" si="69"/>
        <v>9.2623221964935887E-3</v>
      </c>
      <c r="Z257" s="4">
        <f t="shared" ca="1" si="70"/>
        <v>1.7600820232399172E-2</v>
      </c>
      <c r="AA257" s="4">
        <f t="shared" ca="1" si="71"/>
        <v>1.4361767983162022E-2</v>
      </c>
      <c r="AB257" s="4">
        <f t="shared" ca="1" si="75"/>
        <v>-4.419781931464184E-2</v>
      </c>
      <c r="AC257" s="4">
        <f t="shared" ca="1" si="76"/>
        <v>1.8248175182481674E-2</v>
      </c>
      <c r="AD257" s="4"/>
      <c r="AE257" s="2" cm="1">
        <f t="array" aca="1" ref="AE257" ca="1">SUMPRODUCT(Q257:AB257,TRANSPOSE(Insights.!$H$4:$H$15))</f>
        <v>5.5463681538802457E-3</v>
      </c>
      <c r="AG257" s="10" vm="3810">
        <f ca="1"/>
        <v>46027</v>
      </c>
      <c r="AH257" s="1" vm="3217">
        <f ca="1"/>
        <v>111.57</v>
      </c>
      <c r="AI257" s="2">
        <f t="shared" ca="1" si="84"/>
        <v>7.2152012189656833E-3</v>
      </c>
      <c r="AJ257" s="1" vm="3661">
        <f ca="1"/>
        <v>111.53</v>
      </c>
      <c r="AK257" s="2">
        <f t="shared" ca="1" si="77"/>
        <v>-1.7484084999552785E-3</v>
      </c>
      <c r="AL257" s="1" vm="3819">
        <f ca="1"/>
        <v>59.6</v>
      </c>
      <c r="AM257" s="2">
        <f t="shared" ca="1" si="78"/>
        <v>5.2013422818790733E-3</v>
      </c>
      <c r="AO257" s="9">
        <f t="shared" ca="1" si="79"/>
        <v>100.36228905607494</v>
      </c>
      <c r="AP257">
        <f t="shared" ca="1" si="80"/>
        <v>103.45882789317518</v>
      </c>
      <c r="AQ257">
        <f t="shared" ca="1" si="81"/>
        <v>105.91642924976277</v>
      </c>
      <c r="AR257">
        <f t="shared" ca="1" si="82"/>
        <v>121.52105209501487</v>
      </c>
      <c r="AT257" s="21">
        <f ca="1">MAX($AO$3:AO258)</f>
        <v>106.96839029133979</v>
      </c>
      <c r="AU257" s="2">
        <f t="shared" ca="1" si="83"/>
        <v>-6.1757508150514617E-2</v>
      </c>
    </row>
    <row r="258" spans="1:52" x14ac:dyDescent="0.25">
      <c r="A258" vm="3820">
        <f ca="1"/>
        <v>46028</v>
      </c>
      <c r="B258" vm="3821">
        <f ca="1"/>
        <v>160.24</v>
      </c>
      <c r="C258" vm="3822">
        <f ca="1"/>
        <v>279</v>
      </c>
      <c r="D258" vm="3066">
        <f ca="1"/>
        <v>305.10000000000002</v>
      </c>
      <c r="E258" vm="2232">
        <f ca="1"/>
        <v>224.9</v>
      </c>
      <c r="F258" vm="1644">
        <f ca="1"/>
        <v>206.65</v>
      </c>
      <c r="G258" vm="1137">
        <f ca="1"/>
        <v>144</v>
      </c>
      <c r="H258" vm="3823">
        <f ca="1"/>
        <v>409.65</v>
      </c>
      <c r="I258" vm="3824">
        <f ca="1"/>
        <v>119.64</v>
      </c>
      <c r="J258" vm="1659">
        <f ca="1"/>
        <v>452</v>
      </c>
      <c r="K258" vm="3555">
        <f ca="1"/>
        <v>85</v>
      </c>
      <c r="L258" vm="1217">
        <f ca="1"/>
        <v>297.75</v>
      </c>
      <c r="M258" vm="3825">
        <f ca="1"/>
        <v>285.95</v>
      </c>
      <c r="N258" vm="3826">
        <f ca="1"/>
        <v>14</v>
      </c>
      <c r="O258" vm="3827">
        <f ca="1"/>
        <v>490.9</v>
      </c>
      <c r="Q258" s="4">
        <f t="shared" ca="1" si="63"/>
        <v>-4.5357142857142874E-2</v>
      </c>
      <c r="R258" s="4">
        <f t="shared" ca="1" si="64"/>
        <v>1.8452645620275598E-2</v>
      </c>
      <c r="S258" s="4">
        <f t="shared" ca="1" si="65"/>
        <v>-6.7361111111110983E-2</v>
      </c>
      <c r="T258" s="4">
        <f t="shared" ca="1" si="73"/>
        <v>-1.0865931126713413E-2</v>
      </c>
      <c r="U258" s="4">
        <f t="shared" ca="1" si="74"/>
        <v>1.7809734513274389E-2</v>
      </c>
      <c r="V258" s="4">
        <f t="shared" ca="1" si="66"/>
        <v>9.6105841238143253E-3</v>
      </c>
      <c r="W258" s="4">
        <f t="shared" ca="1" si="67"/>
        <v>4.5971449310426848E-3</v>
      </c>
      <c r="X258" s="4">
        <f t="shared" ca="1" si="68"/>
        <v>-1.9408987585242232E-2</v>
      </c>
      <c r="Y258" s="4">
        <f t="shared" ca="1" si="69"/>
        <v>-6.5552277941671733E-4</v>
      </c>
      <c r="Z258" s="4">
        <f t="shared" ca="1" si="70"/>
        <v>-1.5113350125943725E-3</v>
      </c>
      <c r="AA258" s="4">
        <f t="shared" ca="1" si="71"/>
        <v>1.0374710118393748E-2</v>
      </c>
      <c r="AB258" s="4">
        <f t="shared" ca="1" si="75"/>
        <v>1.9352210226115663E-3</v>
      </c>
      <c r="AC258" s="4">
        <f t="shared" ca="1" si="76"/>
        <v>-1.9713261648745539E-2</v>
      </c>
      <c r="AD258" s="4"/>
      <c r="AE258" s="2" cm="1">
        <f t="array" aca="1" ref="AE258" ca="1">SUMPRODUCT(Q258:AB258,TRANSPOSE(Insights.!$H$4:$H$15))</f>
        <v>-4.8906456947463194E-3</v>
      </c>
      <c r="AG258" s="10" vm="3820">
        <f ca="1"/>
        <v>46028</v>
      </c>
      <c r="AH258" s="1" vm="3828">
        <f ca="1"/>
        <v>112.375</v>
      </c>
      <c r="AI258" s="2">
        <f t="shared" ca="1" si="84"/>
        <v>2.1802002224693418E-3</v>
      </c>
      <c r="AJ258" s="1" vm="3829">
        <f ca="1"/>
        <v>111.33499999999999</v>
      </c>
      <c r="AK258" s="2">
        <f t="shared" ca="1" si="77"/>
        <v>1.2619571563299958E-2</v>
      </c>
      <c r="AL258" s="1" vm="3830">
        <f ca="1"/>
        <v>59.91</v>
      </c>
      <c r="AM258" s="2">
        <f t="shared" ca="1" si="78"/>
        <v>-4.172926055750259E-3</v>
      </c>
      <c r="AO258" s="9">
        <f t="shared" ca="1" si="79"/>
        <v>100.91893525994608</v>
      </c>
      <c r="AP258">
        <f t="shared" ca="1" si="80"/>
        <v>104.20530415430278</v>
      </c>
      <c r="AQ258">
        <f t="shared" ca="1" si="81"/>
        <v>105.73124406457758</v>
      </c>
      <c r="AR258">
        <f t="shared" ca="1" si="82"/>
        <v>122.15312468141509</v>
      </c>
      <c r="AT258" s="21">
        <f ca="1">MAX($AO$3:AO259)</f>
        <v>106.96839029133979</v>
      </c>
      <c r="AU258" s="2">
        <f t="shared" ca="1" si="83"/>
        <v>-5.6553669873103396E-2</v>
      </c>
    </row>
    <row r="259" spans="1:52" x14ac:dyDescent="0.25">
      <c r="A259" vm="3831">
        <f ca="1"/>
        <v>46029</v>
      </c>
      <c r="B259" vm="3832">
        <f ca="1"/>
        <v>161.78</v>
      </c>
      <c r="C259" vm="3797">
        <f ca="1"/>
        <v>273.5</v>
      </c>
      <c r="D259" vm="3833">
        <f ca="1"/>
        <v>304.89999999999998</v>
      </c>
      <c r="E259" vm="3834">
        <f ca="1"/>
        <v>229.05</v>
      </c>
      <c r="F259" vm="3835">
        <f ca="1"/>
        <v>207.6</v>
      </c>
      <c r="G259" vm="3836">
        <f ca="1"/>
        <v>134.30000000000001</v>
      </c>
      <c r="H259" vm="3837">
        <f ca="1"/>
        <v>413.9</v>
      </c>
      <c r="I259" vm="3838">
        <f ca="1"/>
        <v>118.34</v>
      </c>
      <c r="J259" vm="3839">
        <f ca="1"/>
        <v>460.05</v>
      </c>
      <c r="K259" vm="3840">
        <f ca="1"/>
        <v>85.5</v>
      </c>
      <c r="L259" vm="3841">
        <f ca="1"/>
        <v>297.3</v>
      </c>
      <c r="M259" vm="3842">
        <f ca="1"/>
        <v>280.39999999999998</v>
      </c>
      <c r="N259" vm="3843">
        <f ca="1"/>
        <v>13.365</v>
      </c>
      <c r="O259" vm="3844">
        <f ca="1"/>
        <v>491.85</v>
      </c>
      <c r="Q259" s="4">
        <f t="shared" ref="Q259:Q272" ca="1" si="85">N260/N259-1</f>
        <v>1.5338570894126491E-2</v>
      </c>
      <c r="R259" s="4">
        <f t="shared" ref="R259:R272" ca="1" si="86">E260/E259-1</f>
        <v>-1.8554900676708175E-2</v>
      </c>
      <c r="S259" s="4">
        <f t="shared" ref="S259:S311" ca="1" si="87">G260/G259-1</f>
        <v>-3.4251675353685895E-2</v>
      </c>
      <c r="T259" s="4">
        <f t="shared" ca="1" si="73"/>
        <v>2.7378739225959015E-2</v>
      </c>
      <c r="U259" s="4">
        <f t="shared" ca="1" si="74"/>
        <v>2.1084664710357526E-2</v>
      </c>
      <c r="V259" s="4">
        <f t="shared" ref="V259:V272" ca="1" si="88">B260/B259-1</f>
        <v>-1.8420076647298722E-2</v>
      </c>
      <c r="W259" s="4">
        <f t="shared" ref="W259:W272" ca="1" si="89">F260/F259-1</f>
        <v>1.7581888246628097E-2</v>
      </c>
      <c r="X259" s="4">
        <f t="shared" ref="X259:X269" ca="1" si="90">M260/M259-1</f>
        <v>1.3017118402282479E-2</v>
      </c>
      <c r="Y259" s="4">
        <f t="shared" ref="Y259:Y295" ca="1" si="91">D260/D259-1</f>
        <v>-3.7717284355525127E-3</v>
      </c>
      <c r="Z259" s="4">
        <f t="shared" ref="Z259:Z269" ca="1" si="92">L260/L259-1</f>
        <v>-4.3895055499495461E-2</v>
      </c>
      <c r="AA259" s="4">
        <f t="shared" ref="AA259:AA285" ca="1" si="93">H260/H259-1</f>
        <v>-8.3353467021018979E-3</v>
      </c>
      <c r="AB259" s="4">
        <f t="shared" ca="1" si="75"/>
        <v>-4.6253939209108474E-2</v>
      </c>
      <c r="AC259" s="4">
        <f t="shared" ca="1" si="76"/>
        <v>3.6563071297988081E-3</v>
      </c>
      <c r="AD259" s="4"/>
      <c r="AE259" s="2" cm="1">
        <f t="array" aca="1" ref="AE259" ca="1">SUMPRODUCT(Q259:AB259,TRANSPOSE(Insights.!$H$4:$H$15))</f>
        <v>-6.6509440769678442E-3</v>
      </c>
      <c r="AG259" s="10" vm="3831">
        <f ca="1"/>
        <v>46029</v>
      </c>
      <c r="AH259" s="1" vm="3845">
        <f ca="1"/>
        <v>112.62</v>
      </c>
      <c r="AI259" s="2">
        <f t="shared" ca="1" si="84"/>
        <v>5.3276505061261581E-4</v>
      </c>
      <c r="AJ259" s="1" vm="3846">
        <f ca="1"/>
        <v>112.74</v>
      </c>
      <c r="AK259" s="2">
        <f t="shared" ca="1" si="77"/>
        <v>3.370587191768859E-3</v>
      </c>
      <c r="AL259" s="1" vm="3847">
        <f ca="1"/>
        <v>59.66</v>
      </c>
      <c r="AM259" s="2">
        <f t="shared" ca="1" si="78"/>
        <v>-1.0056989607776234E-3</v>
      </c>
      <c r="AO259" s="9">
        <f t="shared" ca="1" si="79"/>
        <v>100.42537650369864</v>
      </c>
      <c r="AP259">
        <f t="shared" ca="1" si="80"/>
        <v>104.43249258160247</v>
      </c>
      <c r="AQ259">
        <f t="shared" ca="1" si="81"/>
        <v>107.06552706552725</v>
      </c>
      <c r="AR259">
        <f t="shared" ca="1" si="82"/>
        <v>121.6433887246407</v>
      </c>
      <c r="AT259" s="21">
        <f ca="1">MAX($AO$3:AO260)</f>
        <v>106.96839029133979</v>
      </c>
      <c r="AU259" s="2">
        <f t="shared" ca="1" si="83"/>
        <v>-6.1167731605762721E-2</v>
      </c>
    </row>
    <row r="260" spans="1:52" x14ac:dyDescent="0.25">
      <c r="A260" vm="3848">
        <f ca="1"/>
        <v>46030</v>
      </c>
      <c r="B260" vm="2924">
        <f ca="1"/>
        <v>158.80000000000001</v>
      </c>
      <c r="C260" vm="3849">
        <f ca="1"/>
        <v>274.5</v>
      </c>
      <c r="D260" vm="3850">
        <f ca="1"/>
        <v>303.75</v>
      </c>
      <c r="E260" vm="3851">
        <f ca="1"/>
        <v>224.8</v>
      </c>
      <c r="F260" vm="3356">
        <f ca="1"/>
        <v>211.25</v>
      </c>
      <c r="G260" vm="3852">
        <f ca="1"/>
        <v>129.69999999999999</v>
      </c>
      <c r="H260" vm="3853">
        <f ca="1"/>
        <v>410.45</v>
      </c>
      <c r="I260" vm="3854">
        <f ca="1"/>
        <v>121.58</v>
      </c>
      <c r="J260" vm="3855">
        <f ca="1"/>
        <v>469.75</v>
      </c>
      <c r="K260" vm="3581">
        <f ca="1"/>
        <v>86</v>
      </c>
      <c r="L260" vm="3856">
        <f ca="1"/>
        <v>284.25</v>
      </c>
      <c r="M260" vm="3385">
        <f ca="1"/>
        <v>284.05</v>
      </c>
      <c r="N260" vm="3857">
        <f ca="1"/>
        <v>13.57</v>
      </c>
      <c r="O260" vm="3858">
        <f ca="1"/>
        <v>469.1</v>
      </c>
      <c r="Q260" s="4">
        <f t="shared" ca="1" si="85"/>
        <v>3.3161385408990718E-3</v>
      </c>
      <c r="R260" s="4">
        <f t="shared" ca="1" si="86"/>
        <v>-1.2677935943060548E-2</v>
      </c>
      <c r="S260" s="4">
        <f t="shared" ca="1" si="87"/>
        <v>0.11410948342328453</v>
      </c>
      <c r="T260" s="4">
        <f t="shared" ref="T260:T295" ca="1" si="94">I261/I260-1</f>
        <v>3.1255140648132063E-3</v>
      </c>
      <c r="U260" s="4">
        <f t="shared" ref="U260:U311" ca="1" si="95">J261/J260-1</f>
        <v>-1.5646620542841938E-2</v>
      </c>
      <c r="V260" s="4">
        <f t="shared" ca="1" si="88"/>
        <v>3.2745591939544738E-3</v>
      </c>
      <c r="W260" s="4">
        <f t="shared" ca="1" si="89"/>
        <v>5.4437869822485663E-3</v>
      </c>
      <c r="X260" s="4">
        <f t="shared" ca="1" si="90"/>
        <v>-2.2883295194509046E-3</v>
      </c>
      <c r="Y260" s="4">
        <f t="shared" ca="1" si="91"/>
        <v>-7.5720164609054397E-3</v>
      </c>
      <c r="Z260" s="4">
        <f t="shared" ca="1" si="92"/>
        <v>4.1512752858399393E-2</v>
      </c>
      <c r="AA260" s="4">
        <f t="shared" ca="1" si="93"/>
        <v>3.7763430381290153E-3</v>
      </c>
      <c r="AB260" s="4">
        <f t="shared" ref="AB260:AB311" ca="1" si="96">O261/O260-1</f>
        <v>-2.6646770411425935E-3</v>
      </c>
      <c r="AC260" s="4">
        <f t="shared" ref="AC260:AC311" ca="1" si="97">C261/C260-1</f>
        <v>1.2750455373406133E-2</v>
      </c>
      <c r="AD260" s="4"/>
      <c r="AE260" s="2" cm="1">
        <f t="array" aca="1" ref="AE260" ca="1">SUMPRODUCT(Q260:AB260,TRANSPOSE(Insights.!$H$4:$H$15))</f>
        <v>8.31238187731787E-3</v>
      </c>
      <c r="AG260" s="10" vm="3848">
        <f ca="1"/>
        <v>46030</v>
      </c>
      <c r="AH260" s="1" vm="3859">
        <f ca="1"/>
        <v>112.68</v>
      </c>
      <c r="AI260" s="2">
        <f t="shared" ca="1" si="84"/>
        <v>6.6560170394036611E-3</v>
      </c>
      <c r="AJ260" s="1" vm="3860">
        <f ca="1"/>
        <v>113.12</v>
      </c>
      <c r="AK260" s="2">
        <f t="shared" ref="AK260:AK301" ca="1" si="98">AJ261/AJ260-1</f>
        <v>2.9614568599716229E-3</v>
      </c>
      <c r="AL260" s="1" vm="3819">
        <f ca="1"/>
        <v>59.6</v>
      </c>
      <c r="AM260" s="2">
        <f t="shared" ref="AM260:AM311" ca="1" si="99">AL261/AL260-1</f>
        <v>1.5100671140939603E-2</v>
      </c>
      <c r="AO260" s="9">
        <f t="shared" ref="AO260:AO312" ca="1" si="100">AO259*(1+AE259)</f>
        <v>99.757452940664095</v>
      </c>
      <c r="AP260">
        <f t="shared" ref="AP260:AP312" ca="1" si="101">AP259*(1+AI259)</f>
        <v>104.48813056379831</v>
      </c>
      <c r="AQ260">
        <f t="shared" ref="AQ260:AQ312" ca="1" si="102">AQ259*(1+AK259)</f>
        <v>107.42640075973429</v>
      </c>
      <c r="AR260">
        <f t="shared" ref="AR260:AR312" ca="1" si="103">AR259*(1+AM259)</f>
        <v>121.52105209501487</v>
      </c>
      <c r="AT260" s="21">
        <f ca="1">MAX($AO$3:AO261)</f>
        <v>106.96839029133979</v>
      </c>
      <c r="AU260" s="2">
        <f t="shared" ref="AU260:AU312" ca="1" si="104">AO260/AT260-1</f>
        <v>-6.7411852520505744E-2</v>
      </c>
    </row>
    <row r="261" spans="1:52" x14ac:dyDescent="0.25">
      <c r="A261" vm="3861">
        <f ca="1"/>
        <v>46031</v>
      </c>
      <c r="B261" vm="3862">
        <f ca="1"/>
        <v>159.32</v>
      </c>
      <c r="C261" vm="3863">
        <f ca="1"/>
        <v>278</v>
      </c>
      <c r="D261" vm="2247">
        <f ca="1"/>
        <v>301.45</v>
      </c>
      <c r="E261" vm="1406">
        <f ca="1"/>
        <v>221.95</v>
      </c>
      <c r="F261" vm="3864">
        <f ca="1"/>
        <v>212.4</v>
      </c>
      <c r="G261" vm="3865">
        <f ca="1"/>
        <v>144.5</v>
      </c>
      <c r="H261" vm="1778">
        <f ca="1"/>
        <v>412</v>
      </c>
      <c r="I261" vm="3866">
        <f ca="1"/>
        <v>121.96</v>
      </c>
      <c r="J261" vm="3867">
        <f ca="1"/>
        <v>462.4</v>
      </c>
      <c r="K261" vm="3581">
        <f ca="1"/>
        <v>86</v>
      </c>
      <c r="L261" vm="3868">
        <f ca="1"/>
        <v>296.05</v>
      </c>
      <c r="M261" vm="3869">
        <f ca="1"/>
        <v>283.39999999999998</v>
      </c>
      <c r="N261" vm="3870">
        <f ca="1"/>
        <v>13.615</v>
      </c>
      <c r="O261" vm="958">
        <f ca="1"/>
        <v>467.85</v>
      </c>
      <c r="Q261" s="4">
        <f t="shared" ca="1" si="85"/>
        <v>3.6724201248621302E-3</v>
      </c>
      <c r="R261" s="4">
        <f t="shared" ca="1" si="86"/>
        <v>5.1813471502590858E-3</v>
      </c>
      <c r="S261" s="4">
        <f t="shared" ca="1" si="87"/>
        <v>3.39100346020762E-2</v>
      </c>
      <c r="T261" s="4">
        <f t="shared" ca="1" si="94"/>
        <v>8.3633978353558902E-3</v>
      </c>
      <c r="U261" s="4">
        <f t="shared" ca="1" si="95"/>
        <v>-8.6505190311414459E-4</v>
      </c>
      <c r="V261" s="4">
        <f t="shared" ca="1" si="88"/>
        <v>-4.6447401456187754E-3</v>
      </c>
      <c r="W261" s="4">
        <f t="shared" ca="1" si="89"/>
        <v>-5.4143126177024214E-3</v>
      </c>
      <c r="X261" s="4">
        <f t="shared" ca="1" si="90"/>
        <v>-2.452364149611852E-2</v>
      </c>
      <c r="Y261" s="4">
        <f t="shared" ca="1" si="91"/>
        <v>-2.1562448167191883E-2</v>
      </c>
      <c r="Z261" s="4">
        <f t="shared" ca="1" si="92"/>
        <v>1.2160108089849464E-2</v>
      </c>
      <c r="AA261" s="4">
        <f t="shared" ca="1" si="93"/>
        <v>-2.79126213592229E-3</v>
      </c>
      <c r="AB261" s="4">
        <f t="shared" ca="1" si="96"/>
        <v>-1.8275088169285025E-2</v>
      </c>
      <c r="AC261" s="4">
        <f t="shared" ca="1" si="97"/>
        <v>2.3381294964028854E-2</v>
      </c>
      <c r="AD261" s="4"/>
      <c r="AE261" s="2" cm="1">
        <f t="array" aca="1" ref="AE261" ca="1">SUMPRODUCT(Q261:AB261,TRANSPOSE(Insights.!$H$4:$H$15))</f>
        <v>-1.9585338152794205E-3</v>
      </c>
      <c r="AG261" s="10" vm="3861">
        <f ca="1"/>
        <v>46031</v>
      </c>
      <c r="AH261" s="1" vm="3871">
        <f ca="1"/>
        <v>113.43</v>
      </c>
      <c r="AI261" s="2">
        <f t="shared" ca="1" si="84"/>
        <v>1.763201974784856E-4</v>
      </c>
      <c r="AJ261" s="1" vm="3872">
        <f ca="1"/>
        <v>113.455</v>
      </c>
      <c r="AK261" s="2">
        <f t="shared" ca="1" si="98"/>
        <v>-1.5424617689833164E-3</v>
      </c>
      <c r="AL261" s="1" vm="3873">
        <f ca="1"/>
        <v>60.5</v>
      </c>
      <c r="AM261" s="2">
        <f t="shared" ca="1" si="99"/>
        <v>3.6363636363636598E-3</v>
      </c>
      <c r="AO261" s="9">
        <f t="shared" ca="1" si="100"/>
        <v>100.58667498461546</v>
      </c>
      <c r="AP261">
        <f t="shared" ca="1" si="101"/>
        <v>105.18360534124638</v>
      </c>
      <c r="AQ261">
        <f t="shared" ca="1" si="102"/>
        <v>107.74453941120626</v>
      </c>
      <c r="AR261">
        <f t="shared" ca="1" si="103"/>
        <v>123.35610153940267</v>
      </c>
      <c r="AT261" s="21">
        <f ca="1">MAX($AO$3:AO262)</f>
        <v>106.96839029133979</v>
      </c>
      <c r="AU261" s="2">
        <f t="shared" ca="1" si="104"/>
        <v>-5.9659823704395709E-2</v>
      </c>
    </row>
    <row r="262" spans="1:52" x14ac:dyDescent="0.25">
      <c r="A262" vm="3874">
        <f ca="1"/>
        <v>46034</v>
      </c>
      <c r="B262" vm="3875">
        <f ca="1"/>
        <v>158.58000000000001</v>
      </c>
      <c r="C262" vm="3876">
        <f ca="1"/>
        <v>284.5</v>
      </c>
      <c r="D262" vm="3462">
        <f ca="1"/>
        <v>294.95</v>
      </c>
      <c r="E262" vm="3608">
        <f ca="1"/>
        <v>223.1</v>
      </c>
      <c r="F262" vm="3356">
        <f ca="1"/>
        <v>211.25</v>
      </c>
      <c r="G262" vm="3877">
        <f ca="1"/>
        <v>149.4</v>
      </c>
      <c r="H262" vm="1251">
        <f ca="1"/>
        <v>410.85</v>
      </c>
      <c r="I262" vm="3878">
        <f ca="1"/>
        <v>122.98</v>
      </c>
      <c r="J262" vm="2365">
        <f ca="1"/>
        <v>462</v>
      </c>
      <c r="K262" vm="3135">
        <f ca="1"/>
        <v>94</v>
      </c>
      <c r="L262" vm="3879">
        <f ca="1"/>
        <v>299.64999999999998</v>
      </c>
      <c r="M262" vm="3880">
        <f ca="1"/>
        <v>276.45</v>
      </c>
      <c r="N262" vm="3881">
        <f ca="1"/>
        <v>13.664999999999999</v>
      </c>
      <c r="O262" vm="3882">
        <f ca="1"/>
        <v>459.3</v>
      </c>
      <c r="Q262" s="4">
        <f t="shared" ca="1" si="85"/>
        <v>1.280643980973295E-2</v>
      </c>
      <c r="R262" s="4">
        <f t="shared" ca="1" si="86"/>
        <v>-6.6562079784849848E-2</v>
      </c>
      <c r="S262" s="4">
        <f t="shared" ca="1" si="87"/>
        <v>-8.0321285140563248E-3</v>
      </c>
      <c r="T262" s="4">
        <f t="shared" ca="1" si="94"/>
        <v>4.3909578793299708E-3</v>
      </c>
      <c r="U262" s="4">
        <f t="shared" ca="1" si="95"/>
        <v>7.575757575757347E-4</v>
      </c>
      <c r="V262" s="4">
        <f t="shared" ca="1" si="88"/>
        <v>5.1708916635135882E-3</v>
      </c>
      <c r="W262" s="4">
        <f t="shared" ca="1" si="89"/>
        <v>-1.538461538461533E-2</v>
      </c>
      <c r="X262" s="4">
        <f t="shared" ca="1" si="90"/>
        <v>-3.3640803038524236E-2</v>
      </c>
      <c r="Y262" s="4">
        <f t="shared" ca="1" si="91"/>
        <v>-4.4414307509747286E-2</v>
      </c>
      <c r="Z262" s="4">
        <f t="shared" ca="1" si="92"/>
        <v>2.4862339395962163E-2</v>
      </c>
      <c r="AA262" s="4">
        <f t="shared" ca="1" si="93"/>
        <v>-1.7646342947547744E-2</v>
      </c>
      <c r="AB262" s="4">
        <f t="shared" ca="1" si="96"/>
        <v>-8.7089048552146942E-4</v>
      </c>
      <c r="AC262" s="4">
        <f t="shared" ca="1" si="97"/>
        <v>3.5149384885764245E-3</v>
      </c>
      <c r="AD262" s="4"/>
      <c r="AE262" s="2" cm="1">
        <f t="array" aca="1" ref="AE262" ca="1">SUMPRODUCT(Q262:AB262,TRANSPOSE(Insights.!$H$4:$H$15))</f>
        <v>-1.3655459648046937E-2</v>
      </c>
      <c r="AG262" s="10" vm="3874">
        <f ca="1"/>
        <v>46034</v>
      </c>
      <c r="AH262" s="1" vm="3883">
        <f ca="1"/>
        <v>113.45</v>
      </c>
      <c r="AI262" s="2">
        <f t="shared" ca="1" si="84"/>
        <v>-2.1154693697664761E-3</v>
      </c>
      <c r="AJ262" s="1" vm="3884">
        <f ca="1"/>
        <v>113.28</v>
      </c>
      <c r="AK262" s="2">
        <f t="shared" ca="1" si="98"/>
        <v>8.2097457627117176E-3</v>
      </c>
      <c r="AL262" s="1" vm="3885">
        <f ca="1"/>
        <v>60.72</v>
      </c>
      <c r="AM262" s="2">
        <f t="shared" ca="1" si="99"/>
        <v>1.1528326745717798E-3</v>
      </c>
      <c r="AO262" s="9">
        <f t="shared" ca="1" si="100"/>
        <v>100.38967258029156</v>
      </c>
      <c r="AP262">
        <f t="shared" ca="1" si="101"/>
        <v>105.20215133531164</v>
      </c>
      <c r="AQ262">
        <f t="shared" ca="1" si="102"/>
        <v>107.57834757834776</v>
      </c>
      <c r="AR262">
        <f t="shared" ca="1" si="103"/>
        <v>123.80466918136413</v>
      </c>
      <c r="AT262" s="21">
        <f ca="1">MAX($AO$3:AO263)</f>
        <v>106.96839029133979</v>
      </c>
      <c r="AU262" s="2">
        <f t="shared" ca="1" si="104"/>
        <v>-6.1501511737536596E-2</v>
      </c>
    </row>
    <row r="263" spans="1:52" x14ac:dyDescent="0.25">
      <c r="A263" vm="3886">
        <f ca="1"/>
        <v>46035</v>
      </c>
      <c r="B263" vm="3887">
        <f ca="1"/>
        <v>159.4</v>
      </c>
      <c r="C263" vm="3888">
        <f ca="1"/>
        <v>285.5</v>
      </c>
      <c r="D263" vm="3889">
        <f ca="1"/>
        <v>281.85000000000002</v>
      </c>
      <c r="E263" vm="3890">
        <f ca="1"/>
        <v>208.25</v>
      </c>
      <c r="F263" vm="2400">
        <f ca="1"/>
        <v>208</v>
      </c>
      <c r="G263" vm="3891">
        <f ca="1"/>
        <v>148.19999999999999</v>
      </c>
      <c r="H263" vm="3892">
        <f ca="1"/>
        <v>403.6</v>
      </c>
      <c r="I263" vm="3893">
        <f ca="1"/>
        <v>123.52</v>
      </c>
      <c r="J263" vm="3894">
        <f ca="1"/>
        <v>462.35</v>
      </c>
      <c r="K263" vm="3895">
        <f ca="1"/>
        <v>91</v>
      </c>
      <c r="L263" vm="3896">
        <f ca="1"/>
        <v>307.10000000000002</v>
      </c>
      <c r="M263" vm="3897">
        <f ca="1"/>
        <v>267.14999999999998</v>
      </c>
      <c r="N263" vm="3898">
        <f ca="1"/>
        <v>13.84</v>
      </c>
      <c r="O263" vm="3899">
        <f ca="1"/>
        <v>458.9</v>
      </c>
      <c r="Q263" s="4">
        <f t="shared" ca="1" si="85"/>
        <v>-2.8901734104045396E-3</v>
      </c>
      <c r="R263" s="4">
        <f t="shared" ca="1" si="86"/>
        <v>-1.8247298919567889E-2</v>
      </c>
      <c r="S263" s="4">
        <f t="shared" ca="1" si="87"/>
        <v>-2.1255060728744835E-2</v>
      </c>
      <c r="T263" s="4">
        <f t="shared" ca="1" si="94"/>
        <v>1.6029792746113936E-2</v>
      </c>
      <c r="U263" s="4">
        <f t="shared" ca="1" si="95"/>
        <v>1.0057315886233376E-2</v>
      </c>
      <c r="V263" s="4">
        <f t="shared" ca="1" si="88"/>
        <v>-1.580928481806787E-2</v>
      </c>
      <c r="W263" s="4">
        <f t="shared" ca="1" si="89"/>
        <v>-2.0673076923076961E-2</v>
      </c>
      <c r="X263" s="4">
        <f t="shared" ca="1" si="90"/>
        <v>-1.2165450121654486E-2</v>
      </c>
      <c r="Y263" s="4">
        <f t="shared" ca="1" si="91"/>
        <v>3.902785169416223E-3</v>
      </c>
      <c r="Z263" s="4">
        <f t="shared" ca="1" si="92"/>
        <v>-6.1869098013676349E-2</v>
      </c>
      <c r="AA263" s="4">
        <f t="shared" ca="1" si="93"/>
        <v>-2.4900891972249761E-2</v>
      </c>
      <c r="AB263" s="4">
        <f t="shared" ca="1" si="96"/>
        <v>-1.8522553933318808E-2</v>
      </c>
      <c r="AC263" s="4">
        <f t="shared" ca="1" si="97"/>
        <v>-1.7513134851138368E-2</v>
      </c>
      <c r="AD263" s="4"/>
      <c r="AE263" s="2" cm="1">
        <f t="array" aca="1" ref="AE263" ca="1">SUMPRODUCT(Q263:AB263,TRANSPOSE(Insights.!$H$4:$H$15))</f>
        <v>-1.3449181386991292E-2</v>
      </c>
      <c r="AG263" s="10" vm="3886">
        <f ca="1"/>
        <v>46035</v>
      </c>
      <c r="AH263" s="1" vm="3900">
        <f ca="1"/>
        <v>113.21</v>
      </c>
      <c r="AI263" s="2">
        <f t="shared" ca="1" si="84"/>
        <v>-6.1390336542707091E-3</v>
      </c>
      <c r="AJ263" s="1" vm="3901">
        <f ca="1"/>
        <v>114.21</v>
      </c>
      <c r="AK263" s="2">
        <f t="shared" ca="1" si="98"/>
        <v>-4.8156903948859409E-4</v>
      </c>
      <c r="AL263" s="1" vm="3902">
        <f ca="1"/>
        <v>60.79</v>
      </c>
      <c r="AM263" s="2">
        <f t="shared" ca="1" si="99"/>
        <v>-5.0995229478533188E-3</v>
      </c>
      <c r="AO263" s="9">
        <f t="shared" ca="1" si="100"/>
        <v>99.018805457290739</v>
      </c>
      <c r="AP263">
        <f t="shared" ca="1" si="101"/>
        <v>104.97959940652825</v>
      </c>
      <c r="AQ263">
        <f t="shared" ca="1" si="102"/>
        <v>108.46153846153862</v>
      </c>
      <c r="AR263">
        <f t="shared" ca="1" si="103"/>
        <v>123.94739524926096</v>
      </c>
      <c r="AT263" s="21">
        <f ca="1">MAX($AO$3:AO264)</f>
        <v>106.96839029133979</v>
      </c>
      <c r="AU263" s="2">
        <f t="shared" ca="1" si="104"/>
        <v>-7.4317139973757773E-2</v>
      </c>
    </row>
    <row r="264" spans="1:52" x14ac:dyDescent="0.25">
      <c r="A264" vm="3903">
        <f ca="1"/>
        <v>46036</v>
      </c>
      <c r="B264" vm="1074">
        <f ca="1"/>
        <v>156.88</v>
      </c>
      <c r="C264" vm="3904">
        <f ca="1"/>
        <v>280.5</v>
      </c>
      <c r="D264" vm="3905">
        <f ca="1"/>
        <v>282.95</v>
      </c>
      <c r="E264" vm="3906">
        <f ca="1"/>
        <v>204.45</v>
      </c>
      <c r="F264" vm="3907">
        <f ca="1"/>
        <v>203.7</v>
      </c>
      <c r="G264" vm="3908">
        <f ca="1"/>
        <v>145.05000000000001</v>
      </c>
      <c r="H264" vm="3909">
        <f ca="1"/>
        <v>393.55</v>
      </c>
      <c r="I264" vm="3910">
        <f ca="1"/>
        <v>125.5</v>
      </c>
      <c r="J264" vm="2332">
        <f ca="1"/>
        <v>467</v>
      </c>
      <c r="K264" vm="2902">
        <f ca="1"/>
        <v>89</v>
      </c>
      <c r="L264" vm="3911">
        <f ca="1"/>
        <v>288.10000000000002</v>
      </c>
      <c r="M264" vm="3011">
        <f ca="1"/>
        <v>263.89999999999998</v>
      </c>
      <c r="N264" vm="3912">
        <f ca="1"/>
        <v>13.8</v>
      </c>
      <c r="O264" vm="3913">
        <f ca="1"/>
        <v>450.4</v>
      </c>
      <c r="Q264" s="4">
        <f t="shared" ca="1" si="85"/>
        <v>-1.1231884057971042E-2</v>
      </c>
      <c r="R264" s="4">
        <f t="shared" ca="1" si="86"/>
        <v>-1.8831010026901462E-2</v>
      </c>
      <c r="S264" s="4">
        <f t="shared" ca="1" si="87"/>
        <v>7.2733540158565813E-2</v>
      </c>
      <c r="T264" s="4">
        <f t="shared" ca="1" si="94"/>
        <v>-3.5059760956175356E-3</v>
      </c>
      <c r="U264" s="4">
        <f t="shared" ca="1" si="95"/>
        <v>2.1413276231263323E-2</v>
      </c>
      <c r="V264" s="4">
        <f t="shared" ca="1" si="88"/>
        <v>2.3584905660377409E-2</v>
      </c>
      <c r="W264" s="4">
        <f t="shared" ca="1" si="89"/>
        <v>4.6637211585665028E-3</v>
      </c>
      <c r="X264" s="4">
        <f t="shared" ca="1" si="90"/>
        <v>1.4020462296324476E-2</v>
      </c>
      <c r="Y264" s="4">
        <f t="shared" ca="1" si="91"/>
        <v>-4.9478706485244217E-3</v>
      </c>
      <c r="Z264" s="4">
        <f t="shared" ca="1" si="92"/>
        <v>3.8528288788614917E-2</v>
      </c>
      <c r="AA264" s="4">
        <f t="shared" ca="1" si="93"/>
        <v>-1.1434379367297742E-3</v>
      </c>
      <c r="AB264" s="4">
        <f t="shared" ca="1" si="96"/>
        <v>-2.0426287744227278E-2</v>
      </c>
      <c r="AC264" s="4">
        <f t="shared" ca="1" si="97"/>
        <v>5.8823529411764719E-2</v>
      </c>
      <c r="AD264" s="4"/>
      <c r="AE264" s="2" cm="1">
        <f t="array" aca="1" ref="AE264" ca="1">SUMPRODUCT(Q264:AB264,TRANSPOSE(Insights.!$H$4:$H$15))</f>
        <v>8.1086795145257004E-3</v>
      </c>
      <c r="AG264" s="10" vm="3903">
        <f ca="1"/>
        <v>46036</v>
      </c>
      <c r="AH264" s="1" vm="3914">
        <f ca="1"/>
        <v>112.515</v>
      </c>
      <c r="AI264" s="2">
        <f t="shared" ca="1" si="84"/>
        <v>1.1287383904368342E-2</v>
      </c>
      <c r="AJ264" s="1" vm="3915">
        <f ca="1"/>
        <v>114.155</v>
      </c>
      <c r="AK264" s="2">
        <f t="shared" ca="1" si="98"/>
        <v>1.4892032762472418E-3</v>
      </c>
      <c r="AL264" s="1" vm="3916">
        <f ca="1"/>
        <v>60.48</v>
      </c>
      <c r="AM264" s="2">
        <f t="shared" ca="1" si="99"/>
        <v>4.6296296296295392E-3</v>
      </c>
      <c r="AO264" s="9">
        <f t="shared" ca="1" si="100"/>
        <v>97.687083581972431</v>
      </c>
      <c r="AP264">
        <f t="shared" ca="1" si="101"/>
        <v>104.33512611275972</v>
      </c>
      <c r="AQ264">
        <f t="shared" ca="1" si="102"/>
        <v>108.40930674264024</v>
      </c>
      <c r="AR264">
        <f t="shared" ca="1" si="103"/>
        <v>123.31532266286071</v>
      </c>
      <c r="AT264" s="21">
        <f ca="1">MAX($AO$3:AO265)</f>
        <v>106.96839029133979</v>
      </c>
      <c r="AU264" s="2">
        <f t="shared" ca="1" si="104"/>
        <v>-8.6766816665079571E-2</v>
      </c>
    </row>
    <row r="265" spans="1:52" x14ac:dyDescent="0.25">
      <c r="A265" vm="3917">
        <f ca="1"/>
        <v>46037</v>
      </c>
      <c r="B265" vm="3918">
        <f ca="1"/>
        <v>160.58000000000001</v>
      </c>
      <c r="C265" vm="1200">
        <f ca="1"/>
        <v>297</v>
      </c>
      <c r="D265" vm="3399">
        <f ca="1"/>
        <v>281.55</v>
      </c>
      <c r="E265" vm="3919">
        <f ca="1"/>
        <v>200.6</v>
      </c>
      <c r="F265" vm="656">
        <f ca="1"/>
        <v>204.65</v>
      </c>
      <c r="G265" vm="1048">
        <f ca="1"/>
        <v>155.6</v>
      </c>
      <c r="H265" vm="490">
        <f ca="1"/>
        <v>393.1</v>
      </c>
      <c r="I265" vm="618">
        <f ca="1"/>
        <v>125.06</v>
      </c>
      <c r="J265" vm="3920">
        <f ca="1"/>
        <v>477</v>
      </c>
      <c r="K265" vm="2887">
        <f ca="1"/>
        <v>92.5</v>
      </c>
      <c r="L265" vm="3921">
        <f ca="1"/>
        <v>299.2</v>
      </c>
      <c r="M265" vm="3241">
        <f ca="1"/>
        <v>267.60000000000002</v>
      </c>
      <c r="N265" vm="3728">
        <f ca="1"/>
        <v>13.645</v>
      </c>
      <c r="O265" vm="3093">
        <f ca="1"/>
        <v>441.2</v>
      </c>
      <c r="Q265" s="4">
        <f t="shared" ca="1" si="85"/>
        <v>-6.1927445950897719E-2</v>
      </c>
      <c r="R265" s="4">
        <f t="shared" ca="1" si="86"/>
        <v>-2.2931206380857438E-2</v>
      </c>
      <c r="S265" s="4">
        <f t="shared" ca="1" si="87"/>
        <v>-7.3907455012853451E-2</v>
      </c>
      <c r="T265" s="4">
        <f t="shared" ca="1" si="94"/>
        <v>-4.4778506316968114E-3</v>
      </c>
      <c r="U265" s="4">
        <f t="shared" ca="1" si="95"/>
        <v>-6.3941299790356565E-3</v>
      </c>
      <c r="V265" s="4">
        <f t="shared" ca="1" si="88"/>
        <v>1.2454851164522829E-4</v>
      </c>
      <c r="W265" s="4">
        <f t="shared" ca="1" si="89"/>
        <v>4.1534326899583807E-3</v>
      </c>
      <c r="X265" s="4">
        <f t="shared" ca="1" si="90"/>
        <v>1.6442451420029869E-2</v>
      </c>
      <c r="Y265" s="4">
        <f t="shared" ca="1" si="91"/>
        <v>7.6362990587817148E-3</v>
      </c>
      <c r="Z265" s="4">
        <f t="shared" ca="1" si="92"/>
        <v>2.0053475935830622E-3</v>
      </c>
      <c r="AA265" s="4">
        <f t="shared" ca="1" si="93"/>
        <v>9.5395573645382647E-3</v>
      </c>
      <c r="AB265" s="4">
        <f t="shared" ca="1" si="96"/>
        <v>-1.4165911151405308E-2</v>
      </c>
      <c r="AC265" s="4">
        <f t="shared" ca="1" si="97"/>
        <v>-5.050505050505083E-3</v>
      </c>
      <c r="AD265" s="4"/>
      <c r="AE265" s="2" cm="1">
        <f t="array" aca="1" ref="AE265" ca="1">SUMPRODUCT(Q265:AB265,TRANSPOSE(Insights.!$H$4:$H$15))</f>
        <v>-1.0088098205271324E-2</v>
      </c>
      <c r="AG265" s="10" vm="3917">
        <f ca="1"/>
        <v>46037</v>
      </c>
      <c r="AH265" s="1" vm="3922">
        <f ca="1"/>
        <v>113.785</v>
      </c>
      <c r="AI265" s="2">
        <f t="shared" ca="1" si="84"/>
        <v>-1.0546205563122246E-3</v>
      </c>
      <c r="AJ265" s="1" vm="3923">
        <f ca="1"/>
        <v>114.325</v>
      </c>
      <c r="AK265" s="2">
        <f t="shared" ca="1" si="98"/>
        <v>-5.7730155259129168E-3</v>
      </c>
      <c r="AL265" s="1" vm="3924">
        <f ca="1"/>
        <v>60.76</v>
      </c>
      <c r="AM265" s="2">
        <f t="shared" ca="1" si="99"/>
        <v>3.291639236340238E-4</v>
      </c>
      <c r="AO265" s="9">
        <f t="shared" ca="1" si="100"/>
        <v>98.47919683544734</v>
      </c>
      <c r="AP265">
        <f t="shared" ca="1" si="101"/>
        <v>105.51279673590513</v>
      </c>
      <c r="AQ265">
        <f t="shared" ca="1" si="102"/>
        <v>108.57075023741707</v>
      </c>
      <c r="AR265">
        <f t="shared" ca="1" si="103"/>
        <v>123.88622693444802</v>
      </c>
      <c r="AT265" s="21">
        <f ca="1">MAX($AO$3:AO266)</f>
        <v>106.96839029133979</v>
      </c>
      <c r="AU265" s="2">
        <f t="shared" ca="1" si="104"/>
        <v>-7.936170145938648E-2</v>
      </c>
    </row>
    <row r="266" spans="1:52" x14ac:dyDescent="0.25">
      <c r="A266" vm="3925">
        <f ca="1"/>
        <v>46038</v>
      </c>
      <c r="B266" vm="1355">
        <f ca="1"/>
        <v>160.6</v>
      </c>
      <c r="C266" vm="3666">
        <f ca="1"/>
        <v>295.5</v>
      </c>
      <c r="D266" vm="3926">
        <f ca="1"/>
        <v>283.7</v>
      </c>
      <c r="E266" vm="2142">
        <f ca="1"/>
        <v>196</v>
      </c>
      <c r="F266" vm="188">
        <f ca="1"/>
        <v>205.5</v>
      </c>
      <c r="G266" vm="3927">
        <f ca="1"/>
        <v>144.1</v>
      </c>
      <c r="H266" vm="3928">
        <f ca="1"/>
        <v>396.85</v>
      </c>
      <c r="I266" vm="3929">
        <f ca="1"/>
        <v>124.5</v>
      </c>
      <c r="J266" vm="3930">
        <f ca="1"/>
        <v>473.95</v>
      </c>
      <c r="K266" vm="2916">
        <f ca="1"/>
        <v>95</v>
      </c>
      <c r="L266" vm="3931">
        <f ca="1"/>
        <v>299.8</v>
      </c>
      <c r="M266" vm="3932">
        <f ca="1"/>
        <v>272</v>
      </c>
      <c r="N266" vm="3933">
        <f ca="1"/>
        <v>12.8</v>
      </c>
      <c r="O266" vm="3934">
        <f ca="1"/>
        <v>434.95</v>
      </c>
      <c r="Q266" s="4">
        <f t="shared" ca="1" si="85"/>
        <v>4.9218749999999867E-2</v>
      </c>
      <c r="R266" s="4">
        <f t="shared" ca="1" si="86"/>
        <v>-1.3571428571428568E-2</v>
      </c>
      <c r="S266" s="4">
        <f t="shared" ca="1" si="87"/>
        <v>-2.3941707147813962E-2</v>
      </c>
      <c r="T266" s="4">
        <f t="shared" ca="1" si="94"/>
        <v>4.8192771084343278E-4</v>
      </c>
      <c r="U266" s="4">
        <f t="shared" ca="1" si="95"/>
        <v>-2.3842177444878154E-2</v>
      </c>
      <c r="V266" s="4">
        <f t="shared" ca="1" si="88"/>
        <v>-2.7397260273972601E-2</v>
      </c>
      <c r="W266" s="4">
        <f t="shared" ca="1" si="89"/>
        <v>-2.311435523114358E-2</v>
      </c>
      <c r="X266" s="4">
        <f t="shared" ca="1" si="90"/>
        <v>-2.4632352941176383E-2</v>
      </c>
      <c r="Y266" s="4">
        <f t="shared" ca="1" si="91"/>
        <v>-9.1646105040534831E-3</v>
      </c>
      <c r="Z266" s="4">
        <f t="shared" ca="1" si="92"/>
        <v>-4.3362241494330211E-3</v>
      </c>
      <c r="AA266" s="4">
        <f t="shared" ca="1" si="93"/>
        <v>-2.1292679853849195E-2</v>
      </c>
      <c r="AB266" s="4">
        <f t="shared" ca="1" si="96"/>
        <v>-1.4139556270835629E-2</v>
      </c>
      <c r="AC266" s="4">
        <f t="shared" ca="1" si="97"/>
        <v>-1.0152284263959421E-2</v>
      </c>
      <c r="AD266" s="4"/>
      <c r="AE266" s="2" cm="1">
        <f t="array" aca="1" ref="AE266" ca="1">SUMPRODUCT(Q266:AB266,TRANSPOSE(Insights.!$H$4:$H$15))</f>
        <v>-1.1100024551932593E-2</v>
      </c>
      <c r="AG266" s="10" vm="3925">
        <f ca="1"/>
        <v>46038</v>
      </c>
      <c r="AH266" s="1" vm="3935">
        <f ca="1"/>
        <v>113.66500000000001</v>
      </c>
      <c r="AI266" s="2">
        <f t="shared" ca="1" si="84"/>
        <v>-1.5396120177715189E-2</v>
      </c>
      <c r="AJ266" s="1" vm="3935">
        <f ca="1"/>
        <v>113.66500000000001</v>
      </c>
      <c r="AK266" s="2">
        <f t="shared" ca="1" si="98"/>
        <v>1.1129195442748374E-2</v>
      </c>
      <c r="AL266" s="1" vm="3936">
        <f ca="1"/>
        <v>60.78</v>
      </c>
      <c r="AM266" s="2">
        <f t="shared" ca="1" si="99"/>
        <v>-1.7604475156301369E-2</v>
      </c>
      <c r="AO266" s="9">
        <f t="shared" ca="1" si="100"/>
        <v>97.485729026595095</v>
      </c>
      <c r="AP266">
        <f t="shared" ca="1" si="101"/>
        <v>105.40152077151345</v>
      </c>
      <c r="AQ266">
        <f t="shared" ca="1" si="102"/>
        <v>107.94396961063644</v>
      </c>
      <c r="AR266">
        <f t="shared" ca="1" si="103"/>
        <v>123.92700581098998</v>
      </c>
      <c r="AT266" s="21">
        <f ca="1">MAX($AO$3:AO267)</f>
        <v>106.96839029133979</v>
      </c>
      <c r="AU266" s="2">
        <f t="shared" ca="1" si="104"/>
        <v>-8.8649191026598184E-2</v>
      </c>
    </row>
    <row r="267" spans="1:52" x14ac:dyDescent="0.25">
      <c r="A267" vm="3937">
        <f ca="1"/>
        <v>46041</v>
      </c>
      <c r="B267" vm="274">
        <f ca="1"/>
        <v>156.19999999999999</v>
      </c>
      <c r="C267" vm="3938">
        <f ca="1"/>
        <v>292.5</v>
      </c>
      <c r="D267" vm="3442">
        <f ca="1"/>
        <v>281.10000000000002</v>
      </c>
      <c r="E267" vm="3939">
        <f ca="1"/>
        <v>193.34</v>
      </c>
      <c r="F267" vm="3940">
        <f ca="1"/>
        <v>200.75</v>
      </c>
      <c r="G267" vm="3941">
        <f ca="1"/>
        <v>140.65</v>
      </c>
      <c r="H267" vm="3942">
        <f ca="1"/>
        <v>388.4</v>
      </c>
      <c r="I267" vm="3943">
        <f ca="1"/>
        <v>124.56</v>
      </c>
      <c r="J267" vm="3944">
        <f ca="1"/>
        <v>462.65</v>
      </c>
      <c r="K267" vm="2902">
        <f ca="1"/>
        <v>89</v>
      </c>
      <c r="L267" vm="3233">
        <f ca="1"/>
        <v>298.5</v>
      </c>
      <c r="M267" vm="2847">
        <f ca="1"/>
        <v>265.3</v>
      </c>
      <c r="N267" vm="3945">
        <f ca="1"/>
        <v>13.43</v>
      </c>
      <c r="O267" vm="3946">
        <f ca="1"/>
        <v>428.8</v>
      </c>
      <c r="Q267" s="4">
        <f t="shared" ca="1" si="85"/>
        <v>2.5316455696202445E-2</v>
      </c>
      <c r="R267" s="4">
        <f t="shared" ca="1" si="86"/>
        <v>-1.9033826419778688E-2</v>
      </c>
      <c r="S267" s="4">
        <f t="shared" ca="1" si="87"/>
        <v>-5.1546391752577359E-2</v>
      </c>
      <c r="T267" s="4">
        <f t="shared" ca="1" si="94"/>
        <v>1.9267822736031004E-3</v>
      </c>
      <c r="U267" s="4">
        <f t="shared" ca="1" si="95"/>
        <v>-2.7342483518858707E-2</v>
      </c>
      <c r="V267" s="4">
        <f t="shared" ca="1" si="88"/>
        <v>-2.688860435339302E-2</v>
      </c>
      <c r="W267" s="4">
        <f t="shared" ca="1" si="89"/>
        <v>-1.927770859277711E-2</v>
      </c>
      <c r="X267" s="4">
        <f t="shared" ca="1" si="90"/>
        <v>-2.6196758386731966E-2</v>
      </c>
      <c r="Y267" s="4">
        <f t="shared" ca="1" si="91"/>
        <v>-9.7829953753112431E-3</v>
      </c>
      <c r="Z267" s="4">
        <f t="shared" ca="1" si="92"/>
        <v>-3.500837520938016E-2</v>
      </c>
      <c r="AA267" s="4">
        <f t="shared" ca="1" si="93"/>
        <v>-2.059732234809375E-3</v>
      </c>
      <c r="AB267" s="4">
        <f t="shared" ca="1" si="96"/>
        <v>1.8773320895522305E-2</v>
      </c>
      <c r="AC267" s="4">
        <f t="shared" ca="1" si="97"/>
        <v>-4.1025641025640991E-2</v>
      </c>
      <c r="AD267" s="4"/>
      <c r="AE267" s="2" cm="1">
        <f t="array" aca="1" ref="AE267" ca="1">SUMPRODUCT(Q267:AB267,TRANSPOSE(Insights.!$H$4:$H$15))</f>
        <v>-1.4121738098664691E-2</v>
      </c>
      <c r="AG267" s="10" vm="3937">
        <f ca="1"/>
        <v>46041</v>
      </c>
      <c r="AH267" s="1" vm="3244">
        <f ca="1"/>
        <v>111.91500000000001</v>
      </c>
      <c r="AI267" s="2">
        <f t="shared" ca="1" si="84"/>
        <v>-1.5949604610642099E-2</v>
      </c>
      <c r="AJ267" s="1" vm="3947">
        <f ca="1"/>
        <v>114.93</v>
      </c>
      <c r="AK267" s="2">
        <f t="shared" ca="1" si="98"/>
        <v>-1.34864700252324E-3</v>
      </c>
      <c r="AL267" s="1" vm="3948">
        <f ca="1"/>
        <v>59.71</v>
      </c>
      <c r="AM267" s="2">
        <f t="shared" ca="1" si="99"/>
        <v>-7.5364260592866161E-3</v>
      </c>
      <c r="AO267" s="9">
        <f t="shared" ca="1" si="100"/>
        <v>96.403635040936848</v>
      </c>
      <c r="AP267">
        <f t="shared" ca="1" si="101"/>
        <v>103.77874629080128</v>
      </c>
      <c r="AQ267">
        <f t="shared" ca="1" si="102"/>
        <v>109.1452991452993</v>
      </c>
      <c r="AR267">
        <f t="shared" ca="1" si="103"/>
        <v>121.7453359159956</v>
      </c>
      <c r="AT267" s="21">
        <f ca="1">MAX($AO$3:AO268)</f>
        <v>106.96839029133979</v>
      </c>
      <c r="AU267" s="2">
        <f t="shared" ca="1" si="104"/>
        <v>-9.876520738162653E-2</v>
      </c>
    </row>
    <row r="268" spans="1:52" x14ac:dyDescent="0.25">
      <c r="A268" vm="3949">
        <f ca="1"/>
        <v>46042</v>
      </c>
      <c r="B268" vm="3950">
        <f ca="1"/>
        <v>152</v>
      </c>
      <c r="C268" vm="3904">
        <f ca="1"/>
        <v>280.5</v>
      </c>
      <c r="D268" vm="3951">
        <f ca="1"/>
        <v>278.35000000000002</v>
      </c>
      <c r="E268" vm="3952">
        <f ca="1"/>
        <v>189.66</v>
      </c>
      <c r="F268" vm="3953">
        <f ca="1"/>
        <v>196.88</v>
      </c>
      <c r="G268" vm="1231">
        <f ca="1"/>
        <v>133.4</v>
      </c>
      <c r="H268" vm="3954">
        <f ca="1"/>
        <v>387.6</v>
      </c>
      <c r="I268" vm="3955">
        <f ca="1"/>
        <v>124.8</v>
      </c>
      <c r="J268" vm="2223">
        <f ca="1"/>
        <v>450</v>
      </c>
      <c r="K268" vm="3956">
        <f ca="1"/>
        <v>84</v>
      </c>
      <c r="L268" vm="2867">
        <f ca="1"/>
        <v>288.05</v>
      </c>
      <c r="M268" vm="3957">
        <f ca="1"/>
        <v>258.35000000000002</v>
      </c>
      <c r="N268" vm="3958">
        <f ca="1"/>
        <v>13.77</v>
      </c>
      <c r="O268" vm="3959">
        <f ca="1"/>
        <v>436.85</v>
      </c>
      <c r="Q268" s="4">
        <f t="shared" ca="1" si="85"/>
        <v>0</v>
      </c>
      <c r="R268" s="4">
        <f t="shared" ca="1" si="86"/>
        <v>9.1743119266054496E-3</v>
      </c>
      <c r="S268" s="4">
        <f t="shared" ca="1" si="87"/>
        <v>8.9955022488754643E-3</v>
      </c>
      <c r="T268" s="4">
        <f t="shared" ca="1" si="94"/>
        <v>-6.4102564102563875E-3</v>
      </c>
      <c r="U268" s="4">
        <f t="shared" ca="1" si="95"/>
        <v>-6.7777777777777715E-3</v>
      </c>
      <c r="V268" s="4">
        <f t="shared" ca="1" si="88"/>
        <v>3.5263157894736885E-2</v>
      </c>
      <c r="W268" s="4">
        <f t="shared" ca="1" si="89"/>
        <v>5.0792360828930683E-3</v>
      </c>
      <c r="X268" s="4">
        <f t="shared" ca="1" si="90"/>
        <v>7.7414360363836643E-4</v>
      </c>
      <c r="Y268" s="4">
        <f t="shared" ca="1" si="91"/>
        <v>2.874079396443241E-3</v>
      </c>
      <c r="Z268" s="4">
        <f t="shared" ca="1" si="92"/>
        <v>-2.3607012671411298E-2</v>
      </c>
      <c r="AA268" s="4">
        <f t="shared" ca="1" si="93"/>
        <v>-2.0123839009287936E-2</v>
      </c>
      <c r="AB268" s="4">
        <f t="shared" ca="1" si="96"/>
        <v>-1.0301018656289296E-2</v>
      </c>
      <c r="AC268" s="4">
        <f t="shared" ca="1" si="97"/>
        <v>1.7825311942958333E-3</v>
      </c>
      <c r="AD268" s="4"/>
      <c r="AE268" s="2" cm="1">
        <f t="array" aca="1" ref="AE268" ca="1">SUMPRODUCT(Q268:AB268,TRANSPOSE(Insights.!$H$4:$H$15))</f>
        <v>-1.208124045045876E-3</v>
      </c>
      <c r="AG268" s="10" vm="3949">
        <f ca="1"/>
        <v>46042</v>
      </c>
      <c r="AH268" s="1" vm="3960">
        <f ca="1"/>
        <v>110.13</v>
      </c>
      <c r="AI268" s="2">
        <f t="shared" ca="1" si="84"/>
        <v>1.7297739035685211E-2</v>
      </c>
      <c r="AJ268" s="1" vm="3961">
        <f ca="1"/>
        <v>114.77500000000001</v>
      </c>
      <c r="AK268" s="2">
        <f t="shared" ca="1" si="98"/>
        <v>-1.4419516445218883E-2</v>
      </c>
      <c r="AL268" s="1" vm="3962">
        <f ca="1"/>
        <v>59.26</v>
      </c>
      <c r="AM268" s="2">
        <f t="shared" ca="1" si="99"/>
        <v>-2.6999662504217925E-3</v>
      </c>
      <c r="AO268" s="9">
        <f t="shared" ca="1" si="100"/>
        <v>95.042248155129485</v>
      </c>
      <c r="AP268">
        <f t="shared" ca="1" si="101"/>
        <v>102.12351632047486</v>
      </c>
      <c r="AQ268">
        <f t="shared" ca="1" si="102"/>
        <v>108.99810066476749</v>
      </c>
      <c r="AR268">
        <f t="shared" ca="1" si="103"/>
        <v>120.82781119380168</v>
      </c>
      <c r="AT268" s="21">
        <f ca="1">MAX($AO$3:AO269)</f>
        <v>106.96839029133979</v>
      </c>
      <c r="AU268" s="2">
        <f t="shared" ca="1" si="104"/>
        <v>-0.11149220908838753</v>
      </c>
    </row>
    <row r="269" spans="1:52" x14ac:dyDescent="0.25">
      <c r="A269" vm="3963">
        <f ca="1"/>
        <v>46043</v>
      </c>
      <c r="B269" vm="3577">
        <f ca="1"/>
        <v>157.36000000000001</v>
      </c>
      <c r="C269" vm="3964">
        <f ca="1"/>
        <v>281</v>
      </c>
      <c r="D269" vm="3965">
        <f ca="1"/>
        <v>279.14999999999998</v>
      </c>
      <c r="E269" vm="3966">
        <f ca="1"/>
        <v>191.4</v>
      </c>
      <c r="F269" vm="3967">
        <f ca="1"/>
        <v>197.88</v>
      </c>
      <c r="G269" vm="1099">
        <f ca="1"/>
        <v>134.6</v>
      </c>
      <c r="H269" vm="3968">
        <f ca="1"/>
        <v>379.8</v>
      </c>
      <c r="I269" vm="3969">
        <f ca="1"/>
        <v>124</v>
      </c>
      <c r="J269" vm="3970">
        <f ca="1"/>
        <v>446.95</v>
      </c>
      <c r="K269" vm="3555">
        <f ca="1"/>
        <v>85</v>
      </c>
      <c r="L269" vm="3971">
        <f ca="1"/>
        <v>281.25</v>
      </c>
      <c r="M269" vm="3972">
        <f ca="1"/>
        <v>258.55</v>
      </c>
      <c r="N269" vm="3958">
        <f ca="1"/>
        <v>13.77</v>
      </c>
      <c r="O269" vm="3375">
        <f ca="1"/>
        <v>432.35</v>
      </c>
      <c r="Q269" s="4">
        <f t="shared" ca="1" si="85"/>
        <v>1.0167029774873049E-2</v>
      </c>
      <c r="R269" s="4">
        <f t="shared" ca="1" si="86"/>
        <v>9.6133751306164417E-3</v>
      </c>
      <c r="S269" s="4">
        <f t="shared" ca="1" si="87"/>
        <v>2.377414561664204E-2</v>
      </c>
      <c r="T269" s="4">
        <f t="shared" ca="1" si="94"/>
        <v>3.3870967741935321E-2</v>
      </c>
      <c r="U269" s="4">
        <f t="shared" ca="1" si="95"/>
        <v>1.0627586978409154E-2</v>
      </c>
      <c r="V269" s="4">
        <f t="shared" ca="1" si="88"/>
        <v>-3.8129130655822907E-3</v>
      </c>
      <c r="W269" s="4">
        <f t="shared" ca="1" si="89"/>
        <v>7.3782090155649627E-3</v>
      </c>
      <c r="X269" s="4">
        <f t="shared" ca="1" si="90"/>
        <v>-1.9338619222587505E-3</v>
      </c>
      <c r="Y269" s="4">
        <f t="shared" ca="1" si="91"/>
        <v>-7.7019523553644165E-3</v>
      </c>
      <c r="Z269" s="4">
        <f t="shared" ca="1" si="92"/>
        <v>1.6000000000000458E-3</v>
      </c>
      <c r="AA269" s="4">
        <f t="shared" ca="1" si="93"/>
        <v>9.7419694576093008E-3</v>
      </c>
      <c r="AB269" s="4">
        <f t="shared" ca="1" si="96"/>
        <v>-2.5211055857522924E-2</v>
      </c>
      <c r="AC269" s="4">
        <f t="shared" ca="1" si="97"/>
        <v>1.779359430605032E-3</v>
      </c>
      <c r="AD269" s="4"/>
      <c r="AE269" s="2" cm="1">
        <f t="array" aca="1" ref="AE269" ca="1">SUMPRODUCT(Q269:AB269,TRANSPOSE(Insights.!$H$4:$H$15))</f>
        <v>4.3218218603791663E-3</v>
      </c>
      <c r="AG269" s="10" vm="3963">
        <f ca="1"/>
        <v>46043</v>
      </c>
      <c r="AH269" s="1" vm="3973">
        <f ca="1"/>
        <v>112.035</v>
      </c>
      <c r="AI269" s="2">
        <f t="shared" ca="1" si="84"/>
        <v>-1.6512696925068404E-3</v>
      </c>
      <c r="AJ269" s="1" vm="3860">
        <f ca="1"/>
        <v>113.12</v>
      </c>
      <c r="AK269" s="2">
        <f t="shared" ca="1" si="98"/>
        <v>-8.2213578500708318E-3</v>
      </c>
      <c r="AL269" s="1" vm="3974">
        <f ca="1"/>
        <v>59.1</v>
      </c>
      <c r="AM269" s="2">
        <f t="shared" ca="1" si="99"/>
        <v>1.624365482233503E-2</v>
      </c>
      <c r="AO269" s="9">
        <f t="shared" ca="1" si="100"/>
        <v>94.927425329838059</v>
      </c>
      <c r="AP269">
        <f t="shared" ca="1" si="101"/>
        <v>103.89002225519297</v>
      </c>
      <c r="AQ269">
        <f t="shared" ca="1" si="102"/>
        <v>107.42640075973425</v>
      </c>
      <c r="AR269">
        <f t="shared" ca="1" si="103"/>
        <v>120.50158018146608</v>
      </c>
      <c r="AT269" s="21">
        <f ca="1">MAX($AO$3:AO270)</f>
        <v>106.96839029133979</v>
      </c>
      <c r="AU269" s="2">
        <f t="shared" ca="1" si="104"/>
        <v>-0.11256563671479847</v>
      </c>
    </row>
    <row r="270" spans="1:52" x14ac:dyDescent="0.25">
      <c r="A270" vm="3975">
        <f ca="1"/>
        <v>46044</v>
      </c>
      <c r="B270" vm="3976">
        <f ca="1"/>
        <v>156.76</v>
      </c>
      <c r="C270" vm="3977">
        <f ca="1"/>
        <v>281.5</v>
      </c>
      <c r="D270" vm="3978">
        <f ca="1"/>
        <v>277</v>
      </c>
      <c r="E270" vm="3979">
        <f ca="1"/>
        <v>193.24</v>
      </c>
      <c r="F270" vm="3980">
        <f ca="1"/>
        <v>199.34</v>
      </c>
      <c r="G270" vm="3787">
        <f ca="1"/>
        <v>137.80000000000001</v>
      </c>
      <c r="H270" vm="3981">
        <f ca="1"/>
        <v>383.5</v>
      </c>
      <c r="I270" vm="3982">
        <f ca="1"/>
        <v>128.19999999999999</v>
      </c>
      <c r="J270" vm="3983">
        <f ca="1"/>
        <v>451.7</v>
      </c>
      <c r="K270" vm="3555">
        <f ca="1"/>
        <v>85</v>
      </c>
      <c r="L270" vm="3010">
        <f ca="1"/>
        <v>281.7</v>
      </c>
      <c r="M270" vm="3984">
        <f ca="1"/>
        <v>258.05</v>
      </c>
      <c r="N270" vm="3985">
        <f ca="1"/>
        <v>13.91</v>
      </c>
      <c r="O270" vm="3986">
        <f ca="1"/>
        <v>421.45</v>
      </c>
      <c r="Q270" s="4">
        <f t="shared" ca="1" si="85"/>
        <v>2.8756290438531895E-3</v>
      </c>
      <c r="R270" s="4">
        <f t="shared" ca="1" si="86"/>
        <v>-1.5524736079487456E-3</v>
      </c>
      <c r="S270" s="4">
        <f t="shared" ca="1" si="87"/>
        <v>-1.1973875181422344E-2</v>
      </c>
      <c r="T270" s="4">
        <f t="shared" ca="1" si="94"/>
        <v>-2.9641185647425461E-3</v>
      </c>
      <c r="U270" s="4">
        <f t="shared" ca="1" si="95"/>
        <v>8.523356209873878E-3</v>
      </c>
      <c r="V270" s="4">
        <f t="shared" ca="1" si="88"/>
        <v>1.1482521051288774E-2</v>
      </c>
      <c r="W270" s="4">
        <f t="shared" ca="1" si="89"/>
        <v>1.4849001705628639E-2</v>
      </c>
      <c r="X270" s="4">
        <f t="shared" ref="X270:X311" ca="1" si="105">M271/M270-1</f>
        <v>-2.3445068785119205E-2</v>
      </c>
      <c r="Y270" s="4">
        <f t="shared" ca="1" si="91"/>
        <v>1.6245487364621169E-3</v>
      </c>
      <c r="Z270" s="4">
        <f t="shared" ref="Z270:Z311" ca="1" si="106">L271/L270-1</f>
        <v>-3.2658856940007031E-2</v>
      </c>
      <c r="AA270" s="4">
        <f t="shared" ca="1" si="93"/>
        <v>2.9204693611473154E-2</v>
      </c>
      <c r="AB270" s="4">
        <f t="shared" ca="1" si="96"/>
        <v>3.6896428995135899E-2</v>
      </c>
      <c r="AC270" s="4">
        <f t="shared" ca="1" si="97"/>
        <v>5.3285968028418118E-3</v>
      </c>
      <c r="AD270" s="4"/>
      <c r="AE270" s="2" cm="1">
        <f t="array" aca="1" ref="AE270" ca="1">SUMPRODUCT(Q270:AB270,TRANSPOSE(Insights.!$H$4:$H$15))</f>
        <v>1.0452923835566814E-3</v>
      </c>
      <c r="AG270" s="10" vm="3975">
        <f ca="1"/>
        <v>46044</v>
      </c>
      <c r="AH270" s="1" vm="3634">
        <f ca="1"/>
        <v>111.85</v>
      </c>
      <c r="AI270" s="2">
        <f t="shared" ca="1" si="84"/>
        <v>-6.5265981224853498E-3</v>
      </c>
      <c r="AJ270" s="1" vm="3987">
        <f ca="1"/>
        <v>112.19</v>
      </c>
      <c r="AK270" s="2">
        <f t="shared" ca="1" si="98"/>
        <v>8.9134503966503686E-4</v>
      </c>
      <c r="AL270" s="1" vm="3988">
        <f ca="1"/>
        <v>60.06</v>
      </c>
      <c r="AM270" s="2">
        <f t="shared" ca="1" si="99"/>
        <v>-1.4985014985015033E-3</v>
      </c>
      <c r="AO270" s="9">
        <f t="shared" ca="1" si="100"/>
        <v>95.337684751778056</v>
      </c>
      <c r="AP270">
        <f t="shared" ca="1" si="101"/>
        <v>103.71847181008911</v>
      </c>
      <c r="AQ270">
        <f t="shared" ca="1" si="102"/>
        <v>106.54320987654336</v>
      </c>
      <c r="AR270">
        <f t="shared" ca="1" si="103"/>
        <v>122.45896625547975</v>
      </c>
      <c r="AT270" s="21">
        <f ca="1">MAX($AO$3:AO271)</f>
        <v>106.96839029133979</v>
      </c>
      <c r="AU270" s="2">
        <f t="shared" ca="1" si="104"/>
        <v>-0.10873030348390089</v>
      </c>
    </row>
    <row r="271" spans="1:52" x14ac:dyDescent="0.25">
      <c r="A271" vm="3989">
        <f ca="1"/>
        <v>46045</v>
      </c>
      <c r="B271" vm="3990">
        <f ca="1"/>
        <v>158.56</v>
      </c>
      <c r="C271" vm="3991">
        <f ca="1"/>
        <v>283</v>
      </c>
      <c r="D271" vm="3992">
        <f ca="1"/>
        <v>277.45</v>
      </c>
      <c r="E271" vm="3993">
        <f ca="1"/>
        <v>192.94</v>
      </c>
      <c r="F271" vm="3994">
        <f ca="1"/>
        <v>202.3</v>
      </c>
      <c r="G271" vm="3995">
        <f ca="1"/>
        <v>136.15</v>
      </c>
      <c r="H271" vm="3996">
        <f ca="1"/>
        <v>394.7</v>
      </c>
      <c r="I271" vm="3107">
        <f ca="1"/>
        <v>127.82</v>
      </c>
      <c r="J271" vm="3997">
        <f ca="1"/>
        <v>455.55</v>
      </c>
      <c r="K271" vm="3629">
        <f ca="1"/>
        <v>84.5</v>
      </c>
      <c r="L271" vm="3998">
        <f ca="1"/>
        <v>272.5</v>
      </c>
      <c r="M271" vm="3999">
        <f ca="1"/>
        <v>252</v>
      </c>
      <c r="N271" vm="4000">
        <f ca="1"/>
        <v>13.95</v>
      </c>
      <c r="O271" vm="4001">
        <f ca="1"/>
        <v>437</v>
      </c>
      <c r="Q271" s="4">
        <f t="shared" ca="1" si="85"/>
        <v>-3.7634408602150393E-2</v>
      </c>
      <c r="R271" s="4">
        <f t="shared" ca="1" si="86"/>
        <v>6.1158909505545367E-3</v>
      </c>
      <c r="S271" s="4">
        <f t="shared" ca="1" si="87"/>
        <v>-1.4689680499450075E-3</v>
      </c>
      <c r="T271" s="4">
        <f t="shared" ca="1" si="94"/>
        <v>-1.5177593490846464E-2</v>
      </c>
      <c r="U271" s="4">
        <f t="shared" ca="1" si="95"/>
        <v>4.390297442651292E-4</v>
      </c>
      <c r="V271" s="4">
        <f t="shared" ca="1" si="88"/>
        <v>-1.1604439959636781E-2</v>
      </c>
      <c r="W271" s="4">
        <f t="shared" ca="1" si="89"/>
        <v>-5.1903114186852006E-3</v>
      </c>
      <c r="X271" s="4">
        <f t="shared" ca="1" si="105"/>
        <v>2.9761904761904656E-3</v>
      </c>
      <c r="Y271" s="4">
        <f t="shared" ca="1" si="91"/>
        <v>-1.0272121102901322E-2</v>
      </c>
      <c r="Z271" s="4">
        <f t="shared" ca="1" si="106"/>
        <v>4.7706422018349848E-3</v>
      </c>
      <c r="AA271" s="4">
        <f t="shared" ca="1" si="93"/>
        <v>7.9807448695212724E-3</v>
      </c>
      <c r="AB271" s="4">
        <f t="shared" ca="1" si="96"/>
        <v>-7.551487414187652E-3</v>
      </c>
      <c r="AC271" s="4">
        <f t="shared" ca="1" si="97"/>
        <v>-1.7667844522968323E-3</v>
      </c>
      <c r="AD271" s="4"/>
      <c r="AE271" s="2" cm="1">
        <f t="array" aca="1" ref="AE271" ca="1">SUMPRODUCT(Q271:AB271,TRANSPOSE(Insights.!$H$4:$H$15))</f>
        <v>-3.5096291222934976E-3</v>
      </c>
      <c r="AG271" s="10" vm="3989">
        <f ca="1"/>
        <v>46045</v>
      </c>
      <c r="AH271" s="1" vm="565">
        <f ca="1"/>
        <v>111.12</v>
      </c>
      <c r="AI271" s="2">
        <f t="shared" ca="1" si="84"/>
        <v>-1.1699064074874865E-3</v>
      </c>
      <c r="AJ271" s="1" vm="4002">
        <f ca="1"/>
        <v>112.29</v>
      </c>
      <c r="AK271" s="2">
        <f t="shared" ca="1" si="98"/>
        <v>6.3674414462551177E-3</v>
      </c>
      <c r="AL271" s="1" vm="4003">
        <f ca="1"/>
        <v>59.97</v>
      </c>
      <c r="AM271" s="2">
        <f t="shared" ca="1" si="99"/>
        <v>3.8352509588128747E-3</v>
      </c>
      <c r="AO271" s="9">
        <f t="shared" ca="1" si="100"/>
        <v>95.437340507515017</v>
      </c>
      <c r="AP271">
        <f t="shared" ca="1" si="101"/>
        <v>103.04154302670634</v>
      </c>
      <c r="AQ271">
        <f t="shared" ca="1" si="102"/>
        <v>106.6381766381768</v>
      </c>
      <c r="AR271">
        <f t="shared" ca="1" si="103"/>
        <v>122.27546131104097</v>
      </c>
      <c r="AT271" s="21">
        <f ca="1">MAX($AO$3:AO272)</f>
        <v>106.96839029133979</v>
      </c>
      <c r="AU271" s="2">
        <f t="shared" ca="1" si="104"/>
        <v>-0.10779866605843769</v>
      </c>
    </row>
    <row r="272" spans="1:52" x14ac:dyDescent="0.25">
      <c r="A272" vm="4004">
        <f ca="1"/>
        <v>46048</v>
      </c>
      <c r="B272" vm="4005">
        <f ca="1"/>
        <v>156.72</v>
      </c>
      <c r="C272" vm="4006">
        <f ca="1"/>
        <v>282.5</v>
      </c>
      <c r="D272" vm="4007">
        <f ca="1"/>
        <v>274.60000000000002</v>
      </c>
      <c r="E272" vm="4008">
        <f ca="1"/>
        <v>194.12</v>
      </c>
      <c r="F272" vm="4009">
        <f ca="1"/>
        <v>201.25</v>
      </c>
      <c r="G272" vm="4010">
        <f ca="1"/>
        <v>135.94999999999999</v>
      </c>
      <c r="H272" vm="4011">
        <f ca="1"/>
        <v>397.85</v>
      </c>
      <c r="I272" vm="3402">
        <f ca="1"/>
        <v>125.88</v>
      </c>
      <c r="J272" vm="4012">
        <f ca="1"/>
        <v>455.75</v>
      </c>
      <c r="K272" vm="2762">
        <f ca="1"/>
        <v>75.5</v>
      </c>
      <c r="L272" vm="4013">
        <f ca="1"/>
        <v>273.8</v>
      </c>
      <c r="M272" vm="2628">
        <f ca="1"/>
        <v>252.75</v>
      </c>
      <c r="N272" vm="4014">
        <f ca="1"/>
        <v>13.425000000000001</v>
      </c>
      <c r="O272" vm="4015">
        <f ca="1"/>
        <v>433.7</v>
      </c>
      <c r="Q272" s="4">
        <f t="shared" ca="1" si="85"/>
        <v>-8.566108007448836E-3</v>
      </c>
      <c r="R272" s="4">
        <f t="shared" ca="1" si="86"/>
        <v>-2.0914898001236359E-2</v>
      </c>
      <c r="S272" s="4">
        <f t="shared" ca="1" si="87"/>
        <v>-1.140125045972773E-2</v>
      </c>
      <c r="T272" s="4">
        <f t="shared" ca="1" si="94"/>
        <v>-1.0962821734985639E-2</v>
      </c>
      <c r="U272" s="4">
        <f t="shared" ca="1" si="95"/>
        <v>-4.9040043883708195E-2</v>
      </c>
      <c r="V272" s="4">
        <f t="shared" ca="1" si="88"/>
        <v>6.38080653394546E-4</v>
      </c>
      <c r="W272" s="4">
        <f t="shared" ca="1" si="89"/>
        <v>1.2919254658385171E-2</v>
      </c>
      <c r="X272" s="4">
        <f t="shared" ca="1" si="105"/>
        <v>-1.285855588526208E-2</v>
      </c>
      <c r="Y272" s="4">
        <f t="shared" ca="1" si="91"/>
        <v>-1.6751638747268816E-2</v>
      </c>
      <c r="Z272" s="4">
        <f t="shared" ca="1" si="106"/>
        <v>1.2417823228634051E-2</v>
      </c>
      <c r="AA272" s="4">
        <f t="shared" ca="1" si="93"/>
        <v>3.0162121402539377E-3</v>
      </c>
      <c r="AB272" s="4">
        <f t="shared" ca="1" si="96"/>
        <v>-1.187456767350703E-2</v>
      </c>
      <c r="AC272" s="4">
        <f t="shared" ca="1" si="97"/>
        <v>-5.3097345132743223E-3</v>
      </c>
      <c r="AD272" s="4"/>
      <c r="AE272" s="2" cm="1">
        <f t="array" aca="1" ref="AE272" ca="1">SUMPRODUCT(Q272:AB272,TRANSPOSE(Insights.!$H$4:$H$15))</f>
        <v>-1.0346235820278833E-2</v>
      </c>
      <c r="AG272" vm="4004">
        <f ca="1"/>
        <v>46048</v>
      </c>
      <c r="AH272" s="1" vm="3561">
        <f ca="1"/>
        <v>110.99</v>
      </c>
      <c r="AI272" s="2">
        <f t="shared" ca="1" si="84"/>
        <v>-3.964321110009883E-3</v>
      </c>
      <c r="AJ272" s="1" vm="4016">
        <f ca="1"/>
        <v>113.005</v>
      </c>
      <c r="AK272" s="2">
        <f t="shared" ca="1" si="98"/>
        <v>-1.991062342374228E-3</v>
      </c>
      <c r="AL272" s="1" vm="4017">
        <f ca="1"/>
        <v>60.2</v>
      </c>
      <c r="AM272" s="2">
        <f t="shared" ca="1" si="99"/>
        <v>3.4883720930232176E-3</v>
      </c>
      <c r="AO272" s="9">
        <f t="shared" ca="1" si="100"/>
        <v>95.102390837915607</v>
      </c>
      <c r="AP272">
        <f t="shared" ca="1" si="101"/>
        <v>102.92099406528199</v>
      </c>
      <c r="AQ272">
        <f t="shared" ca="1" si="102"/>
        <v>107.3171889838558</v>
      </c>
      <c r="AR272">
        <f t="shared" ca="1" si="103"/>
        <v>122.74441839127343</v>
      </c>
      <c r="AT272" s="21">
        <f ca="1">MAX($AO$3:AO273)</f>
        <v>106.96839029133979</v>
      </c>
      <c r="AU272" s="2">
        <f t="shared" ca="1" si="104"/>
        <v>-0.11092996184298809</v>
      </c>
      <c r="AZ272" s="2"/>
    </row>
    <row r="273" spans="1:52" x14ac:dyDescent="0.25">
      <c r="A273" vm="4018">
        <f ca="1"/>
        <v>46049</v>
      </c>
      <c r="B273" vm="4019">
        <f ca="1"/>
        <v>156.82</v>
      </c>
      <c r="C273" vm="3964">
        <f ca="1"/>
        <v>281</v>
      </c>
      <c r="D273" vm="3530">
        <f ca="1"/>
        <v>270</v>
      </c>
      <c r="E273" vm="4020">
        <f ca="1"/>
        <v>190.06</v>
      </c>
      <c r="F273" vm="1563">
        <f ca="1"/>
        <v>203.85</v>
      </c>
      <c r="G273" vm="4021">
        <f ca="1"/>
        <v>134.4</v>
      </c>
      <c r="H273" vm="4022">
        <f ca="1"/>
        <v>399.05</v>
      </c>
      <c r="I273" vm="3929">
        <f ca="1"/>
        <v>124.5</v>
      </c>
      <c r="J273" vm="4023">
        <f ca="1"/>
        <v>433.4</v>
      </c>
      <c r="K273" vm="2735">
        <f ca="1"/>
        <v>80.5</v>
      </c>
      <c r="L273" vm="4024">
        <f ca="1"/>
        <v>277.2</v>
      </c>
      <c r="M273" vm="2508">
        <f ca="1"/>
        <v>249.5</v>
      </c>
      <c r="N273" vm="4025">
        <f ca="1"/>
        <v>13.31</v>
      </c>
      <c r="O273" vm="4026">
        <f ca="1"/>
        <v>428.55</v>
      </c>
      <c r="Q273" s="4">
        <f t="shared" ref="Q273:Q311" ca="1" si="107">N274/N273-1</f>
        <v>4.8835462058602896E-3</v>
      </c>
      <c r="R273" s="4">
        <f t="shared" ref="R273:R311" ca="1" si="108">E274/E273-1</f>
        <v>7.5765547721771132E-3</v>
      </c>
      <c r="S273" s="4">
        <f t="shared" ca="1" si="87"/>
        <v>1.0416666666666741E-2</v>
      </c>
      <c r="T273" s="4">
        <f t="shared" ca="1" si="94"/>
        <v>-1.2048192771084376E-2</v>
      </c>
      <c r="U273" s="4">
        <f t="shared" ca="1" si="95"/>
        <v>5.7683433317956556E-4</v>
      </c>
      <c r="V273" s="4">
        <f t="shared" ref="V273:V311" ca="1" si="109">B274/B273-1</f>
        <v>2.2701186073204926E-2</v>
      </c>
      <c r="W273" s="4">
        <f t="shared" ref="W273:W311" ca="1" si="110">F274/F273-1</f>
        <v>7.3583517292119538E-4</v>
      </c>
      <c r="X273" s="4">
        <f t="shared" ca="1" si="105"/>
        <v>1.0220440881763659E-2</v>
      </c>
      <c r="Y273" s="4">
        <f t="shared" ca="1" si="91"/>
        <v>1.5370370370370257E-2</v>
      </c>
      <c r="Z273" s="4">
        <f t="shared" ca="1" si="106"/>
        <v>-6.8542568542567794E-3</v>
      </c>
      <c r="AA273" s="4">
        <f t="shared" ca="1" si="93"/>
        <v>1.127678235810059E-2</v>
      </c>
      <c r="AB273" s="4">
        <f t="shared" ca="1" si="96"/>
        <v>9.3338000233345042E-4</v>
      </c>
      <c r="AC273" s="4">
        <f t="shared" ca="1" si="97"/>
        <v>2.4911032028469782E-2</v>
      </c>
      <c r="AD273" s="4"/>
      <c r="AE273" s="2" cm="1">
        <f t="array" aca="1" ref="AE273" ca="1">SUMPRODUCT(Q273:AB273,TRANSPOSE(Insights.!$H$4:$H$15))</f>
        <v>5.0960768832309742E-3</v>
      </c>
      <c r="AG273" vm="4018">
        <f ca="1"/>
        <v>46049</v>
      </c>
      <c r="AH273" s="1" vm="4027">
        <f ca="1"/>
        <v>110.55</v>
      </c>
      <c r="AI273" s="2">
        <f t="shared" ca="1" si="84"/>
        <v>4.1610131162370667E-3</v>
      </c>
      <c r="AJ273" s="1" vm="4028">
        <f ca="1"/>
        <v>112.78</v>
      </c>
      <c r="AK273" s="2">
        <f t="shared" ca="1" si="98"/>
        <v>-3.546728143287825E-3</v>
      </c>
      <c r="AL273" s="1" vm="4029">
        <f ca="1"/>
        <v>60.41</v>
      </c>
      <c r="AM273" s="2">
        <f t="shared" ca="1" si="99"/>
        <v>-8.6078463830491225E-3</v>
      </c>
      <c r="AO273" s="9">
        <f t="shared" ca="1" si="100"/>
        <v>94.118439075234207</v>
      </c>
      <c r="AP273">
        <f t="shared" ca="1" si="101"/>
        <v>102.51298219584579</v>
      </c>
      <c r="AQ273">
        <f t="shared" ca="1" si="102"/>
        <v>107.10351377018058</v>
      </c>
      <c r="AR273">
        <f t="shared" ca="1" si="103"/>
        <v>123.17259659496391</v>
      </c>
      <c r="AT273" s="21">
        <f ca="1">MAX($AO$3:AO274)</f>
        <v>106.96839029133979</v>
      </c>
      <c r="AU273" s="2">
        <f t="shared" ca="1" si="104"/>
        <v>-0.12012849011850479</v>
      </c>
      <c r="AZ273" s="2"/>
    </row>
    <row r="274" spans="1:52" x14ac:dyDescent="0.25">
      <c r="A274" vm="4030">
        <f ca="1"/>
        <v>46050</v>
      </c>
      <c r="B274" vm="4031">
        <f ca="1"/>
        <v>160.38</v>
      </c>
      <c r="C274" vm="3523">
        <f ca="1"/>
        <v>288</v>
      </c>
      <c r="D274" vm="4032">
        <f ca="1"/>
        <v>274.14999999999998</v>
      </c>
      <c r="E274" vm="3145">
        <f ca="1"/>
        <v>191.5</v>
      </c>
      <c r="F274" vm="2157">
        <f ca="1"/>
        <v>204</v>
      </c>
      <c r="G274" vm="4033">
        <f ca="1"/>
        <v>135.80000000000001</v>
      </c>
      <c r="H274" vm="4034">
        <f ca="1"/>
        <v>403.55</v>
      </c>
      <c r="I274" vm="1370">
        <f ca="1"/>
        <v>123</v>
      </c>
      <c r="J274" vm="4035">
        <f ca="1"/>
        <v>433.65</v>
      </c>
      <c r="K274" vm="3581">
        <f ca="1"/>
        <v>86</v>
      </c>
      <c r="L274" vm="4036">
        <f ca="1"/>
        <v>275.3</v>
      </c>
      <c r="M274" vm="4037">
        <f ca="1"/>
        <v>252.05</v>
      </c>
      <c r="N274" vm="4038">
        <f ca="1"/>
        <v>13.375</v>
      </c>
      <c r="O274" vm="3569">
        <f ca="1"/>
        <v>428.95</v>
      </c>
      <c r="Q274" s="4">
        <f t="shared" ca="1" si="107"/>
        <v>1.6074766355140158E-2</v>
      </c>
      <c r="R274" s="4">
        <f t="shared" ca="1" si="108"/>
        <v>-7.0496083550913857E-2</v>
      </c>
      <c r="S274" s="4">
        <f t="shared" ca="1" si="87"/>
        <v>-1.1413843888070763E-2</v>
      </c>
      <c r="T274" s="4">
        <f t="shared" ca="1" si="94"/>
        <v>1.8373983739837341E-2</v>
      </c>
      <c r="U274" s="4">
        <f t="shared" ca="1" si="95"/>
        <v>1.6142050040355072E-2</v>
      </c>
      <c r="V274" s="4">
        <f t="shared" ca="1" si="109"/>
        <v>3.8658186806335149E-3</v>
      </c>
      <c r="W274" s="4">
        <f t="shared" ca="1" si="110"/>
        <v>-1.6911764705882293E-2</v>
      </c>
      <c r="X274" s="4">
        <f t="shared" ca="1" si="105"/>
        <v>1.0315413608410928E-2</v>
      </c>
      <c r="Y274" s="4">
        <f t="shared" ca="1" si="91"/>
        <v>7.4776582163049721E-3</v>
      </c>
      <c r="Z274" s="4">
        <f t="shared" ca="1" si="106"/>
        <v>-1.2895023610606682E-2</v>
      </c>
      <c r="AA274" s="4">
        <f t="shared" ca="1" si="93"/>
        <v>-0.10382852186841784</v>
      </c>
      <c r="AB274" s="4">
        <f t="shared" ca="1" si="96"/>
        <v>-2.8091852197225764E-2</v>
      </c>
      <c r="AC274" s="4">
        <f t="shared" ca="1" si="97"/>
        <v>-1.909722222222221E-2</v>
      </c>
      <c r="AD274" s="4"/>
      <c r="AE274" s="2" cm="1">
        <f t="array" aca="1" ref="AE274" ca="1">SUMPRODUCT(Q274:AB274,TRANSPOSE(Insights.!$H$4:$H$15))</f>
        <v>-1.5064743473410228E-2</v>
      </c>
      <c r="AG274" vm="4030">
        <f ca="1"/>
        <v>46050</v>
      </c>
      <c r="AH274" s="1" vm="4039">
        <f ca="1"/>
        <v>111.01</v>
      </c>
      <c r="AI274" s="2">
        <f t="shared" ca="1" si="84"/>
        <v>-1.0449509053238493E-2</v>
      </c>
      <c r="AJ274" s="1" vm="4040">
        <f ca="1"/>
        <v>112.38</v>
      </c>
      <c r="AK274" s="2">
        <f t="shared" ca="1" si="98"/>
        <v>-1.6017084890549427E-3</v>
      </c>
      <c r="AL274" s="1" vm="4041">
        <f ca="1"/>
        <v>59.89</v>
      </c>
      <c r="AM274" s="2">
        <f t="shared" ca="1" si="99"/>
        <v>-1.1688094840540675E-3</v>
      </c>
      <c r="AO274" s="9">
        <f t="shared" ca="1" si="100"/>
        <v>94.598073876891277</v>
      </c>
      <c r="AP274">
        <f t="shared" ca="1" si="101"/>
        <v>102.93954005934728</v>
      </c>
      <c r="AQ274">
        <f t="shared" ca="1" si="102"/>
        <v>106.72364672364687</v>
      </c>
      <c r="AR274">
        <f t="shared" ca="1" si="103"/>
        <v>122.11234580487317</v>
      </c>
      <c r="AT274" s="21">
        <f ca="1">MAX($AO$3:AO275)</f>
        <v>106.96839029133979</v>
      </c>
      <c r="AU274" s="2">
        <f t="shared" ca="1" si="104"/>
        <v>-0.11564459725678433</v>
      </c>
      <c r="AZ274" s="2"/>
    </row>
    <row r="275" spans="1:52" x14ac:dyDescent="0.25">
      <c r="A275" vm="4042">
        <f ca="1"/>
        <v>46051</v>
      </c>
      <c r="B275" vm="3397">
        <f ca="1"/>
        <v>161</v>
      </c>
      <c r="C275" vm="4006">
        <f ca="1"/>
        <v>282.5</v>
      </c>
      <c r="D275" vm="4043">
        <f ca="1"/>
        <v>276.2</v>
      </c>
      <c r="E275" vm="2804">
        <f ca="1"/>
        <v>178</v>
      </c>
      <c r="F275" vm="4044">
        <f ca="1"/>
        <v>200.55</v>
      </c>
      <c r="G275" vm="4045">
        <f ca="1"/>
        <v>134.25</v>
      </c>
      <c r="H275" vm="4046">
        <f ca="1"/>
        <v>361.65</v>
      </c>
      <c r="I275" vm="4047">
        <f ca="1"/>
        <v>125.26</v>
      </c>
      <c r="J275" vm="2930">
        <f ca="1"/>
        <v>440.65</v>
      </c>
      <c r="K275" vm="3164">
        <f ca="1"/>
        <v>81</v>
      </c>
      <c r="L275" vm="4048">
        <f ca="1"/>
        <v>271.75</v>
      </c>
      <c r="M275" vm="4049">
        <f ca="1"/>
        <v>254.65</v>
      </c>
      <c r="N275" vm="4050">
        <f ca="1"/>
        <v>13.59</v>
      </c>
      <c r="O275" vm="4051">
        <f ca="1"/>
        <v>416.9</v>
      </c>
      <c r="Q275" s="4">
        <f t="shared" ca="1" si="107"/>
        <v>1.4716703458423908E-3</v>
      </c>
      <c r="R275" s="4">
        <f t="shared" ca="1" si="108"/>
        <v>7.0786516853931225E-3</v>
      </c>
      <c r="S275" s="4">
        <f t="shared" ca="1" si="87"/>
        <v>-7.4487895716945918E-3</v>
      </c>
      <c r="T275" s="4">
        <f t="shared" ca="1" si="94"/>
        <v>1.8202139549736485E-2</v>
      </c>
      <c r="U275" s="4">
        <f t="shared" ca="1" si="95"/>
        <v>1.4977873595824365E-2</v>
      </c>
      <c r="V275" s="4">
        <f t="shared" ca="1" si="109"/>
        <v>-7.4534161490691364E-4</v>
      </c>
      <c r="W275" s="4">
        <f t="shared" ca="1" si="110"/>
        <v>6.9808027923210503E-3</v>
      </c>
      <c r="X275" s="4">
        <f t="shared" ca="1" si="105"/>
        <v>1.060278814058524E-2</v>
      </c>
      <c r="Y275" s="4">
        <f t="shared" ca="1" si="91"/>
        <v>-1.3939174511223618E-2</v>
      </c>
      <c r="Z275" s="4">
        <f t="shared" ca="1" si="106"/>
        <v>3.8270469181232558E-2</v>
      </c>
      <c r="AA275" s="4">
        <f t="shared" ca="1" si="93"/>
        <v>2.3503387252870045E-3</v>
      </c>
      <c r="AB275" s="4">
        <f t="shared" ca="1" si="96"/>
        <v>1.475173902614535E-2</v>
      </c>
      <c r="AC275" s="4">
        <f t="shared" ca="1" si="97"/>
        <v>-1.5929203539822967E-2</v>
      </c>
      <c r="AD275" s="4"/>
      <c r="AE275" s="2" cm="1">
        <f t="array" aca="1" ref="AE275" ca="1">SUMPRODUCT(Q275:AB275,TRANSPOSE(Insights.!$H$4:$H$15))</f>
        <v>7.7031984056092082E-3</v>
      </c>
      <c r="AG275" vm="4042">
        <f ca="1"/>
        <v>46051</v>
      </c>
      <c r="AH275" s="1" vm="4052">
        <f ca="1"/>
        <v>109.85</v>
      </c>
      <c r="AI275" s="2">
        <f t="shared" ca="1" si="84"/>
        <v>5.0978607191625169E-3</v>
      </c>
      <c r="AJ275" s="1" vm="4053">
        <f ca="1"/>
        <v>112.2</v>
      </c>
      <c r="AK275" s="2">
        <f t="shared" ca="1" si="98"/>
        <v>1.0695187165774556E-3</v>
      </c>
      <c r="AL275" s="1" vm="4054">
        <f ca="1"/>
        <v>59.82</v>
      </c>
      <c r="AM275" s="2">
        <f t="shared" ca="1" si="99"/>
        <v>-1.3373453694416337E-3</v>
      </c>
      <c r="AO275" s="9">
        <f t="shared" ca="1" si="100"/>
        <v>93.172978160857198</v>
      </c>
      <c r="AP275">
        <f t="shared" ca="1" si="101"/>
        <v>101.86387240356092</v>
      </c>
      <c r="AQ275">
        <f t="shared" ca="1" si="102"/>
        <v>106.5527065527067</v>
      </c>
      <c r="AR275">
        <f t="shared" ca="1" si="103"/>
        <v>121.96961973697634</v>
      </c>
      <c r="AT275" s="21">
        <f ca="1">MAX($AO$3:AO276)</f>
        <v>106.96839029133979</v>
      </c>
      <c r="AU275" s="2">
        <f t="shared" ca="1" si="104"/>
        <v>-0.12896718453843525</v>
      </c>
      <c r="AZ275" s="2"/>
    </row>
    <row r="276" spans="1:52" x14ac:dyDescent="0.25">
      <c r="A276" vm="4055">
        <f ca="1"/>
        <v>46052</v>
      </c>
      <c r="B276" vm="4056">
        <f ca="1"/>
        <v>160.88</v>
      </c>
      <c r="C276" vm="3863">
        <f ca="1"/>
        <v>278</v>
      </c>
      <c r="D276" vm="4057">
        <f ca="1"/>
        <v>272.35000000000002</v>
      </c>
      <c r="E276" vm="4058">
        <f ca="1"/>
        <v>179.26</v>
      </c>
      <c r="F276" vm="4059">
        <f ca="1"/>
        <v>201.95</v>
      </c>
      <c r="G276" vm="4060">
        <f ca="1"/>
        <v>133.25</v>
      </c>
      <c r="H276" vm="4061">
        <f ca="1"/>
        <v>362.5</v>
      </c>
      <c r="I276" vm="4062">
        <f ca="1"/>
        <v>127.54</v>
      </c>
      <c r="J276" vm="4063">
        <f ca="1"/>
        <v>447.25</v>
      </c>
      <c r="K276" vm="4064">
        <f ca="1"/>
        <v>73</v>
      </c>
      <c r="L276" vm="4065">
        <f ca="1"/>
        <v>282.14999999999998</v>
      </c>
      <c r="M276" vm="4066">
        <f ca="1"/>
        <v>257.35000000000002</v>
      </c>
      <c r="N276" vm="4067">
        <f ca="1"/>
        <v>13.61</v>
      </c>
      <c r="O276" vm="2090">
        <f ca="1"/>
        <v>423.05</v>
      </c>
      <c r="Q276" s="4">
        <f t="shared" ca="1" si="107"/>
        <v>-2.7920646583394437E-2</v>
      </c>
      <c r="R276" s="4">
        <f t="shared" ca="1" si="108"/>
        <v>2.2313957380348803E-4</v>
      </c>
      <c r="S276" s="4">
        <f t="shared" ca="1" si="87"/>
        <v>-7.8799249530957516E-3</v>
      </c>
      <c r="T276" s="4">
        <f t="shared" ca="1" si="94"/>
        <v>2.1953896816685026E-2</v>
      </c>
      <c r="U276" s="4">
        <f t="shared" ca="1" si="95"/>
        <v>1.0285075461151427E-2</v>
      </c>
      <c r="V276" s="4">
        <f t="shared" ca="1" si="109"/>
        <v>-1.9269020387866709E-2</v>
      </c>
      <c r="W276" s="4">
        <f t="shared" ca="1" si="110"/>
        <v>2.2530329289428108E-2</v>
      </c>
      <c r="X276" s="4">
        <f t="shared" ca="1" si="105"/>
        <v>1.8068777928890611E-2</v>
      </c>
      <c r="Y276" s="4">
        <f t="shared" ca="1" si="91"/>
        <v>3.3045713236643959E-2</v>
      </c>
      <c r="Z276" s="4">
        <f t="shared" ca="1" si="106"/>
        <v>-2.4809498493708615E-3</v>
      </c>
      <c r="AA276" s="4">
        <f t="shared" ca="1" si="93"/>
        <v>-8.8275862068964983E-3</v>
      </c>
      <c r="AB276" s="4">
        <f t="shared" ca="1" si="96"/>
        <v>2.1155891738565247E-2</v>
      </c>
      <c r="AC276" s="4">
        <f t="shared" ca="1" si="97"/>
        <v>4.1366906474820109E-2</v>
      </c>
      <c r="AD276" s="4"/>
      <c r="AE276" s="2" cm="1">
        <f t="array" aca="1" ref="AE276" ca="1">SUMPRODUCT(Q276:AB276,TRANSPOSE(Insights.!$H$4:$H$15))</f>
        <v>5.1111137818949746E-3</v>
      </c>
      <c r="AG276" vm="4055">
        <f ca="1"/>
        <v>46052</v>
      </c>
      <c r="AH276" s="1" vm="4068">
        <f ca="1"/>
        <v>110.41</v>
      </c>
      <c r="AI276" s="2">
        <f t="shared" ca="1" si="84"/>
        <v>1.6936871660175656E-2</v>
      </c>
      <c r="AJ276" s="1" vm="4069">
        <f ca="1"/>
        <v>112.32</v>
      </c>
      <c r="AK276" s="2">
        <f t="shared" ca="1" si="98"/>
        <v>-8.1908831908831248E-3</v>
      </c>
      <c r="AL276" s="1" vm="4070">
        <f ca="1"/>
        <v>59.74</v>
      </c>
      <c r="AM276" s="2">
        <f t="shared" ca="1" si="99"/>
        <v>1.5065282892534393E-2</v>
      </c>
      <c r="AO276" s="9">
        <f t="shared" ca="1" si="100"/>
        <v>93.890708097671776</v>
      </c>
      <c r="AP276">
        <f t="shared" ca="1" si="101"/>
        <v>102.38316023738882</v>
      </c>
      <c r="AQ276">
        <f t="shared" ca="1" si="102"/>
        <v>106.6666666666668</v>
      </c>
      <c r="AR276">
        <f t="shared" ca="1" si="103"/>
        <v>121.80650423080854</v>
      </c>
      <c r="AT276" s="21">
        <f ca="1">MAX($AO$3:AO277)</f>
        <v>106.96839029133979</v>
      </c>
      <c r="AU276" s="2">
        <f t="shared" ca="1" si="104"/>
        <v>-0.12225744594313848</v>
      </c>
    </row>
    <row r="277" spans="1:52" x14ac:dyDescent="0.25">
      <c r="A277" vm="4071">
        <f ca="1"/>
        <v>46055</v>
      </c>
      <c r="B277" vm="4072">
        <f ca="1"/>
        <v>157.78</v>
      </c>
      <c r="C277" vm="4073">
        <f ca="1"/>
        <v>289.5</v>
      </c>
      <c r="D277" vm="4074">
        <f ca="1"/>
        <v>281.35000000000002</v>
      </c>
      <c r="E277" vm="3220">
        <f ca="1"/>
        <v>179.3</v>
      </c>
      <c r="F277" vm="2418">
        <f ca="1"/>
        <v>206.5</v>
      </c>
      <c r="G277" vm="1261">
        <f ca="1"/>
        <v>132.19999999999999</v>
      </c>
      <c r="H277" vm="4075">
        <f ca="1"/>
        <v>359.3</v>
      </c>
      <c r="I277" vm="120">
        <f ca="1"/>
        <v>130.34</v>
      </c>
      <c r="J277" vm="4076">
        <f ca="1"/>
        <v>451.85</v>
      </c>
      <c r="K277" vm="3403">
        <f ca="1"/>
        <v>73.5</v>
      </c>
      <c r="L277" vm="4077">
        <f ca="1"/>
        <v>281.45</v>
      </c>
      <c r="M277" vm="823">
        <f ca="1"/>
        <v>262</v>
      </c>
      <c r="N277" vm="4078">
        <f ca="1"/>
        <v>13.23</v>
      </c>
      <c r="O277" vm="4079">
        <f ca="1"/>
        <v>432</v>
      </c>
      <c r="Q277" s="4">
        <f t="shared" ca="1" si="107"/>
        <v>1.2093726379440728E-2</v>
      </c>
      <c r="R277" s="4">
        <f t="shared" ca="1" si="108"/>
        <v>-8.6781929726715057E-2</v>
      </c>
      <c r="S277" s="4">
        <f t="shared" ca="1" si="87"/>
        <v>-1.3615733736762392E-2</v>
      </c>
      <c r="T277" s="4">
        <f t="shared" ca="1" si="94"/>
        <v>1.1048028233849871E-2</v>
      </c>
      <c r="U277" s="4">
        <f t="shared" ca="1" si="95"/>
        <v>-0.1248201836892775</v>
      </c>
      <c r="V277" s="4">
        <f t="shared" ca="1" si="109"/>
        <v>-3.6886804411205398E-2</v>
      </c>
      <c r="W277" s="4">
        <f t="shared" ca="1" si="110"/>
        <v>-2.6634382566585901E-2</v>
      </c>
      <c r="X277" s="4">
        <f t="shared" ca="1" si="105"/>
        <v>1.0687022900763399E-2</v>
      </c>
      <c r="Y277" s="4">
        <f t="shared" ca="1" si="91"/>
        <v>6.2200106628753637E-3</v>
      </c>
      <c r="Z277" s="4">
        <f t="shared" ca="1" si="106"/>
        <v>-4.7965890922010979E-2</v>
      </c>
      <c r="AA277" s="4">
        <f t="shared" ca="1" si="93"/>
        <v>-3.228499860840528E-2</v>
      </c>
      <c r="AB277" s="4">
        <f t="shared" ca="1" si="96"/>
        <v>-6.1574074074074114E-2</v>
      </c>
      <c r="AC277" s="4">
        <f t="shared" ca="1" si="97"/>
        <v>-1.5544041450777257E-2</v>
      </c>
      <c r="AD277" s="4"/>
      <c r="AE277" s="2" cm="1">
        <f t="array" aca="1" ref="AE277" ca="1">SUMPRODUCT(Q277:AB277,TRANSPOSE(Insights.!$H$4:$H$15))</f>
        <v>-3.4112574508335575E-2</v>
      </c>
      <c r="AG277" vm="4071">
        <f ca="1"/>
        <v>46055</v>
      </c>
      <c r="AH277" s="1" vm="4080">
        <f ca="1"/>
        <v>112.28</v>
      </c>
      <c r="AI277" s="2">
        <f t="shared" ca="1" si="84"/>
        <v>-1.5719629497684351E-2</v>
      </c>
      <c r="AJ277" s="1" vm="3534">
        <f ca="1"/>
        <v>111.4</v>
      </c>
      <c r="AK277" s="2">
        <f t="shared" ca="1" si="98"/>
        <v>7.0915619389586571E-3</v>
      </c>
      <c r="AL277" s="1" vm="4081">
        <f ca="1"/>
        <v>60.64</v>
      </c>
      <c r="AM277" s="2">
        <f t="shared" ca="1" si="99"/>
        <v>-8.7401055408971029E-3</v>
      </c>
      <c r="AO277" s="9">
        <f t="shared" ca="1" si="100"/>
        <v>94.370594189821659</v>
      </c>
      <c r="AP277">
        <f t="shared" ca="1" si="101"/>
        <v>104.11721068249267</v>
      </c>
      <c r="AQ277">
        <f t="shared" ca="1" si="102"/>
        <v>105.79297245963926</v>
      </c>
      <c r="AR277">
        <f t="shared" ca="1" si="103"/>
        <v>123.64155367519636</v>
      </c>
      <c r="AT277" s="21">
        <f ca="1">MAX($AO$3:AO278)</f>
        <v>106.96839029133979</v>
      </c>
      <c r="AU277" s="2">
        <f t="shared" ca="1" si="104"/>
        <v>-0.11777120387814277</v>
      </c>
    </row>
    <row r="278" spans="1:52" x14ac:dyDescent="0.25">
      <c r="A278" vm="4082">
        <f ca="1"/>
        <v>46056</v>
      </c>
      <c r="B278" vm="1234">
        <f ca="1"/>
        <v>151.96</v>
      </c>
      <c r="C278" vm="4083">
        <f ca="1"/>
        <v>285</v>
      </c>
      <c r="D278" vm="4084">
        <f ca="1"/>
        <v>283.10000000000002</v>
      </c>
      <c r="E278" vm="4085">
        <f ca="1"/>
        <v>163.74</v>
      </c>
      <c r="F278" vm="452">
        <f ca="1"/>
        <v>201</v>
      </c>
      <c r="G278" vm="4086">
        <f ca="1"/>
        <v>130.4</v>
      </c>
      <c r="H278" vm="4087">
        <f ca="1"/>
        <v>347.7</v>
      </c>
      <c r="I278" vm="4088">
        <f ca="1"/>
        <v>131.78</v>
      </c>
      <c r="J278" vm="4089">
        <f ca="1"/>
        <v>395.45</v>
      </c>
      <c r="K278" vm="4090">
        <f ca="1"/>
        <v>71.5</v>
      </c>
      <c r="L278" vm="4091">
        <f ca="1"/>
        <v>267.95</v>
      </c>
      <c r="M278" vm="2950">
        <f ca="1"/>
        <v>264.8</v>
      </c>
      <c r="N278" vm="3478">
        <f ca="1"/>
        <v>13.39</v>
      </c>
      <c r="O278" vm="4092">
        <f ca="1"/>
        <v>405.4</v>
      </c>
      <c r="Q278" s="4">
        <f t="shared" ca="1" si="107"/>
        <v>2.9499626587005112E-2</v>
      </c>
      <c r="R278" s="4">
        <f t="shared" ca="1" si="108"/>
        <v>2.8215463539758234E-2</v>
      </c>
      <c r="S278" s="4">
        <f t="shared" ca="1" si="87"/>
        <v>-8.2055214723926406E-2</v>
      </c>
      <c r="T278" s="4">
        <f t="shared" ca="1" si="94"/>
        <v>8.1954773106693857E-3</v>
      </c>
      <c r="U278" s="4">
        <f t="shared" ca="1" si="95"/>
        <v>3.1609558730560927E-3</v>
      </c>
      <c r="V278" s="4">
        <f t="shared" ca="1" si="109"/>
        <v>-2.8033693077125665E-2</v>
      </c>
      <c r="W278" s="4">
        <f t="shared" ca="1" si="110"/>
        <v>-1.8905472636815968E-2</v>
      </c>
      <c r="X278" s="4">
        <f t="shared" ca="1" si="105"/>
        <v>1.6805135951661665E-2</v>
      </c>
      <c r="Y278" s="4">
        <f t="shared" ca="1" si="91"/>
        <v>-1.4835747085835571E-2</v>
      </c>
      <c r="Z278" s="4">
        <f t="shared" ca="1" si="106"/>
        <v>-3.172233625676435E-2</v>
      </c>
      <c r="AA278" s="4">
        <f t="shared" ca="1" si="93"/>
        <v>6.6148979004889696E-3</v>
      </c>
      <c r="AB278" s="4">
        <f t="shared" ca="1" si="96"/>
        <v>-5.7720769610261402E-2</v>
      </c>
      <c r="AC278" s="4">
        <f t="shared" ca="1" si="97"/>
        <v>-3.5087719298245612E-2</v>
      </c>
      <c r="AD278" s="4"/>
      <c r="AE278" s="2" cm="1">
        <f t="array" aca="1" ref="AE278" ca="1">SUMPRODUCT(Q278:AB278,TRANSPOSE(Insights.!$H$4:$H$15))</f>
        <v>-7.9815486719153946E-3</v>
      </c>
      <c r="AG278" vm="4082">
        <f ca="1"/>
        <v>46056</v>
      </c>
      <c r="AH278" s="1" vm="3380">
        <f ca="1"/>
        <v>110.515</v>
      </c>
      <c r="AI278" s="2">
        <f t="shared" ca="1" si="84"/>
        <v>-1.2667963624847234E-3</v>
      </c>
      <c r="AJ278" s="1" vm="3987">
        <f ca="1"/>
        <v>112.19</v>
      </c>
      <c r="AK278" s="2">
        <f t="shared" ca="1" si="98"/>
        <v>1.1097245743827422E-2</v>
      </c>
      <c r="AL278" s="1" vm="4093">
        <f ca="1"/>
        <v>60.11</v>
      </c>
      <c r="AM278" s="2">
        <f t="shared" ca="1" si="99"/>
        <v>-1.3308933621692942E-3</v>
      </c>
      <c r="AO278" s="9">
        <f t="shared" ca="1" si="100"/>
        <v>91.151370264125461</v>
      </c>
      <c r="AP278">
        <f t="shared" ca="1" si="101"/>
        <v>102.48052670623154</v>
      </c>
      <c r="AQ278">
        <f t="shared" ca="1" si="102"/>
        <v>106.54320987654334</v>
      </c>
      <c r="AR278">
        <f t="shared" ca="1" si="103"/>
        <v>122.56091344683465</v>
      </c>
      <c r="AT278" s="21">
        <f ca="1">MAX($AO$3:AO279)</f>
        <v>106.96839029133979</v>
      </c>
      <c r="AU278" s="2">
        <f t="shared" ca="1" si="104"/>
        <v>-0.14786629941924889</v>
      </c>
    </row>
    <row r="279" spans="1:52" x14ac:dyDescent="0.25">
      <c r="A279" vm="4094">
        <f ca="1"/>
        <v>46057</v>
      </c>
      <c r="B279" vm="1188">
        <f ca="1"/>
        <v>147.69999999999999</v>
      </c>
      <c r="C279" vm="4095">
        <f ca="1"/>
        <v>275</v>
      </c>
      <c r="D279" vm="4096">
        <f ca="1"/>
        <v>278.89999999999998</v>
      </c>
      <c r="E279" vm="4097">
        <f ca="1"/>
        <v>168.36</v>
      </c>
      <c r="F279" vm="121">
        <f ca="1"/>
        <v>197.2</v>
      </c>
      <c r="G279" vm="4098">
        <f ca="1"/>
        <v>119.7</v>
      </c>
      <c r="H279" vm="4099">
        <f ca="1"/>
        <v>350</v>
      </c>
      <c r="I279" vm="4100">
        <f ca="1"/>
        <v>132.86000000000001</v>
      </c>
      <c r="J279" vm="4101">
        <f ca="1"/>
        <v>396.7</v>
      </c>
      <c r="K279" vm="4102">
        <f ca="1"/>
        <v>67</v>
      </c>
      <c r="L279" vm="3051">
        <f ca="1"/>
        <v>259.45</v>
      </c>
      <c r="M279" vm="2875">
        <f ca="1"/>
        <v>269.25</v>
      </c>
      <c r="N279" vm="3817">
        <f ca="1"/>
        <v>13.785</v>
      </c>
      <c r="O279" vm="1402">
        <f ca="1"/>
        <v>382</v>
      </c>
      <c r="Q279" s="4">
        <f t="shared" ca="1" si="107"/>
        <v>5.4406964091402443E-3</v>
      </c>
      <c r="R279" s="4">
        <f t="shared" ca="1" si="108"/>
        <v>-3.9795675932525643E-2</v>
      </c>
      <c r="S279" s="4">
        <f t="shared" ca="1" si="87"/>
        <v>2.0885547201336951E-3</v>
      </c>
      <c r="T279" s="4">
        <f t="shared" ca="1" si="94"/>
        <v>1.0236339003462103E-2</v>
      </c>
      <c r="U279" s="4">
        <f t="shared" ca="1" si="95"/>
        <v>-2.9745399546256657E-2</v>
      </c>
      <c r="V279" s="4">
        <f t="shared" ca="1" si="109"/>
        <v>-1.6249153689911866E-2</v>
      </c>
      <c r="W279" s="4">
        <f t="shared" ca="1" si="110"/>
        <v>-4.1582150101419857E-2</v>
      </c>
      <c r="X279" s="4">
        <f t="shared" ca="1" si="105"/>
        <v>-2.7112349117920154E-2</v>
      </c>
      <c r="Y279" s="4">
        <f t="shared" ca="1" si="91"/>
        <v>9.6808892076014619E-3</v>
      </c>
      <c r="Z279" s="4">
        <f t="shared" ca="1" si="106"/>
        <v>4.5095394102909969E-2</v>
      </c>
      <c r="AA279" s="4">
        <f t="shared" ca="1" si="93"/>
        <v>-4.7142857142857153E-2</v>
      </c>
      <c r="AB279" s="4">
        <f t="shared" ca="1" si="96"/>
        <v>-6.4921465968586389E-2</v>
      </c>
      <c r="AC279" s="4">
        <f t="shared" ca="1" si="97"/>
        <v>2.3636363636363678E-2</v>
      </c>
      <c r="AD279" s="4"/>
      <c r="AE279" s="2" cm="1">
        <f t="array" aca="1" ref="AE279" ca="1">SUMPRODUCT(Q279:AB279,TRANSPOSE(Insights.!$H$4:$H$15))</f>
        <v>-1.62686504380724E-2</v>
      </c>
      <c r="AG279" vm="4094">
        <f ca="1"/>
        <v>46057</v>
      </c>
      <c r="AH279" s="1" vm="4103">
        <f ca="1"/>
        <v>110.375</v>
      </c>
      <c r="AI279" s="2">
        <f t="shared" ca="1" si="84"/>
        <v>-8.5164212910532333E-3</v>
      </c>
      <c r="AJ279" s="1" vm="4104">
        <f ca="1"/>
        <v>113.435</v>
      </c>
      <c r="AK279" s="2">
        <f t="shared" ca="1" si="98"/>
        <v>-4.3637325340504241E-3</v>
      </c>
      <c r="AL279" s="1" vm="4105">
        <f ca="1"/>
        <v>60.03</v>
      </c>
      <c r="AM279" s="2">
        <f t="shared" ca="1" si="99"/>
        <v>-3.6648342495418929E-3</v>
      </c>
      <c r="AO279" s="9">
        <f t="shared" ca="1" si="100"/>
        <v>90.423841165850561</v>
      </c>
      <c r="AP279">
        <f t="shared" ca="1" si="101"/>
        <v>102.35070474777457</v>
      </c>
      <c r="AQ279">
        <f t="shared" ca="1" si="102"/>
        <v>107.72554605887953</v>
      </c>
      <c r="AR279">
        <f t="shared" ca="1" si="103"/>
        <v>122.39779794066685</v>
      </c>
      <c r="AT279" s="21">
        <f ca="1">MAX($AO$3:AO280)</f>
        <v>106.96839029133979</v>
      </c>
      <c r="AU279" s="2">
        <f t="shared" ca="1" si="104"/>
        <v>-0.15466764602541361</v>
      </c>
    </row>
    <row r="280" spans="1:52" x14ac:dyDescent="0.25">
      <c r="A280" vm="4106">
        <f ca="1"/>
        <v>46058</v>
      </c>
      <c r="B280" vm="4107">
        <f ca="1"/>
        <v>145.30000000000001</v>
      </c>
      <c r="C280" vm="3977">
        <f ca="1"/>
        <v>281.5</v>
      </c>
      <c r="D280" vm="4108">
        <f ca="1"/>
        <v>281.60000000000002</v>
      </c>
      <c r="E280" vm="390">
        <f ca="1"/>
        <v>161.66</v>
      </c>
      <c r="F280" vm="1941">
        <f ca="1"/>
        <v>189</v>
      </c>
      <c r="G280" vm="4109">
        <f ca="1"/>
        <v>119.95</v>
      </c>
      <c r="H280" vm="4110">
        <f ca="1"/>
        <v>333.5</v>
      </c>
      <c r="I280" vm="4111">
        <f ca="1"/>
        <v>134.22</v>
      </c>
      <c r="J280" vm="4112">
        <f ca="1"/>
        <v>384.9</v>
      </c>
      <c r="K280" vm="4113">
        <f ca="1"/>
        <v>62</v>
      </c>
      <c r="L280" vm="4114">
        <f ca="1"/>
        <v>271.14999999999998</v>
      </c>
      <c r="M280" vm="4115">
        <f ca="1"/>
        <v>261.95</v>
      </c>
      <c r="N280" vm="4116">
        <f ca="1"/>
        <v>13.86</v>
      </c>
      <c r="O280" vm="4117">
        <f ca="1"/>
        <v>357.2</v>
      </c>
      <c r="Q280" s="4">
        <f t="shared" ca="1" si="107"/>
        <v>7.2150072150072297E-3</v>
      </c>
      <c r="R280" s="4">
        <f t="shared" ca="1" si="108"/>
        <v>-5.9383892119263537E-3</v>
      </c>
      <c r="S280" s="4">
        <f t="shared" ca="1" si="87"/>
        <v>5.9191329720716945E-2</v>
      </c>
      <c r="T280" s="4">
        <f t="shared" ca="1" si="94"/>
        <v>5.9603635821785517E-3</v>
      </c>
      <c r="U280" s="4">
        <f t="shared" ca="1" si="95"/>
        <v>-2.831904390750839E-2</v>
      </c>
      <c r="V280" s="4">
        <f t="shared" ca="1" si="109"/>
        <v>8.740536820371636E-2</v>
      </c>
      <c r="W280" s="4">
        <f t="shared" ca="1" si="110"/>
        <v>-5.9259259259259234E-2</v>
      </c>
      <c r="X280" s="4">
        <f t="shared" ca="1" si="105"/>
        <v>4.390150792135894E-2</v>
      </c>
      <c r="Y280" s="4">
        <f t="shared" ca="1" si="91"/>
        <v>-1.3139204545454697E-2</v>
      </c>
      <c r="Z280" s="4">
        <f t="shared" ca="1" si="106"/>
        <v>3.1163562603724992E-2</v>
      </c>
      <c r="AA280" s="4">
        <f t="shared" ca="1" si="93"/>
        <v>1.8740629685157328E-2</v>
      </c>
      <c r="AB280" s="4">
        <f t="shared" ca="1" si="96"/>
        <v>2.0996640537513933E-3</v>
      </c>
      <c r="AC280" s="4">
        <f t="shared" ca="1" si="97"/>
        <v>4.9733570159857798E-2</v>
      </c>
      <c r="AD280" s="4"/>
      <c r="AE280" s="2" cm="1">
        <f t="array" aca="1" ref="AE280" ca="1">SUMPRODUCT(Q280:AB280,TRANSPOSE(Insights.!$H$4:$H$15))</f>
        <v>1.0205153588429172E-2</v>
      </c>
      <c r="AG280" vm="4106">
        <f ca="1"/>
        <v>46058</v>
      </c>
      <c r="AH280" s="1" vm="4118">
        <f ca="1"/>
        <v>109.435</v>
      </c>
      <c r="AI280" s="2">
        <f t="shared" ca="1" si="84"/>
        <v>1.3067117466989409E-2</v>
      </c>
      <c r="AJ280" s="1" vm="4119">
        <f ca="1"/>
        <v>112.94</v>
      </c>
      <c r="AK280" s="2">
        <f t="shared" ca="1" si="98"/>
        <v>-2.7448202585443893E-3</v>
      </c>
      <c r="AL280" s="1" vm="4120">
        <f ca="1"/>
        <v>59.81</v>
      </c>
      <c r="AM280" s="2">
        <f t="shared" ca="1" si="99"/>
        <v>1.3041297441899413E-2</v>
      </c>
      <c r="AO280" s="9">
        <f t="shared" ca="1" si="100"/>
        <v>88.952767302655559</v>
      </c>
      <c r="AP280">
        <f t="shared" ca="1" si="101"/>
        <v>101.47904302670632</v>
      </c>
      <c r="AQ280">
        <f t="shared" ca="1" si="102"/>
        <v>107.25546058879405</v>
      </c>
      <c r="AR280">
        <f t="shared" ca="1" si="103"/>
        <v>121.94923029870539</v>
      </c>
      <c r="AT280" s="21">
        <f ca="1">MAX($AO$3:AO281)</f>
        <v>106.96839029133979</v>
      </c>
      <c r="AU280" s="2">
        <f t="shared" ca="1" si="104"/>
        <v>-0.168420062596219</v>
      </c>
    </row>
    <row r="281" spans="1:52" x14ac:dyDescent="0.25">
      <c r="A281" vm="4121">
        <f ca="1"/>
        <v>46059</v>
      </c>
      <c r="B281" vm="93">
        <f ca="1"/>
        <v>158</v>
      </c>
      <c r="C281" vm="3666">
        <f ca="1"/>
        <v>295.5</v>
      </c>
      <c r="D281" vm="4122">
        <f ca="1"/>
        <v>277.89999999999998</v>
      </c>
      <c r="E281" vm="4123">
        <f ca="1"/>
        <v>160.69999999999999</v>
      </c>
      <c r="F281" vm="1731">
        <f ca="1"/>
        <v>177.8</v>
      </c>
      <c r="G281" vm="4124">
        <f ca="1"/>
        <v>127.05</v>
      </c>
      <c r="H281" vm="4125">
        <f ca="1"/>
        <v>339.75</v>
      </c>
      <c r="I281" vm="4126">
        <f ca="1"/>
        <v>135.02000000000001</v>
      </c>
      <c r="J281" vm="4127">
        <f ca="1"/>
        <v>374</v>
      </c>
      <c r="K281" vm="4090">
        <f ca="1"/>
        <v>71.5</v>
      </c>
      <c r="L281" vm="4128">
        <f ca="1"/>
        <v>279.60000000000002</v>
      </c>
      <c r="M281" vm="4129">
        <f ca="1"/>
        <v>273.45</v>
      </c>
      <c r="N281" vm="4130">
        <f ca="1"/>
        <v>13.96</v>
      </c>
      <c r="O281" vm="4131">
        <f ca="1"/>
        <v>357.95</v>
      </c>
      <c r="Q281" s="4">
        <f t="shared" ca="1" si="107"/>
        <v>1.2893982808023008E-2</v>
      </c>
      <c r="R281" s="4">
        <f t="shared" ca="1" si="108"/>
        <v>1.4312383322962141E-2</v>
      </c>
      <c r="S281" s="4">
        <f t="shared" ca="1" si="87"/>
        <v>2.2038567493112948E-2</v>
      </c>
      <c r="T281" s="4">
        <f t="shared" ca="1" si="94"/>
        <v>-2.2515182935861522E-2</v>
      </c>
      <c r="U281" s="4">
        <f t="shared" ca="1" si="95"/>
        <v>-1.6042780748664054E-3</v>
      </c>
      <c r="V281" s="4">
        <f t="shared" ca="1" si="109"/>
        <v>9.3670886075949422E-3</v>
      </c>
      <c r="W281" s="4">
        <f t="shared" ca="1" si="110"/>
        <v>-1.4060742407199123E-2</v>
      </c>
      <c r="X281" s="4">
        <f t="shared" ca="1" si="105"/>
        <v>-1.1702322179557467E-2</v>
      </c>
      <c r="Y281" s="4">
        <f t="shared" ca="1" si="91"/>
        <v>-1.3494062612450564E-2</v>
      </c>
      <c r="Z281" s="4">
        <f t="shared" ca="1" si="106"/>
        <v>4.1666666666666519E-2</v>
      </c>
      <c r="AA281" s="4">
        <f t="shared" ca="1" si="93"/>
        <v>2.1927888153053576E-2</v>
      </c>
      <c r="AB281" s="4">
        <f t="shared" ca="1" si="96"/>
        <v>-1.45271685989663E-2</v>
      </c>
      <c r="AC281" s="4">
        <f t="shared" ca="1" si="97"/>
        <v>1.0152284263959421E-2</v>
      </c>
      <c r="AD281" s="4"/>
      <c r="AE281" s="2" cm="1">
        <f t="array" aca="1" ref="AE281" ca="1">SUMPRODUCT(Q281:AB281,TRANSPOSE(Insights.!$H$4:$H$15))</f>
        <v>4.1724735737483096E-3</v>
      </c>
      <c r="AG281" vm="4121">
        <f ca="1"/>
        <v>46059</v>
      </c>
      <c r="AH281" s="1" vm="4132">
        <f ca="1"/>
        <v>110.86499999999999</v>
      </c>
      <c r="AI281" s="2">
        <f t="shared" ca="1" si="84"/>
        <v>2.7059937762152764E-4</v>
      </c>
      <c r="AJ281" s="1" vm="4133">
        <f ca="1"/>
        <v>112.63</v>
      </c>
      <c r="AK281" s="2">
        <f t="shared" ca="1" si="98"/>
        <v>-9.5445263251352497E-3</v>
      </c>
      <c r="AL281" s="1" vm="4134">
        <f ca="1"/>
        <v>60.59</v>
      </c>
      <c r="AM281" s="2">
        <f t="shared" ca="1" si="99"/>
        <v>8.0871430929194688E-3</v>
      </c>
      <c r="AO281" s="9">
        <f t="shared" ca="1" si="100"/>
        <v>89.860543955094954</v>
      </c>
      <c r="AP281">
        <f t="shared" ca="1" si="101"/>
        <v>102.80508160237396</v>
      </c>
      <c r="AQ281">
        <f t="shared" ca="1" si="102"/>
        <v>106.96106362773043</v>
      </c>
      <c r="AR281">
        <f t="shared" ca="1" si="103"/>
        <v>123.5396064838415</v>
      </c>
      <c r="AT281" s="21">
        <f ca="1">MAX($AO$3:AO282)</f>
        <v>106.96839029133979</v>
      </c>
      <c r="AU281" s="2">
        <f t="shared" ca="1" si="104"/>
        <v>-0.15993366161395717</v>
      </c>
    </row>
    <row r="282" spans="1:52" x14ac:dyDescent="0.25">
      <c r="A282" vm="4135">
        <f ca="1"/>
        <v>46062</v>
      </c>
      <c r="B282" vm="575">
        <f ca="1"/>
        <v>159.47999999999999</v>
      </c>
      <c r="C282" vm="3233">
        <f ca="1"/>
        <v>298.5</v>
      </c>
      <c r="D282" vm="4032">
        <f ca="1"/>
        <v>274.14999999999998</v>
      </c>
      <c r="E282" vm="4136">
        <f ca="1"/>
        <v>163</v>
      </c>
      <c r="F282" vm="814">
        <f ca="1"/>
        <v>175.3</v>
      </c>
      <c r="G282" vm="4137">
        <f ca="1"/>
        <v>129.85</v>
      </c>
      <c r="H282" vm="4138">
        <f ca="1"/>
        <v>347.2</v>
      </c>
      <c r="I282" vm="4139">
        <f ca="1"/>
        <v>131.97999999999999</v>
      </c>
      <c r="J282" vm="4140">
        <f ca="1"/>
        <v>373.4</v>
      </c>
      <c r="K282" vm="4141">
        <f ca="1"/>
        <v>79.5</v>
      </c>
      <c r="L282" vm="4142">
        <f ca="1"/>
        <v>291.25</v>
      </c>
      <c r="M282" vm="4143">
        <f ca="1"/>
        <v>270.25</v>
      </c>
      <c r="N282" vm="2904">
        <f ca="1"/>
        <v>14.14</v>
      </c>
      <c r="O282" vm="4144">
        <f ca="1"/>
        <v>352.75</v>
      </c>
      <c r="Q282" s="4">
        <f t="shared" ca="1" si="107"/>
        <v>-3.8896746817538297E-3</v>
      </c>
      <c r="R282" s="4">
        <f t="shared" ca="1" si="108"/>
        <v>1.2269938650306678E-3</v>
      </c>
      <c r="S282" s="4">
        <f t="shared" ca="1" si="87"/>
        <v>3.1189834424335761E-2</v>
      </c>
      <c r="T282" s="4">
        <f t="shared" ca="1" si="94"/>
        <v>1.7578420972874875E-2</v>
      </c>
      <c r="U282" s="4">
        <f t="shared" ca="1" si="95"/>
        <v>-8.1949651847884275E-2</v>
      </c>
      <c r="V282" s="4">
        <f t="shared" ca="1" si="109"/>
        <v>-4.2638575369950971E-3</v>
      </c>
      <c r="W282" s="4">
        <f t="shared" ca="1" si="110"/>
        <v>-7.1876782658301108E-3</v>
      </c>
      <c r="X282" s="4">
        <f t="shared" ca="1" si="105"/>
        <v>-1.2950971322850391E-3</v>
      </c>
      <c r="Y282" s="4">
        <f t="shared" ca="1" si="91"/>
        <v>6.5657486777312979E-3</v>
      </c>
      <c r="Z282" s="4">
        <f t="shared" ca="1" si="106"/>
        <v>-1.2703862660944143E-2</v>
      </c>
      <c r="AA282" s="4">
        <f t="shared" ca="1" si="93"/>
        <v>1.4400921658985766E-4</v>
      </c>
      <c r="AB282" s="4">
        <f t="shared" ca="1" si="96"/>
        <v>0.14826364280652027</v>
      </c>
      <c r="AC282" s="4">
        <f t="shared" ca="1" si="97"/>
        <v>1.8425460636515956E-2</v>
      </c>
      <c r="AD282" s="4"/>
      <c r="AE282" s="2" cm="1">
        <f t="array" aca="1" ref="AE282" ca="1">SUMPRODUCT(Q282:AB282,TRANSPOSE(Insights.!$H$4:$H$15))</f>
        <v>4.7703489770003979E-3</v>
      </c>
      <c r="AG282" vm="4135">
        <f ca="1"/>
        <v>46062</v>
      </c>
      <c r="AH282" s="1" vm="3807">
        <f ca="1"/>
        <v>110.895</v>
      </c>
      <c r="AI282" s="2">
        <f t="shared" ca="1" si="84"/>
        <v>-1.3526308670364084E-4</v>
      </c>
      <c r="AJ282" s="1" vm="4145">
        <f ca="1"/>
        <v>111.55500000000001</v>
      </c>
      <c r="AK282" s="2">
        <f t="shared" ca="1" si="98"/>
        <v>9.6365021738153978E-3</v>
      </c>
      <c r="AL282" s="1" vm="4146">
        <f ca="1"/>
        <v>61.08</v>
      </c>
      <c r="AM282" s="2">
        <f t="shared" ca="1" si="99"/>
        <v>-4.9115913555997093E-4</v>
      </c>
      <c r="AO282" s="9">
        <f t="shared" ca="1" si="100"/>
        <v>90.235484700070231</v>
      </c>
      <c r="AP282">
        <f t="shared" ca="1" si="101"/>
        <v>102.83290059347189</v>
      </c>
      <c r="AQ282">
        <f t="shared" ca="1" si="102"/>
        <v>105.94017094017109</v>
      </c>
      <c r="AR282">
        <f t="shared" ca="1" si="103"/>
        <v>124.53868895911928</v>
      </c>
      <c r="AT282" s="21">
        <f ca="1">MAX($AO$3:AO283)</f>
        <v>106.96839029133979</v>
      </c>
      <c r="AU282" s="2">
        <f t="shared" ca="1" si="104"/>
        <v>-0.15642850701684585</v>
      </c>
    </row>
    <row r="283" spans="1:52" x14ac:dyDescent="0.25">
      <c r="A283" vm="4147">
        <f ca="1"/>
        <v>46063</v>
      </c>
      <c r="B283" vm="2924">
        <f ca="1"/>
        <v>158.80000000000001</v>
      </c>
      <c r="C283" vm="72">
        <f ca="1"/>
        <v>304</v>
      </c>
      <c r="D283" vm="3411">
        <f ca="1"/>
        <v>275.95</v>
      </c>
      <c r="E283" vm="4148">
        <f ca="1"/>
        <v>163.19999999999999</v>
      </c>
      <c r="F283" vm="4149">
        <f ca="1"/>
        <v>174.04</v>
      </c>
      <c r="G283" vm="4150">
        <f ca="1"/>
        <v>133.9</v>
      </c>
      <c r="H283" vm="1343">
        <f ca="1"/>
        <v>347.25</v>
      </c>
      <c r="I283" vm="3836">
        <f ca="1"/>
        <v>134.30000000000001</v>
      </c>
      <c r="J283" vm="4151">
        <f ca="1"/>
        <v>342.8</v>
      </c>
      <c r="K283" vm="4141">
        <f ca="1"/>
        <v>79.5</v>
      </c>
      <c r="L283" vm="4152">
        <f ca="1"/>
        <v>287.55</v>
      </c>
      <c r="M283" vm="3616">
        <f ca="1"/>
        <v>269.89999999999998</v>
      </c>
      <c r="N283" vm="4153">
        <f ca="1"/>
        <v>14.085000000000001</v>
      </c>
      <c r="O283" vm="4154">
        <f ca="1"/>
        <v>405.05</v>
      </c>
      <c r="Q283" s="4">
        <f t="shared" ca="1" si="107"/>
        <v>-8.1647142350017576E-3</v>
      </c>
      <c r="R283" s="4">
        <f t="shared" ca="1" si="108"/>
        <v>-5.6372549019607754E-2</v>
      </c>
      <c r="S283" s="4">
        <f t="shared" ca="1" si="87"/>
        <v>8.5884988797610973E-3</v>
      </c>
      <c r="T283" s="4">
        <f t="shared" ca="1" si="94"/>
        <v>8.4884586746090118E-3</v>
      </c>
      <c r="U283" s="4">
        <f t="shared" ca="1" si="95"/>
        <v>-2.2753792298716435E-2</v>
      </c>
      <c r="V283" s="4">
        <f t="shared" ca="1" si="109"/>
        <v>1.3727959697732883E-2</v>
      </c>
      <c r="W283" s="4">
        <f t="shared" ca="1" si="110"/>
        <v>-1.1606527235118236E-2</v>
      </c>
      <c r="X283" s="4">
        <f t="shared" ca="1" si="105"/>
        <v>-3.5383475361244754E-2</v>
      </c>
      <c r="Y283" s="4">
        <f t="shared" ca="1" si="91"/>
        <v>3.9862293893822009E-3</v>
      </c>
      <c r="Z283" s="4">
        <f t="shared" ca="1" si="106"/>
        <v>-1.1824030603373448E-2</v>
      </c>
      <c r="AA283" s="4">
        <f t="shared" ca="1" si="93"/>
        <v>-1.8574514038876888E-2</v>
      </c>
      <c r="AB283" s="4">
        <f t="shared" ca="1" si="96"/>
        <v>8.1471423281076483E-3</v>
      </c>
      <c r="AC283" s="4">
        <f t="shared" ca="1" si="97"/>
        <v>3.9473684210526327E-2</v>
      </c>
      <c r="AD283" s="4"/>
      <c r="AE283" s="2" cm="1">
        <f t="array" aca="1" ref="AE283" ca="1">SUMPRODUCT(Q283:AB283,TRANSPOSE(Insights.!$H$4:$H$15))</f>
        <v>-1.3352666276795455E-2</v>
      </c>
      <c r="AG283" vm="4147">
        <f ca="1"/>
        <v>46063</v>
      </c>
      <c r="AH283" s="1" vm="516">
        <f ca="1"/>
        <v>110.88</v>
      </c>
      <c r="AI283" s="2">
        <f t="shared" ca="1" si="84"/>
        <v>-1.2175324675324228E-3</v>
      </c>
      <c r="AJ283" s="1" vm="4133">
        <f ca="1"/>
        <v>112.63</v>
      </c>
      <c r="AK283" s="2">
        <f t="shared" ca="1" si="98"/>
        <v>5.3271774837966301E-3</v>
      </c>
      <c r="AL283" s="1" vm="4155">
        <f ca="1"/>
        <v>61.05</v>
      </c>
      <c r="AM283" s="2">
        <f t="shared" ca="1" si="99"/>
        <v>9.8280098280101313E-4</v>
      </c>
      <c r="AO283" s="9">
        <f t="shared" ca="1" si="100"/>
        <v>90.665939452198344</v>
      </c>
      <c r="AP283">
        <f t="shared" ca="1" si="101"/>
        <v>102.81899109792293</v>
      </c>
      <c r="AQ283">
        <f t="shared" ca="1" si="102"/>
        <v>106.96106362773043</v>
      </c>
      <c r="AR283">
        <f t="shared" ca="1" si="103"/>
        <v>124.47752064430635</v>
      </c>
      <c r="AT283" s="21">
        <f ca="1">MAX($AO$3:AO284)</f>
        <v>106.96839029133979</v>
      </c>
      <c r="AU283" s="2">
        <f t="shared" ca="1" si="104"/>
        <v>-0.152404376608267</v>
      </c>
    </row>
    <row r="284" spans="1:52" x14ac:dyDescent="0.25">
      <c r="A284" vm="4156">
        <f ca="1"/>
        <v>46064</v>
      </c>
      <c r="B284" vm="4157">
        <f ca="1"/>
        <v>160.97999999999999</v>
      </c>
      <c r="C284" vm="1033">
        <f ca="1"/>
        <v>316</v>
      </c>
      <c r="D284" vm="4158">
        <f ca="1"/>
        <v>277.05</v>
      </c>
      <c r="E284" vm="110">
        <f ca="1"/>
        <v>154</v>
      </c>
      <c r="F284" vm="4159">
        <f ca="1"/>
        <v>172.02</v>
      </c>
      <c r="G284" vm="4160">
        <f ca="1"/>
        <v>135.05000000000001</v>
      </c>
      <c r="H284" vm="4161">
        <f ca="1"/>
        <v>340.8</v>
      </c>
      <c r="I284" vm="4162">
        <f ca="1"/>
        <v>135.44</v>
      </c>
      <c r="J284" vm="4163">
        <f ca="1"/>
        <v>335</v>
      </c>
      <c r="K284" vm="2791">
        <f ca="1"/>
        <v>76.5</v>
      </c>
      <c r="L284" vm="4164">
        <f ca="1"/>
        <v>284.14999999999998</v>
      </c>
      <c r="M284" vm="4165">
        <f ca="1"/>
        <v>260.35000000000002</v>
      </c>
      <c r="N284" vm="4166">
        <f ca="1"/>
        <v>13.97</v>
      </c>
      <c r="O284" vm="4167">
        <f ca="1"/>
        <v>408.35</v>
      </c>
      <c r="Q284" s="4">
        <f t="shared" ca="1" si="107"/>
        <v>-1.431639226914827E-2</v>
      </c>
      <c r="R284" s="4">
        <f t="shared" ca="1" si="108"/>
        <v>1.1038961038960959E-2</v>
      </c>
      <c r="S284" s="4">
        <f t="shared" ca="1" si="87"/>
        <v>2.0733061828952071E-2</v>
      </c>
      <c r="T284" s="4">
        <f t="shared" ca="1" si="94"/>
        <v>1.1961015948021236E-2</v>
      </c>
      <c r="U284" s="4">
        <f t="shared" ca="1" si="95"/>
        <v>-2.9850746268656692E-2</v>
      </c>
      <c r="V284" s="4">
        <f t="shared" ca="1" si="109"/>
        <v>-2.1617592247484052E-2</v>
      </c>
      <c r="W284" s="4">
        <f t="shared" ca="1" si="110"/>
        <v>-2.7322404371584841E-2</v>
      </c>
      <c r="X284" s="4">
        <f t="shared" ca="1" si="105"/>
        <v>-2.112540810447483E-2</v>
      </c>
      <c r="Y284" s="4">
        <f t="shared" ca="1" si="91"/>
        <v>-1.0106478974914346E-2</v>
      </c>
      <c r="Z284" s="4">
        <f t="shared" ca="1" si="106"/>
        <v>-6.8625725849023045E-3</v>
      </c>
      <c r="AA284" s="4">
        <f t="shared" ca="1" si="93"/>
        <v>-2.787558685446001E-3</v>
      </c>
      <c r="AB284" s="4">
        <f t="shared" ca="1" si="96"/>
        <v>-9.085343455369177E-2</v>
      </c>
      <c r="AC284" s="4">
        <f t="shared" ca="1" si="97"/>
        <v>-1.7405063291139222E-2</v>
      </c>
      <c r="AD284" s="4"/>
      <c r="AE284" s="2" cm="1">
        <f t="array" aca="1" ref="AE284" ca="1">SUMPRODUCT(Q284:AB284,TRANSPOSE(Insights.!$H$4:$H$15))</f>
        <v>-1.4006794500561644E-2</v>
      </c>
      <c r="AG284" vm="4156">
        <f ca="1"/>
        <v>46064</v>
      </c>
      <c r="AH284" s="1" vm="4168">
        <f ca="1"/>
        <v>110.745</v>
      </c>
      <c r="AI284" s="2">
        <f t="shared" ca="1" si="84"/>
        <v>-1.0339067226511456E-2</v>
      </c>
      <c r="AJ284" s="1" vm="4169">
        <f ca="1"/>
        <v>113.23</v>
      </c>
      <c r="AK284" s="2">
        <f t="shared" ca="1" si="98"/>
        <v>1.7221584385762601E-3</v>
      </c>
      <c r="AL284" s="1" vm="4170">
        <f ca="1"/>
        <v>61.11</v>
      </c>
      <c r="AM284" s="2">
        <f t="shared" ca="1" si="99"/>
        <v>-7.6910489281623029E-3</v>
      </c>
      <c r="AO284" s="9">
        <f t="shared" ca="1" si="100"/>
        <v>89.455307420021001</v>
      </c>
      <c r="AP284">
        <f t="shared" ca="1" si="101"/>
        <v>102.69380563798228</v>
      </c>
      <c r="AQ284">
        <f t="shared" ca="1" si="102"/>
        <v>107.530864197531</v>
      </c>
      <c r="AR284">
        <f t="shared" ca="1" si="103"/>
        <v>124.59985727393222</v>
      </c>
      <c r="AT284" s="21">
        <f ca="1">MAX($AO$3:AO285)</f>
        <v>106.96839029133979</v>
      </c>
      <c r="AU284" s="2">
        <f t="shared" ca="1" si="104"/>
        <v>-0.16372203810508923</v>
      </c>
    </row>
    <row r="285" spans="1:52" x14ac:dyDescent="0.25">
      <c r="A285" vm="4171">
        <f ca="1"/>
        <v>46065</v>
      </c>
      <c r="B285" vm="3171">
        <f ca="1"/>
        <v>157.5</v>
      </c>
      <c r="C285" vm="522">
        <f ca="1"/>
        <v>310.5</v>
      </c>
      <c r="D285" vm="4172">
        <f ca="1"/>
        <v>274.25</v>
      </c>
      <c r="E285" vm="4173">
        <f ca="1"/>
        <v>155.69999999999999</v>
      </c>
      <c r="F285" vm="4174">
        <f ca="1"/>
        <v>167.32</v>
      </c>
      <c r="G285" vm="4175">
        <f ca="1"/>
        <v>137.85</v>
      </c>
      <c r="H285" vm="4176">
        <f ca="1"/>
        <v>339.85</v>
      </c>
      <c r="I285" vm="4177">
        <f ca="1"/>
        <v>137.06</v>
      </c>
      <c r="J285" vm="4178">
        <f ca="1"/>
        <v>325</v>
      </c>
      <c r="K285" vm="4064">
        <f ca="1"/>
        <v>73</v>
      </c>
      <c r="L285" vm="4179">
        <f ca="1"/>
        <v>282.2</v>
      </c>
      <c r="M285" vm="4180">
        <f ca="1"/>
        <v>254.85</v>
      </c>
      <c r="N285" vm="3958">
        <f ca="1"/>
        <v>13.77</v>
      </c>
      <c r="O285" vm="4181">
        <f ca="1"/>
        <v>371.25</v>
      </c>
      <c r="Q285" s="4">
        <f t="shared" ca="1" si="107"/>
        <v>-1.7066085693536626E-2</v>
      </c>
      <c r="R285" s="4">
        <f t="shared" ca="1" si="108"/>
        <v>3.0186255619781832E-2</v>
      </c>
      <c r="S285" s="4">
        <f t="shared" ca="1" si="87"/>
        <v>4.3888284367065822E-2</v>
      </c>
      <c r="T285" s="4">
        <f t="shared" ca="1" si="94"/>
        <v>-7.0042317233328655E-3</v>
      </c>
      <c r="U285" s="4">
        <f t="shared" ca="1" si="95"/>
        <v>3.9384615384615351E-2</v>
      </c>
      <c r="V285" s="4">
        <f t="shared" ca="1" si="109"/>
        <v>-2.2730158730158823E-2</v>
      </c>
      <c r="W285" s="4">
        <f t="shared" ca="1" si="110"/>
        <v>-2.3906287353570033E-4</v>
      </c>
      <c r="X285" s="4">
        <f t="shared" ca="1" si="105"/>
        <v>1.1771630370807085E-3</v>
      </c>
      <c r="Y285" s="4">
        <f t="shared" ca="1" si="91"/>
        <v>-3.226982680036472E-2</v>
      </c>
      <c r="Z285" s="4">
        <f t="shared" ca="1" si="106"/>
        <v>-2.1970233876683176E-2</v>
      </c>
      <c r="AA285" s="4">
        <f t="shared" ca="1" si="93"/>
        <v>-6.3263204354863101E-3</v>
      </c>
      <c r="AB285" s="4">
        <f t="shared" ca="1" si="96"/>
        <v>1.8720538720538693E-2</v>
      </c>
      <c r="AC285" s="4">
        <f t="shared" ca="1" si="97"/>
        <v>-8.0515297906602612E-3</v>
      </c>
      <c r="AD285" s="4"/>
      <c r="AE285" s="2" cm="1">
        <f t="array" aca="1" ref="AE285" ca="1">SUMPRODUCT(Q285:AB285,TRANSPOSE(Insights.!$H$4:$H$15))</f>
        <v>4.2739859708836956E-3</v>
      </c>
      <c r="AG285" vm="4171">
        <f ca="1"/>
        <v>46065</v>
      </c>
      <c r="AH285" s="1" vm="4182">
        <f ca="1"/>
        <v>109.6</v>
      </c>
      <c r="AI285" s="2">
        <f t="shared" ca="1" si="84"/>
        <v>8.211678832117375E-4</v>
      </c>
      <c r="AJ285" s="1" vm="4183">
        <f ca="1"/>
        <v>113.425</v>
      </c>
      <c r="AK285" s="2">
        <f t="shared" ca="1" si="98"/>
        <v>8.8163985012101875E-5</v>
      </c>
      <c r="AL285" s="1" vm="4081">
        <f ca="1"/>
        <v>60.64</v>
      </c>
      <c r="AM285" s="2">
        <f t="shared" ca="1" si="99"/>
        <v>-2.4736147757256077E-3</v>
      </c>
      <c r="AO285" s="9">
        <f t="shared" ca="1" si="100"/>
        <v>88.202325312004206</v>
      </c>
      <c r="AP285">
        <f t="shared" ca="1" si="101"/>
        <v>101.63204747774488</v>
      </c>
      <c r="AQ285">
        <f t="shared" ca="1" si="102"/>
        <v>107.71604938271618</v>
      </c>
      <c r="AR285">
        <f t="shared" ca="1" si="103"/>
        <v>123.64155367519636</v>
      </c>
      <c r="AT285" s="21">
        <f ca="1">MAX($AO$3:AO286)</f>
        <v>106.96839029133979</v>
      </c>
      <c r="AU285" s="2">
        <f t="shared" ca="1" si="104"/>
        <v>-0.17543561166269972</v>
      </c>
    </row>
    <row r="286" spans="1:52" x14ac:dyDescent="0.25">
      <c r="A286" vm="4184">
        <f ca="1"/>
        <v>46066</v>
      </c>
      <c r="B286" vm="4185">
        <f ca="1"/>
        <v>153.91999999999999</v>
      </c>
      <c r="C286" vm="3335">
        <f ca="1"/>
        <v>308</v>
      </c>
      <c r="D286" vm="970">
        <f ca="1"/>
        <v>265.39999999999998</v>
      </c>
      <c r="E286" vm="4186">
        <f ca="1"/>
        <v>160.4</v>
      </c>
      <c r="F286" vm="991">
        <f ca="1"/>
        <v>167.28</v>
      </c>
      <c r="G286" vm="4187">
        <f ca="1"/>
        <v>143.9</v>
      </c>
      <c r="H286" vm="4188">
        <f ca="1"/>
        <v>337.7</v>
      </c>
      <c r="I286" vm="267">
        <f ca="1"/>
        <v>136.1</v>
      </c>
      <c r="J286" vm="3657">
        <f ca="1"/>
        <v>337.8</v>
      </c>
      <c r="K286" vm="4189">
        <f ca="1"/>
        <v>82.5</v>
      </c>
      <c r="L286" vm="4190">
        <f ca="1"/>
        <v>276</v>
      </c>
      <c r="M286" vm="4191">
        <f ca="1"/>
        <v>255.15</v>
      </c>
      <c r="N286" vm="4192">
        <f ca="1"/>
        <v>13.535</v>
      </c>
      <c r="O286" vm="4193">
        <f ca="1"/>
        <v>378.2</v>
      </c>
      <c r="Q286" s="4">
        <f t="shared" ca="1" si="107"/>
        <v>7.3882526782420577E-4</v>
      </c>
      <c r="R286" s="4">
        <f t="shared" ca="1" si="108"/>
        <v>4.9875311720692928E-4</v>
      </c>
      <c r="S286" s="4">
        <f t="shared" ca="1" si="87"/>
        <v>3.8220986796384526E-3</v>
      </c>
      <c r="T286" s="4">
        <f t="shared" ca="1" si="94"/>
        <v>0</v>
      </c>
      <c r="U286" s="4">
        <f t="shared" ca="1" si="95"/>
        <v>3.3155713439905199E-2</v>
      </c>
      <c r="V286" s="4">
        <f t="shared" ca="1" si="109"/>
        <v>2.5987525987525295E-3</v>
      </c>
      <c r="W286" s="4">
        <f t="shared" ca="1" si="110"/>
        <v>9.4452415112387111E-3</v>
      </c>
      <c r="X286" s="4">
        <f t="shared" ca="1" si="105"/>
        <v>-1.1757789535568053E-3</v>
      </c>
      <c r="Y286" s="4">
        <f t="shared" ca="1" si="91"/>
        <v>-1.5071590052749828E-3</v>
      </c>
      <c r="Z286" s="4">
        <f t="shared" ca="1" si="106"/>
        <v>0</v>
      </c>
      <c r="AA286" s="4">
        <f t="shared" ref="AA286:AA311" ca="1" si="111">H287/H286-1</f>
        <v>6.514657980456029E-3</v>
      </c>
      <c r="AB286" s="4">
        <f t="shared" ca="1" si="96"/>
        <v>2.3003701745108351E-2</v>
      </c>
      <c r="AC286" s="4">
        <f t="shared" ca="1" si="97"/>
        <v>1.6233766233766156E-2</v>
      </c>
      <c r="AD286" s="4"/>
      <c r="AE286" s="2" cm="1">
        <f t="array" aca="1" ref="AE286" ca="1">SUMPRODUCT(Q286:AB286,TRANSPOSE(Insights.!$H$4:$H$15))</f>
        <v>6.1815530833580108E-3</v>
      </c>
      <c r="AG286" vm="4184">
        <f ca="1"/>
        <v>46066</v>
      </c>
      <c r="AH286" s="1" vm="4194">
        <f ca="1"/>
        <v>109.69</v>
      </c>
      <c r="AI286" s="2">
        <f t="shared" ca="1" si="84"/>
        <v>-2.1879843194456683E-3</v>
      </c>
      <c r="AJ286" s="1" vm="4104">
        <f ca="1"/>
        <v>113.435</v>
      </c>
      <c r="AK286" s="2">
        <f t="shared" ca="1" si="98"/>
        <v>-9.6090271961917217E-3</v>
      </c>
      <c r="AL286" s="1" vm="4195">
        <f ca="1"/>
        <v>60.49</v>
      </c>
      <c r="AM286" s="2">
        <f t="shared" ca="1" si="99"/>
        <v>-3.306331625062553E-4</v>
      </c>
      <c r="AO286" s="9">
        <f t="shared" ca="1" si="100"/>
        <v>88.579300812987043</v>
      </c>
      <c r="AP286">
        <f t="shared" ca="1" si="101"/>
        <v>101.71550445103865</v>
      </c>
      <c r="AQ286">
        <f t="shared" ca="1" si="102"/>
        <v>107.72554605887952</v>
      </c>
      <c r="AR286">
        <f t="shared" ca="1" si="103"/>
        <v>123.33571210113173</v>
      </c>
      <c r="AT286" s="21">
        <f ca="1">MAX($AO$3:AO287)</f>
        <v>106.96839029133979</v>
      </c>
      <c r="AU286" s="2">
        <f t="shared" ca="1" si="104"/>
        <v>-0.17191143503485562</v>
      </c>
    </row>
    <row r="287" spans="1:52" x14ac:dyDescent="0.25">
      <c r="A287" vm="4196">
        <f ca="1"/>
        <v>46069</v>
      </c>
      <c r="B287" vm="4197">
        <f ca="1"/>
        <v>154.32</v>
      </c>
      <c r="C287" vm="4198">
        <f ca="1"/>
        <v>313</v>
      </c>
      <c r="D287" vm="495">
        <f ca="1"/>
        <v>265</v>
      </c>
      <c r="E287" vm="1278">
        <f ca="1"/>
        <v>160.47999999999999</v>
      </c>
      <c r="F287" vm="4199">
        <f ca="1"/>
        <v>168.86</v>
      </c>
      <c r="G287" vm="4200">
        <f ca="1"/>
        <v>144.44999999999999</v>
      </c>
      <c r="H287" vm="4201">
        <f ca="1"/>
        <v>339.9</v>
      </c>
      <c r="I287" vm="267">
        <f ca="1"/>
        <v>136.1</v>
      </c>
      <c r="J287" vm="4202">
        <f ca="1"/>
        <v>349</v>
      </c>
      <c r="K287" vm="2722">
        <f ca="1"/>
        <v>83</v>
      </c>
      <c r="L287" vm="4190">
        <f ca="1"/>
        <v>276</v>
      </c>
      <c r="M287" vm="4180">
        <f ca="1"/>
        <v>254.85</v>
      </c>
      <c r="N287" vm="4203">
        <f ca="1"/>
        <v>13.545</v>
      </c>
      <c r="O287" vm="4204">
        <f ca="1"/>
        <v>386.9</v>
      </c>
      <c r="Q287" s="4">
        <f t="shared" ca="1" si="107"/>
        <v>-2.1410114433370153E-2</v>
      </c>
      <c r="R287" s="4">
        <f t="shared" ca="1" si="108"/>
        <v>-3.215353938185439E-2</v>
      </c>
      <c r="S287" s="4">
        <f t="shared" ca="1" si="87"/>
        <v>2.3883696780893082E-2</v>
      </c>
      <c r="T287" s="4">
        <f t="shared" ca="1" si="94"/>
        <v>-1.1462160176340941E-2</v>
      </c>
      <c r="U287" s="4">
        <f t="shared" ca="1" si="95"/>
        <v>7.1633237822354978E-4</v>
      </c>
      <c r="V287" s="4">
        <f t="shared" ca="1" si="109"/>
        <v>1.153447382063244E-2</v>
      </c>
      <c r="W287" s="4">
        <f t="shared" ca="1" si="110"/>
        <v>1.895060997275877E-3</v>
      </c>
      <c r="X287" s="4">
        <f t="shared" ca="1" si="105"/>
        <v>1.8246027074749982E-2</v>
      </c>
      <c r="Y287" s="4">
        <f t="shared" ca="1" si="91"/>
        <v>1.9245283018868076E-2</v>
      </c>
      <c r="Z287" s="4">
        <f t="shared" ca="1" si="106"/>
        <v>1.2137681159420266E-2</v>
      </c>
      <c r="AA287" s="4">
        <f t="shared" ca="1" si="111"/>
        <v>-1.4710208884966214E-2</v>
      </c>
      <c r="AB287" s="4">
        <f t="shared" ca="1" si="96"/>
        <v>2.9594210390281761E-2</v>
      </c>
      <c r="AC287" s="4">
        <f t="shared" ca="1" si="97"/>
        <v>-1.4376996805111841E-2</v>
      </c>
      <c r="AD287" s="4"/>
      <c r="AE287" s="2" cm="1">
        <f t="array" aca="1" ref="AE287" ca="1">SUMPRODUCT(Q287:AB287,TRANSPOSE(Insights.!$H$4:$H$15))</f>
        <v>2.3650819661840176E-3</v>
      </c>
      <c r="AG287" vm="4196">
        <f ca="1"/>
        <v>46069</v>
      </c>
      <c r="AH287" s="1" vm="4205">
        <f ca="1"/>
        <v>109.45</v>
      </c>
      <c r="AI287" s="2">
        <f t="shared" ca="1" si="84"/>
        <v>5.4819552306994979E-4</v>
      </c>
      <c r="AJ287" s="1" vm="4206">
        <f ca="1"/>
        <v>112.345</v>
      </c>
      <c r="AK287" s="2">
        <f t="shared" ca="1" si="98"/>
        <v>-6.2308068894911806E-4</v>
      </c>
      <c r="AL287" s="1" vm="4207">
        <f ca="1"/>
        <v>60.47</v>
      </c>
      <c r="AM287" s="2">
        <f t="shared" ca="1" si="99"/>
        <v>6.2841078220605695E-3</v>
      </c>
      <c r="AO287" s="9">
        <f t="shared" ca="1" si="100"/>
        <v>89.12685846304926</v>
      </c>
      <c r="AP287">
        <f t="shared" ca="1" si="101"/>
        <v>101.49295252225528</v>
      </c>
      <c r="AQ287">
        <f t="shared" ca="1" si="102"/>
        <v>106.69040835707514</v>
      </c>
      <c r="AR287">
        <f t="shared" ca="1" si="103"/>
        <v>123.29493322458977</v>
      </c>
      <c r="AT287" s="21">
        <f ca="1">MAX($AO$3:AO288)</f>
        <v>106.96839029133979</v>
      </c>
      <c r="AU287" s="2">
        <f t="shared" ca="1" si="104"/>
        <v>-0.16679256161280187</v>
      </c>
    </row>
    <row r="288" spans="1:52" x14ac:dyDescent="0.25">
      <c r="A288" vm="4208">
        <f ca="1"/>
        <v>46070</v>
      </c>
      <c r="B288" vm="4209">
        <f ca="1"/>
        <v>156.1</v>
      </c>
      <c r="C288" vm="4210">
        <f ca="1"/>
        <v>308.5</v>
      </c>
      <c r="D288" vm="4211">
        <f ca="1"/>
        <v>270.10000000000002</v>
      </c>
      <c r="E288" vm="4212">
        <f ca="1"/>
        <v>155.32</v>
      </c>
      <c r="F288" vm="4213">
        <f ca="1"/>
        <v>169.18</v>
      </c>
      <c r="G288" vm="4214">
        <f ca="1"/>
        <v>147.9</v>
      </c>
      <c r="H288" vm="4215">
        <f ca="1"/>
        <v>334.9</v>
      </c>
      <c r="I288" vm="4216">
        <f ca="1"/>
        <v>134.54</v>
      </c>
      <c r="J288" vm="4217">
        <f ca="1"/>
        <v>349.25</v>
      </c>
      <c r="K288" vm="2735">
        <f ca="1"/>
        <v>80.5</v>
      </c>
      <c r="L288" vm="4218">
        <f ca="1"/>
        <v>279.35000000000002</v>
      </c>
      <c r="M288" vm="4219">
        <f ca="1"/>
        <v>259.5</v>
      </c>
      <c r="N288" vm="4220">
        <f ca="1"/>
        <v>13.255000000000001</v>
      </c>
      <c r="O288" vm="4221">
        <f ca="1"/>
        <v>398.35</v>
      </c>
      <c r="Q288" s="4">
        <f t="shared" ca="1" si="107"/>
        <v>-9.0531874764240294E-3</v>
      </c>
      <c r="R288" s="4">
        <f t="shared" ca="1" si="108"/>
        <v>9.2711820757145347E-3</v>
      </c>
      <c r="S288" s="4">
        <f t="shared" ca="1" si="87"/>
        <v>-1.6903313049357882E-3</v>
      </c>
      <c r="T288" s="4">
        <f t="shared" ca="1" si="94"/>
        <v>-1.6203359595659106E-2</v>
      </c>
      <c r="U288" s="4">
        <f t="shared" ca="1" si="95"/>
        <v>2.7201145311381625E-2</v>
      </c>
      <c r="V288" s="4">
        <f t="shared" ca="1" si="109"/>
        <v>2.2934016655989931E-2</v>
      </c>
      <c r="W288" s="4">
        <f t="shared" ca="1" si="110"/>
        <v>2.860858257477239E-2</v>
      </c>
      <c r="X288" s="4">
        <f t="shared" ca="1" si="105"/>
        <v>1.2138728323699333E-2</v>
      </c>
      <c r="Y288" s="4">
        <f t="shared" ca="1" si="91"/>
        <v>9.9962976675305182E-3</v>
      </c>
      <c r="Z288" s="4">
        <f t="shared" ca="1" si="106"/>
        <v>2.0583497404689455E-2</v>
      </c>
      <c r="AA288" s="4">
        <f t="shared" ca="1" si="111"/>
        <v>1.4929829799940286E-2</v>
      </c>
      <c r="AB288" s="4">
        <f t="shared" ca="1" si="96"/>
        <v>1.7321450985314346E-2</v>
      </c>
      <c r="AC288" s="4">
        <f t="shared" ca="1" si="97"/>
        <v>-6.4829821717989899E-3</v>
      </c>
      <c r="AD288" s="4"/>
      <c r="AE288" s="2" cm="1">
        <f t="array" aca="1" ref="AE288" ca="1">SUMPRODUCT(Q288:AB288,TRANSPOSE(Insights.!$H$4:$H$15))</f>
        <v>1.1180250992039472E-2</v>
      </c>
      <c r="AG288" vm="4208">
        <f ca="1"/>
        <v>46070</v>
      </c>
      <c r="AH288" s="1" vm="4222">
        <f ca="1"/>
        <v>109.51</v>
      </c>
      <c r="AI288" s="2">
        <f t="shared" ca="1" si="84"/>
        <v>9.4055337412108919E-3</v>
      </c>
      <c r="AJ288" s="1" vm="4223">
        <f ca="1"/>
        <v>112.27500000000001</v>
      </c>
      <c r="AK288" s="2">
        <f t="shared" ca="1" si="98"/>
        <v>-2.5829436651080284E-3</v>
      </c>
      <c r="AL288" s="1" vm="4224">
        <f ca="1"/>
        <v>60.85</v>
      </c>
      <c r="AM288" s="2">
        <f t="shared" ca="1" si="99"/>
        <v>9.5316351684469058E-3</v>
      </c>
      <c r="AO288" s="9">
        <f t="shared" ca="1" si="100"/>
        <v>89.337650788702859</v>
      </c>
      <c r="AP288">
        <f t="shared" ca="1" si="101"/>
        <v>101.54859050445113</v>
      </c>
      <c r="AQ288">
        <f t="shared" ca="1" si="102"/>
        <v>106.62393162393175</v>
      </c>
      <c r="AR288">
        <f t="shared" ca="1" si="103"/>
        <v>124.06973187888686</v>
      </c>
      <c r="AT288" s="21">
        <f ca="1">MAX($AO$3:AO289)</f>
        <v>106.96839029133979</v>
      </c>
      <c r="AU288" s="2">
        <f t="shared" ca="1" si="104"/>
        <v>-0.1648219577261818</v>
      </c>
    </row>
    <row r="289" spans="1:47" x14ac:dyDescent="0.25">
      <c r="A289" vm="4225">
        <f ca="1"/>
        <v>46071</v>
      </c>
      <c r="B289" vm="2942">
        <f ca="1"/>
        <v>159.68</v>
      </c>
      <c r="C289" vm="4226">
        <f ca="1"/>
        <v>306.5</v>
      </c>
      <c r="D289" vm="4227">
        <f ca="1"/>
        <v>272.8</v>
      </c>
      <c r="E289" vm="3976">
        <f ca="1"/>
        <v>156.76</v>
      </c>
      <c r="F289" vm="4228">
        <f ca="1"/>
        <v>174.02</v>
      </c>
      <c r="G289" vm="4229">
        <f ca="1"/>
        <v>147.65</v>
      </c>
      <c r="H289" vm="4201">
        <f ca="1"/>
        <v>339.9</v>
      </c>
      <c r="I289" vm="4230">
        <f ca="1"/>
        <v>132.36000000000001</v>
      </c>
      <c r="J289" vm="4231">
        <f ca="1"/>
        <v>358.75</v>
      </c>
      <c r="K289" vm="3555">
        <f ca="1"/>
        <v>85</v>
      </c>
      <c r="L289" vm="2401">
        <f ca="1"/>
        <v>285.10000000000002</v>
      </c>
      <c r="M289" vm="4232">
        <f ca="1"/>
        <v>262.64999999999998</v>
      </c>
      <c r="N289" vm="4233">
        <f ca="1"/>
        <v>13.135</v>
      </c>
      <c r="O289" vm="4234">
        <f ca="1"/>
        <v>405.25</v>
      </c>
      <c r="Q289" s="4">
        <f t="shared" ca="1" si="107"/>
        <v>7.613247049866656E-3</v>
      </c>
      <c r="R289" s="4">
        <f t="shared" ca="1" si="108"/>
        <v>9.441183975503975E-3</v>
      </c>
      <c r="S289" s="4">
        <f t="shared" ca="1" si="87"/>
        <v>-1.2868269556383427E-2</v>
      </c>
      <c r="T289" s="4">
        <f t="shared" ca="1" si="94"/>
        <v>1.888788153520693E-2</v>
      </c>
      <c r="U289" s="4">
        <f t="shared" ca="1" si="95"/>
        <v>-1.9512195121951237E-3</v>
      </c>
      <c r="V289" s="4">
        <f t="shared" ca="1" si="109"/>
        <v>-2.5050100200418868E-4</v>
      </c>
      <c r="W289" s="4">
        <f t="shared" ca="1" si="110"/>
        <v>-6.895759108148658E-4</v>
      </c>
      <c r="X289" s="4">
        <f t="shared" ca="1" si="105"/>
        <v>-3.6169807728916314E-3</v>
      </c>
      <c r="Y289" s="4">
        <f t="shared" ca="1" si="91"/>
        <v>-8.9809384164222239E-3</v>
      </c>
      <c r="Z289" s="4">
        <f t="shared" ca="1" si="106"/>
        <v>3.1567870922482033E-3</v>
      </c>
      <c r="AA289" s="4">
        <f t="shared" ca="1" si="111"/>
        <v>-4.1188584877904777E-3</v>
      </c>
      <c r="AB289" s="4">
        <f t="shared" ca="1" si="96"/>
        <v>2.6280074028377509E-2</v>
      </c>
      <c r="AC289" s="4">
        <f t="shared" ca="1" si="97"/>
        <v>-1.6313213703099683E-3</v>
      </c>
      <c r="AD289" s="4"/>
      <c r="AE289" s="2" cm="1">
        <f t="array" aca="1" ref="AE289" ca="1">SUMPRODUCT(Q289:AB289,TRANSPOSE(Insights.!$H$4:$H$15))</f>
        <v>2.2514069247305192E-3</v>
      </c>
      <c r="AG289" vm="4225">
        <f ca="1"/>
        <v>46071</v>
      </c>
      <c r="AH289" s="1" vm="379">
        <f ca="1"/>
        <v>110.54</v>
      </c>
      <c r="AI289" s="2">
        <f t="shared" ca="1" si="84"/>
        <v>-3.0305771666365722E-3</v>
      </c>
      <c r="AJ289" s="1" vm="4235">
        <f ca="1"/>
        <v>111.985</v>
      </c>
      <c r="AK289" s="2">
        <f t="shared" ca="1" si="98"/>
        <v>2.8575255614591288E-3</v>
      </c>
      <c r="AL289" s="1" vm="4236">
        <f ca="1"/>
        <v>61.43</v>
      </c>
      <c r="AM289" s="2">
        <f t="shared" ca="1" si="99"/>
        <v>-6.5114764772912226E-3</v>
      </c>
      <c r="AO289" s="9">
        <f t="shared" ca="1" si="100"/>
        <v>90.336468147559742</v>
      </c>
      <c r="AP289">
        <f t="shared" ca="1" si="101"/>
        <v>102.50370919881316</v>
      </c>
      <c r="AQ289">
        <f t="shared" ca="1" si="102"/>
        <v>106.3485280151948</v>
      </c>
      <c r="AR289">
        <f t="shared" ca="1" si="103"/>
        <v>125.25231929860344</v>
      </c>
      <c r="AT289" s="21">
        <f ca="1">MAX($AO$3:AO290)</f>
        <v>106.96839029133979</v>
      </c>
      <c r="AU289" s="2">
        <f t="shared" ca="1" si="104"/>
        <v>-0.15548445759052032</v>
      </c>
    </row>
    <row r="290" spans="1:47" x14ac:dyDescent="0.25">
      <c r="A290" vm="4237">
        <f ca="1"/>
        <v>46072</v>
      </c>
      <c r="B290" vm="4238">
        <f ca="1"/>
        <v>159.63999999999999</v>
      </c>
      <c r="C290" vm="1839">
        <f ca="1"/>
        <v>306</v>
      </c>
      <c r="D290" vm="4239">
        <f ca="1"/>
        <v>270.35000000000002</v>
      </c>
      <c r="E290" vm="4240">
        <f ca="1"/>
        <v>158.24</v>
      </c>
      <c r="F290" vm="2477">
        <f ca="1"/>
        <v>173.9</v>
      </c>
      <c r="G290" vm="4241">
        <f ca="1"/>
        <v>145.75</v>
      </c>
      <c r="H290" vm="4242">
        <f ca="1"/>
        <v>338.5</v>
      </c>
      <c r="I290" vm="4243">
        <f ca="1"/>
        <v>134.86000000000001</v>
      </c>
      <c r="J290" vm="4244">
        <f ca="1"/>
        <v>358.05</v>
      </c>
      <c r="K290" vm="2859">
        <f ca="1"/>
        <v>89.5</v>
      </c>
      <c r="L290" vm="3537">
        <f ca="1"/>
        <v>286</v>
      </c>
      <c r="M290" vm="4245">
        <f ca="1"/>
        <v>261.7</v>
      </c>
      <c r="N290" vm="4246">
        <f ca="1"/>
        <v>13.234999999999999</v>
      </c>
      <c r="O290" vm="4247">
        <f ca="1"/>
        <v>415.9</v>
      </c>
      <c r="Q290" s="4">
        <f t="shared" ca="1" si="107"/>
        <v>-1.397808840196435E-2</v>
      </c>
      <c r="R290" s="4">
        <f t="shared" ca="1" si="108"/>
        <v>-3.2861476238625897E-3</v>
      </c>
      <c r="S290" s="4">
        <f t="shared" ca="1" si="87"/>
        <v>-7.547169811320753E-3</v>
      </c>
      <c r="T290" s="4">
        <f t="shared" ca="1" si="94"/>
        <v>1.0381135992881374E-2</v>
      </c>
      <c r="U290" s="4">
        <f t="shared" ca="1" si="95"/>
        <v>-1.536098310291889E-3</v>
      </c>
      <c r="V290" s="4">
        <f t="shared" ca="1" si="109"/>
        <v>8.769731896767663E-3</v>
      </c>
      <c r="W290" s="4">
        <f t="shared" ca="1" si="110"/>
        <v>2.1506612995974672E-2</v>
      </c>
      <c r="X290" s="4">
        <f t="shared" ca="1" si="105"/>
        <v>1.1463507833398001E-3</v>
      </c>
      <c r="Y290" s="4">
        <f t="shared" ca="1" si="91"/>
        <v>5.7333086739410621E-3</v>
      </c>
      <c r="Z290" s="4">
        <f t="shared" ca="1" si="106"/>
        <v>-5.4195804195804609E-3</v>
      </c>
      <c r="AA290" s="4">
        <f t="shared" ca="1" si="111"/>
        <v>-2.0679468242245092E-3</v>
      </c>
      <c r="AB290" s="4">
        <f t="shared" ca="1" si="96"/>
        <v>1.0459245010820073E-2</v>
      </c>
      <c r="AC290" s="4">
        <f t="shared" ca="1" si="97"/>
        <v>2.450980392156854E-2</v>
      </c>
      <c r="AD290" s="4"/>
      <c r="AE290" s="2" cm="1">
        <f t="array" aca="1" ref="AE290" ca="1">SUMPRODUCT(Q290:AB290,TRANSPOSE(Insights.!$H$4:$H$15))</f>
        <v>9.3757264521072037E-4</v>
      </c>
      <c r="AG290" vm="4237">
        <f ca="1"/>
        <v>46072</v>
      </c>
      <c r="AH290" s="1" vm="279">
        <f ca="1"/>
        <v>110.205</v>
      </c>
      <c r="AI290" s="2">
        <f t="shared" ca="1" si="84"/>
        <v>7.8036386733815188E-3</v>
      </c>
      <c r="AJ290" s="1" vm="4248">
        <f ca="1"/>
        <v>112.30500000000001</v>
      </c>
      <c r="AK290" s="2">
        <f t="shared" ca="1" si="98"/>
        <v>1.0952317350073404E-2</v>
      </c>
      <c r="AL290" s="1" vm="4249">
        <f ca="1"/>
        <v>61.03</v>
      </c>
      <c r="AM290" s="2">
        <f t="shared" ca="1" si="99"/>
        <v>1.2944453547435675E-2</v>
      </c>
      <c r="AO290" s="9">
        <f t="shared" ca="1" si="100"/>
        <v>90.539852297502861</v>
      </c>
      <c r="AP290">
        <f t="shared" ca="1" si="101"/>
        <v>102.19306379821968</v>
      </c>
      <c r="AQ290">
        <f t="shared" ca="1" si="102"/>
        <v>106.65242165242178</v>
      </c>
      <c r="AR290">
        <f t="shared" ca="1" si="103"/>
        <v>124.43674176776442</v>
      </c>
      <c r="AT290" s="21">
        <f ca="1">MAX($AO$3:AO291)</f>
        <v>106.96839029133979</v>
      </c>
      <c r="AU290" s="2">
        <f t="shared" ca="1" si="104"/>
        <v>-0.15358310945029696</v>
      </c>
    </row>
    <row r="291" spans="1:47" x14ac:dyDescent="0.25">
      <c r="A291" vm="4250">
        <f ca="1"/>
        <v>46073</v>
      </c>
      <c r="B291" vm="4251">
        <f ca="1"/>
        <v>161.04</v>
      </c>
      <c r="C291" vm="1619">
        <f ca="1"/>
        <v>313.5</v>
      </c>
      <c r="D291" vm="4252">
        <f ca="1"/>
        <v>271.89999999999998</v>
      </c>
      <c r="E291" vm="4253">
        <f ca="1"/>
        <v>157.72</v>
      </c>
      <c r="F291" vm="4254">
        <f ca="1"/>
        <v>177.64</v>
      </c>
      <c r="G291" vm="4255">
        <f ca="1"/>
        <v>144.65</v>
      </c>
      <c r="H291" vm="3657">
        <f ca="1"/>
        <v>337.8</v>
      </c>
      <c r="I291" vm="4256">
        <f ca="1"/>
        <v>136.26</v>
      </c>
      <c r="J291" vm="4257">
        <f ca="1"/>
        <v>357.5</v>
      </c>
      <c r="K291" vm="3581">
        <f ca="1"/>
        <v>86</v>
      </c>
      <c r="L291" vm="4258">
        <f ca="1"/>
        <v>284.45</v>
      </c>
      <c r="M291" vm="823">
        <f ca="1"/>
        <v>262</v>
      </c>
      <c r="N291" vm="4259">
        <f ca="1"/>
        <v>13.05</v>
      </c>
      <c r="O291" vm="4260">
        <f ca="1"/>
        <v>420.25</v>
      </c>
      <c r="Q291" s="4">
        <f t="shared" ca="1" si="107"/>
        <v>-1.072796934865905E-2</v>
      </c>
      <c r="R291" s="4">
        <f t="shared" ca="1" si="108"/>
        <v>-5.3005325893989208E-2</v>
      </c>
      <c r="S291" s="4">
        <f t="shared" ca="1" si="87"/>
        <v>-1.0715520221223684E-2</v>
      </c>
      <c r="T291" s="4">
        <f t="shared" ca="1" si="94"/>
        <v>2.0108615881403225E-2</v>
      </c>
      <c r="U291" s="4">
        <f t="shared" ca="1" si="95"/>
        <v>-3.2167832167832144E-2</v>
      </c>
      <c r="V291" s="4">
        <f t="shared" ca="1" si="109"/>
        <v>6.0854446100349069E-3</v>
      </c>
      <c r="W291" s="4">
        <f t="shared" ca="1" si="110"/>
        <v>-2.37559108308939E-2</v>
      </c>
      <c r="X291" s="4">
        <f t="shared" ca="1" si="105"/>
        <v>-4.0648854961832126E-2</v>
      </c>
      <c r="Y291" s="4">
        <f t="shared" ca="1" si="91"/>
        <v>-4.7443913203383481E-2</v>
      </c>
      <c r="Z291" s="4">
        <f t="shared" ca="1" si="106"/>
        <v>-8.2615573914570639E-3</v>
      </c>
      <c r="AA291" s="4">
        <f t="shared" ca="1" si="111"/>
        <v>-3.6708111308466629E-2</v>
      </c>
      <c r="AB291" s="4">
        <f t="shared" ca="1" si="96"/>
        <v>-5.1397977394408101E-2</v>
      </c>
      <c r="AC291" s="4">
        <f t="shared" ca="1" si="97"/>
        <v>1.5948963317384823E-3</v>
      </c>
      <c r="AD291" s="4"/>
      <c r="AE291" s="2" cm="1">
        <f t="array" aca="1" ref="AE291" ca="1">SUMPRODUCT(Q291:AB291,TRANSPOSE(Insights.!$H$4:$H$15))</f>
        <v>-2.5764159927567636E-2</v>
      </c>
      <c r="AG291" vm="4250">
        <f ca="1"/>
        <v>46073</v>
      </c>
      <c r="AH291" s="1" vm="4261">
        <f ca="1"/>
        <v>111.065</v>
      </c>
      <c r="AI291" s="2">
        <f t="shared" ca="1" si="84"/>
        <v>-1.1299689371088939E-2</v>
      </c>
      <c r="AJ291" s="1" vm="4262">
        <f ca="1"/>
        <v>113.535</v>
      </c>
      <c r="AK291" s="2">
        <f t="shared" ca="1" si="98"/>
        <v>-1.3211784912140478E-3</v>
      </c>
      <c r="AL291" s="1" vm="4263">
        <f ca="1"/>
        <v>61.82</v>
      </c>
      <c r="AM291" s="2">
        <f t="shared" ca="1" si="99"/>
        <v>3.2351989647372292E-4</v>
      </c>
      <c r="AO291" s="9">
        <f t="shared" ca="1" si="100"/>
        <v>90.624739986318417</v>
      </c>
      <c r="AP291">
        <f t="shared" ca="1" si="101"/>
        <v>102.99054154302681</v>
      </c>
      <c r="AQ291">
        <f t="shared" ca="1" si="102"/>
        <v>107.82051282051295</v>
      </c>
      <c r="AR291">
        <f t="shared" ca="1" si="103"/>
        <v>126.04750739117149</v>
      </c>
      <c r="AT291" s="21">
        <f ca="1">MAX($AO$3:AO292)</f>
        <v>106.96839029133979</v>
      </c>
      <c r="AU291" s="2">
        <f t="shared" ca="1" si="104"/>
        <v>-0.15278953212727331</v>
      </c>
    </row>
    <row r="292" spans="1:47" x14ac:dyDescent="0.25">
      <c r="A292" vm="4264">
        <f ca="1"/>
        <v>46076</v>
      </c>
      <c r="B292" vm="3312">
        <f ca="1"/>
        <v>162.02000000000001</v>
      </c>
      <c r="C292" vm="4265">
        <f ca="1"/>
        <v>314</v>
      </c>
      <c r="D292" vm="3653">
        <f ca="1"/>
        <v>259</v>
      </c>
      <c r="E292" vm="4266">
        <f ca="1"/>
        <v>149.36000000000001</v>
      </c>
      <c r="F292" vm="4267">
        <f ca="1"/>
        <v>173.42</v>
      </c>
      <c r="G292" vm="4268">
        <f ca="1"/>
        <v>143.1</v>
      </c>
      <c r="H292" vm="4269">
        <f ca="1"/>
        <v>325.39999999999998</v>
      </c>
      <c r="I292" vm="1216">
        <f ca="1"/>
        <v>139</v>
      </c>
      <c r="J292" vm="4270">
        <f ca="1"/>
        <v>346</v>
      </c>
      <c r="K292" vm="3555">
        <f ca="1"/>
        <v>85</v>
      </c>
      <c r="L292" vm="4271">
        <f ca="1"/>
        <v>282.10000000000002</v>
      </c>
      <c r="M292" vm="4272">
        <f ca="1"/>
        <v>251.35</v>
      </c>
      <c r="N292" vm="4273">
        <f ca="1"/>
        <v>12.91</v>
      </c>
      <c r="O292" vm="4274">
        <f ca="1"/>
        <v>398.65</v>
      </c>
      <c r="Q292" s="4">
        <f t="shared" ca="1" si="107"/>
        <v>4.2602633617350172E-3</v>
      </c>
      <c r="R292" s="4">
        <f t="shared" ca="1" si="108"/>
        <v>6.0792715586502233E-2</v>
      </c>
      <c r="S292" s="4">
        <f t="shared" ca="1" si="87"/>
        <v>-5.24109014675056E-3</v>
      </c>
      <c r="T292" s="4">
        <f t="shared" ca="1" si="94"/>
        <v>1.0647482014388476E-2</v>
      </c>
      <c r="U292" s="4">
        <f t="shared" ca="1" si="95"/>
        <v>1.7341040462427681E-2</v>
      </c>
      <c r="V292" s="4">
        <f t="shared" ca="1" si="109"/>
        <v>1.1603505740032105E-2</v>
      </c>
      <c r="W292" s="4">
        <f t="shared" ca="1" si="110"/>
        <v>1.949025487256395E-2</v>
      </c>
      <c r="X292" s="4">
        <f t="shared" ca="1" si="105"/>
        <v>5.3709966182613478E-3</v>
      </c>
      <c r="Y292" s="4">
        <f t="shared" ca="1" si="91"/>
        <v>5.0193050193050315E-3</v>
      </c>
      <c r="Z292" s="4">
        <f t="shared" ca="1" si="106"/>
        <v>-2.2509748316200007E-2</v>
      </c>
      <c r="AA292" s="4">
        <f t="shared" ca="1" si="111"/>
        <v>1.3829133374308578E-2</v>
      </c>
      <c r="AB292" s="4">
        <f t="shared" ca="1" si="96"/>
        <v>-7.6508215226387399E-3</v>
      </c>
      <c r="AC292" s="4">
        <f t="shared" ca="1" si="97"/>
        <v>4.7770700636942776E-2</v>
      </c>
      <c r="AD292" s="4"/>
      <c r="AE292" s="2" cm="1">
        <f t="array" aca="1" ref="AE292" ca="1">SUMPRODUCT(Q292:AB292,TRANSPOSE(Insights.!$H$4:$H$15))</f>
        <v>1.0085933398045414E-2</v>
      </c>
      <c r="AG292" vm="4264">
        <f ca="1"/>
        <v>46076</v>
      </c>
      <c r="AH292" s="1" vm="4275">
        <f ca="1"/>
        <v>109.81</v>
      </c>
      <c r="AI292" s="2">
        <f t="shared" ca="1" si="84"/>
        <v>9.1977051270375476E-3</v>
      </c>
      <c r="AJ292" s="1" vm="4276">
        <f ca="1"/>
        <v>113.38500000000001</v>
      </c>
      <c r="AK292" s="2">
        <f t="shared" ca="1" si="98"/>
        <v>2.5135599947083698E-3</v>
      </c>
      <c r="AL292" s="1" vm="4277">
        <f ca="1"/>
        <v>61.84</v>
      </c>
      <c r="AM292" s="2">
        <f t="shared" ca="1" si="99"/>
        <v>9.7024579560156532E-4</v>
      </c>
      <c r="AO292" s="9">
        <f t="shared" ca="1" si="100"/>
        <v>88.289869691916678</v>
      </c>
      <c r="AP292">
        <f t="shared" ca="1" si="101"/>
        <v>101.82678041543038</v>
      </c>
      <c r="AQ292">
        <f t="shared" ca="1" si="102"/>
        <v>107.67806267806282</v>
      </c>
      <c r="AR292">
        <f t="shared" ca="1" si="103"/>
        <v>126.08828626771346</v>
      </c>
      <c r="AT292" s="21">
        <f ca="1">MAX($AO$3:AO293)</f>
        <v>106.96839029133979</v>
      </c>
      <c r="AU292" s="2">
        <f t="shared" ca="1" si="104"/>
        <v>-0.17461719811385557</v>
      </c>
    </row>
    <row r="293" spans="1:47" x14ac:dyDescent="0.25">
      <c r="A293" vm="4278">
        <f ca="1"/>
        <v>46077</v>
      </c>
      <c r="B293" vm="4279">
        <f ca="1"/>
        <v>163.9</v>
      </c>
      <c r="C293" vm="4280">
        <f ca="1"/>
        <v>329</v>
      </c>
      <c r="D293" vm="4281">
        <f ca="1"/>
        <v>260.3</v>
      </c>
      <c r="E293" vm="4282">
        <f ca="1"/>
        <v>158.44</v>
      </c>
      <c r="F293" vm="4283">
        <f ca="1"/>
        <v>176.8</v>
      </c>
      <c r="G293" vm="4284">
        <f ca="1"/>
        <v>142.35</v>
      </c>
      <c r="H293" vm="4285">
        <f ca="1"/>
        <v>329.9</v>
      </c>
      <c r="I293" vm="4286">
        <f ca="1"/>
        <v>140.47999999999999</v>
      </c>
      <c r="J293" vm="4287">
        <f ca="1"/>
        <v>352</v>
      </c>
      <c r="K293" vm="4189">
        <f ca="1"/>
        <v>82.5</v>
      </c>
      <c r="L293" vm="4288">
        <f ca="1"/>
        <v>275.75</v>
      </c>
      <c r="M293" vm="4289">
        <f ca="1"/>
        <v>252.7</v>
      </c>
      <c r="N293" vm="4290">
        <f ca="1"/>
        <v>12.965</v>
      </c>
      <c r="O293" vm="4291">
        <f ca="1"/>
        <v>395.6</v>
      </c>
      <c r="Q293" s="4">
        <f t="shared" ca="1" si="107"/>
        <v>3.3551870420362562E-2</v>
      </c>
      <c r="R293" s="4">
        <f t="shared" ca="1" si="108"/>
        <v>2.676091895985877E-2</v>
      </c>
      <c r="S293" s="4">
        <f t="shared" ca="1" si="87"/>
        <v>4.7769582016157441E-2</v>
      </c>
      <c r="T293" s="4">
        <f t="shared" ca="1" si="94"/>
        <v>-1.0250569476081939E-2</v>
      </c>
      <c r="U293" s="4">
        <f t="shared" ca="1" si="95"/>
        <v>3.125E-2</v>
      </c>
      <c r="V293" s="4">
        <f t="shared" ca="1" si="109"/>
        <v>1.0250152532031764E-2</v>
      </c>
      <c r="W293" s="4">
        <f t="shared" ca="1" si="110"/>
        <v>1.0067873303167385E-2</v>
      </c>
      <c r="X293" s="4">
        <f t="shared" ca="1" si="105"/>
        <v>1.4048278591214824E-2</v>
      </c>
      <c r="Y293" s="4">
        <f t="shared" ca="1" si="91"/>
        <v>1.7287744909719516E-2</v>
      </c>
      <c r="Z293" s="4">
        <f t="shared" ca="1" si="106"/>
        <v>1.7407071622846715E-2</v>
      </c>
      <c r="AA293" s="4">
        <f t="shared" ca="1" si="111"/>
        <v>2.7280994240679091E-2</v>
      </c>
      <c r="AB293" s="4">
        <f t="shared" ca="1" si="96"/>
        <v>4.6764408493427112E-3</v>
      </c>
      <c r="AC293" s="4">
        <f t="shared" ca="1" si="97"/>
        <v>-3.0395136778115228E-3</v>
      </c>
      <c r="AD293" s="4"/>
      <c r="AE293" s="2" cm="1">
        <f t="array" aca="1" ref="AE293" ca="1">SUMPRODUCT(Q293:AB293,TRANSPOSE(Insights.!$H$4:$H$15))</f>
        <v>1.8662805297790828E-2</v>
      </c>
      <c r="AG293" vm="4278">
        <f ca="1"/>
        <v>46077</v>
      </c>
      <c r="AH293" s="1" vm="4292">
        <f ca="1"/>
        <v>110.82</v>
      </c>
      <c r="AI293" s="2">
        <f t="shared" ca="1" si="84"/>
        <v>6.7677314564158486E-3</v>
      </c>
      <c r="AJ293" s="1" vm="4293">
        <f ca="1"/>
        <v>113.67</v>
      </c>
      <c r="AK293" s="2">
        <f t="shared" ca="1" si="98"/>
        <v>-6.5980469780945183E-3</v>
      </c>
      <c r="AL293" s="1" vm="4294">
        <f ca="1"/>
        <v>61.9</v>
      </c>
      <c r="AM293" s="2">
        <f t="shared" ca="1" si="99"/>
        <v>8.0775444264944429E-3</v>
      </c>
      <c r="AO293" s="9">
        <f t="shared" ca="1" si="100"/>
        <v>89.180355437351466</v>
      </c>
      <c r="AP293">
        <f t="shared" ca="1" si="101"/>
        <v>102.76335311572711</v>
      </c>
      <c r="AQ293">
        <f t="shared" ca="1" si="102"/>
        <v>107.9487179487181</v>
      </c>
      <c r="AR293">
        <f t="shared" ca="1" si="103"/>
        <v>126.21062289733931</v>
      </c>
      <c r="AT293" s="21">
        <f ca="1">MAX($AO$3:AO294)</f>
        <v>106.96839029133979</v>
      </c>
      <c r="AU293" s="2">
        <f t="shared" ca="1" si="104"/>
        <v>-0.16629244214613981</v>
      </c>
    </row>
    <row r="294" spans="1:47" x14ac:dyDescent="0.25">
      <c r="A294" vm="4295">
        <f ca="1"/>
        <v>46078</v>
      </c>
      <c r="B294" vm="4296">
        <f ca="1"/>
        <v>165.58</v>
      </c>
      <c r="C294" vm="4297">
        <f ca="1"/>
        <v>328</v>
      </c>
      <c r="D294" vm="2950">
        <f ca="1"/>
        <v>264.8</v>
      </c>
      <c r="E294" vm="4298">
        <f ca="1"/>
        <v>162.68</v>
      </c>
      <c r="F294" vm="4299">
        <f ca="1"/>
        <v>178.58</v>
      </c>
      <c r="G294" vm="4300">
        <f ca="1"/>
        <v>149.15</v>
      </c>
      <c r="H294" vm="4301">
        <f ca="1"/>
        <v>338.9</v>
      </c>
      <c r="I294" vm="4302">
        <f ca="1"/>
        <v>139.04</v>
      </c>
      <c r="J294" vm="4303">
        <f ca="1"/>
        <v>363</v>
      </c>
      <c r="K294" vm="2845">
        <f ca="1"/>
        <v>92</v>
      </c>
      <c r="L294" vm="4304">
        <f ca="1"/>
        <v>280.55</v>
      </c>
      <c r="M294" vm="4305">
        <f ca="1"/>
        <v>256.25</v>
      </c>
      <c r="N294" vm="4306">
        <f ca="1"/>
        <v>13.4</v>
      </c>
      <c r="O294" vm="4307">
        <f ca="1"/>
        <v>397.45</v>
      </c>
      <c r="Q294" s="4">
        <f t="shared" ca="1" si="107"/>
        <v>-1.6791044776119368E-2</v>
      </c>
      <c r="R294" s="4">
        <f t="shared" ca="1" si="108"/>
        <v>4.487337103516098E-2</v>
      </c>
      <c r="S294" s="4">
        <f t="shared" ca="1" si="87"/>
        <v>-4.760308414347969E-2</v>
      </c>
      <c r="T294" s="4">
        <f t="shared" ca="1" si="94"/>
        <v>-5.1783659378595859E-3</v>
      </c>
      <c r="U294" s="4">
        <f t="shared" ca="1" si="95"/>
        <v>3.1267217630854161E-2</v>
      </c>
      <c r="V294" s="4">
        <f t="shared" ca="1" si="109"/>
        <v>-5.3871240487981753E-2</v>
      </c>
      <c r="W294" s="4">
        <f t="shared" ca="1" si="110"/>
        <v>-1.3887333407996527E-2</v>
      </c>
      <c r="X294" s="4">
        <f t="shared" ca="1" si="105"/>
        <v>1.4634146341463428E-2</v>
      </c>
      <c r="Y294" s="4">
        <f t="shared" ca="1" si="91"/>
        <v>1.3783987915407803E-2</v>
      </c>
      <c r="Z294" s="4">
        <f t="shared" ca="1" si="106"/>
        <v>-4.8297986098734702E-2</v>
      </c>
      <c r="AA294" s="4">
        <f t="shared" ca="1" si="111"/>
        <v>3.5408675125407907E-3</v>
      </c>
      <c r="AB294" s="4">
        <f t="shared" ca="1" si="96"/>
        <v>4.0130834067178212E-2</v>
      </c>
      <c r="AC294" s="4">
        <f t="shared" ca="1" si="97"/>
        <v>-3.0487804878048808E-2</v>
      </c>
      <c r="AD294" s="4"/>
      <c r="AE294" s="2" cm="1">
        <f t="array" aca="1" ref="AE294" ca="1">SUMPRODUCT(Q294:AB294,TRANSPOSE(Insights.!$H$4:$H$15))</f>
        <v>1.7684042530496838E-3</v>
      </c>
      <c r="AG294" vm="4295">
        <f ca="1"/>
        <v>46078</v>
      </c>
      <c r="AH294" s="1" vm="3217">
        <f ca="1"/>
        <v>111.57</v>
      </c>
      <c r="AI294" s="2">
        <f t="shared" ca="1" si="84"/>
        <v>-5.7811239580531915E-3</v>
      </c>
      <c r="AJ294" s="1" vm="4308">
        <f ca="1"/>
        <v>112.92</v>
      </c>
      <c r="AK294" s="2">
        <f t="shared" ca="1" si="98"/>
        <v>4.0294013460857592E-3</v>
      </c>
      <c r="AL294" s="1" vm="4309">
        <f ca="1"/>
        <v>62.4</v>
      </c>
      <c r="AM294" s="2">
        <f t="shared" ca="1" si="99"/>
        <v>-2.4038461538461453E-3</v>
      </c>
      <c r="AO294" s="9">
        <f t="shared" ca="1" si="100"/>
        <v>90.844711047266543</v>
      </c>
      <c r="AP294">
        <f t="shared" ca="1" si="101"/>
        <v>103.45882789317518</v>
      </c>
      <c r="AQ294">
        <f t="shared" ca="1" si="102"/>
        <v>107.23646723646738</v>
      </c>
      <c r="AR294">
        <f t="shared" ca="1" si="103"/>
        <v>127.2300948108881</v>
      </c>
      <c r="AT294" s="21">
        <f ca="1">MAX($AO$3:AO295)</f>
        <v>106.96839029133979</v>
      </c>
      <c r="AU294" s="2">
        <f t="shared" ca="1" si="104"/>
        <v>-0.15073312031861641</v>
      </c>
    </row>
    <row r="295" spans="1:47" x14ac:dyDescent="0.25">
      <c r="A295" vm="4310">
        <f ca="1"/>
        <v>46079</v>
      </c>
      <c r="B295" vm="4311">
        <f ca="1"/>
        <v>156.66</v>
      </c>
      <c r="C295" vm="4312">
        <f ca="1"/>
        <v>318</v>
      </c>
      <c r="D295" vm="4313">
        <f ca="1"/>
        <v>268.45</v>
      </c>
      <c r="E295" vm="4314">
        <f ca="1"/>
        <v>169.98</v>
      </c>
      <c r="F295" vm="1035">
        <f ca="1"/>
        <v>176.1</v>
      </c>
      <c r="G295" vm="4315">
        <f ca="1"/>
        <v>142.05000000000001</v>
      </c>
      <c r="H295" vm="4316">
        <f ca="1"/>
        <v>340.1</v>
      </c>
      <c r="I295" vm="4317">
        <f ca="1"/>
        <v>138.32</v>
      </c>
      <c r="J295" vm="4318">
        <f ca="1"/>
        <v>374.35</v>
      </c>
      <c r="K295" vm="4319">
        <f ca="1"/>
        <v>90</v>
      </c>
      <c r="L295" vm="3322">
        <f ca="1"/>
        <v>267</v>
      </c>
      <c r="M295" vm="2988">
        <f ca="1"/>
        <v>260</v>
      </c>
      <c r="N295" vm="4320">
        <f ca="1"/>
        <v>13.175000000000001</v>
      </c>
      <c r="O295" vm="4321">
        <f ca="1"/>
        <v>413.4</v>
      </c>
      <c r="Q295" s="4">
        <f t="shared" ca="1" si="107"/>
        <v>-1.9354838709677469E-2</v>
      </c>
      <c r="R295" s="4">
        <f t="shared" ca="1" si="108"/>
        <v>-3.2239086951405982E-2</v>
      </c>
      <c r="S295" s="4">
        <f t="shared" ca="1" si="87"/>
        <v>2.6399155227032622E-2</v>
      </c>
      <c r="T295" s="4">
        <f t="shared" ca="1" si="94"/>
        <v>2.0965876229034119E-2</v>
      </c>
      <c r="U295" s="4">
        <f t="shared" ca="1" si="95"/>
        <v>-1.8699078402564462E-2</v>
      </c>
      <c r="V295" s="4">
        <f t="shared" ca="1" si="109"/>
        <v>-4.5576407506702332E-2</v>
      </c>
      <c r="W295" s="4">
        <f t="shared" ca="1" si="110"/>
        <v>1.3628620102215105E-3</v>
      </c>
      <c r="X295" s="4">
        <f t="shared" ca="1" si="105"/>
        <v>-3.4807692307692317E-2</v>
      </c>
      <c r="Y295" s="4">
        <f t="shared" ca="1" si="91"/>
        <v>9.3127211771282248E-4</v>
      </c>
      <c r="Z295" s="4">
        <f t="shared" ca="1" si="106"/>
        <v>7.4906367041198685E-3</v>
      </c>
      <c r="AA295" s="4">
        <f t="shared" ca="1" si="111"/>
        <v>-2.2052337547780021E-2</v>
      </c>
      <c r="AB295" s="4">
        <f t="shared" ca="1" si="96"/>
        <v>3.0478955007257058E-2</v>
      </c>
      <c r="AC295" s="4">
        <f t="shared" ca="1" si="97"/>
        <v>-3.1446540880503138E-3</v>
      </c>
      <c r="AD295" s="4"/>
      <c r="AE295" s="2" cm="1">
        <f t="array" aca="1" ref="AE295" ca="1">SUMPRODUCT(Q295:AB295,TRANSPOSE(Insights.!$H$4:$H$15))</f>
        <v>-8.5473946596900611E-3</v>
      </c>
      <c r="AG295" vm="4310">
        <f ca="1"/>
        <v>46079</v>
      </c>
      <c r="AH295" s="1" vm="4322">
        <f ca="1"/>
        <v>110.925</v>
      </c>
      <c r="AI295" s="2">
        <f t="shared" ca="1" si="84"/>
        <v>-7.9783637592967249E-3</v>
      </c>
      <c r="AJ295" s="1" vm="4323">
        <f ca="1"/>
        <v>113.375</v>
      </c>
      <c r="AK295" s="2">
        <f t="shared" ca="1" si="98"/>
        <v>7.717750826901959E-3</v>
      </c>
      <c r="AL295" s="1" vm="4324">
        <f ca="1"/>
        <v>62.25</v>
      </c>
      <c r="AM295" s="2">
        <f t="shared" ca="1" si="99"/>
        <v>-8.9959839357429683E-3</v>
      </c>
      <c r="AO295" s="9">
        <f t="shared" ca="1" si="100"/>
        <v>91.005361220649604</v>
      </c>
      <c r="AP295">
        <f t="shared" ca="1" si="101"/>
        <v>102.86071958456985</v>
      </c>
      <c r="AQ295">
        <f t="shared" ca="1" si="102"/>
        <v>107.66856600189948</v>
      </c>
      <c r="AR295">
        <f t="shared" ca="1" si="103"/>
        <v>126.92425323682347</v>
      </c>
      <c r="AT295" s="21">
        <f ca="1">MAX($AO$3:AO296)</f>
        <v>106.96839029133979</v>
      </c>
      <c r="AU295" s="2">
        <f t="shared" ca="1" si="104"/>
        <v>-0.14923127315661366</v>
      </c>
    </row>
    <row r="296" spans="1:47" x14ac:dyDescent="0.25">
      <c r="A296" vm="4325">
        <f ca="1"/>
        <v>46080</v>
      </c>
      <c r="B296" vm="1205">
        <f ca="1"/>
        <v>149.52000000000001</v>
      </c>
      <c r="C296" vm="4326">
        <f ca="1"/>
        <v>317</v>
      </c>
      <c r="D296" vm="4327">
        <f ca="1"/>
        <v>268.7</v>
      </c>
      <c r="E296" vm="4328">
        <f ca="1"/>
        <v>164.5</v>
      </c>
      <c r="F296" vm="4329">
        <f ca="1"/>
        <v>176.34</v>
      </c>
      <c r="G296" vm="4330">
        <f ca="1"/>
        <v>145.80000000000001</v>
      </c>
      <c r="H296" vm="4331">
        <f ca="1"/>
        <v>332.6</v>
      </c>
      <c r="I296" vm="234">
        <f ca="1"/>
        <v>141.22</v>
      </c>
      <c r="J296" vm="4332">
        <f ca="1"/>
        <v>367.35</v>
      </c>
      <c r="K296" vm="4333">
        <f ca="1"/>
        <v>77.5</v>
      </c>
      <c r="L296" vm="4334">
        <f ca="1"/>
        <v>269</v>
      </c>
      <c r="M296" vm="4335">
        <f ca="1"/>
        <v>250.95</v>
      </c>
      <c r="N296" vm="4336">
        <f ca="1"/>
        <v>12.92</v>
      </c>
      <c r="O296" vm="3252">
        <f ca="1"/>
        <v>426</v>
      </c>
      <c r="Q296" s="4">
        <f t="shared" ca="1" si="107"/>
        <v>-4.1021671826625306E-2</v>
      </c>
      <c r="R296" s="4">
        <f t="shared" ca="1" si="108"/>
        <v>7.2948328267474771E-4</v>
      </c>
      <c r="S296" s="4">
        <f t="shared" ca="1" si="87"/>
        <v>1.9204389574759784E-2</v>
      </c>
      <c r="T296" s="4">
        <f t="shared" ref="T296:T311" ca="1" si="112">I297/I296-1</f>
        <v>-2.9740829910777089E-3</v>
      </c>
      <c r="U296" s="4">
        <f t="shared" ca="1" si="95"/>
        <v>1.4835987477882062E-2</v>
      </c>
      <c r="V296" s="4">
        <f t="shared" ca="1" si="109"/>
        <v>4.3472445157838324E-2</v>
      </c>
      <c r="W296" s="4">
        <f t="shared" ca="1" si="110"/>
        <v>1.5878416695020992E-2</v>
      </c>
      <c r="X296" s="4">
        <f t="shared" ca="1" si="105"/>
        <v>1.7732616058975914E-2</v>
      </c>
      <c r="Y296" s="4">
        <f t="shared" ref="Y296:Y311" ca="1" si="113">D297/D296-1</f>
        <v>2.3446222553033191E-2</v>
      </c>
      <c r="Z296" s="4">
        <f t="shared" ca="1" si="106"/>
        <v>1.1152416356878803E-3</v>
      </c>
      <c r="AA296" s="4">
        <f t="shared" ca="1" si="111"/>
        <v>2.5255562236921048E-2</v>
      </c>
      <c r="AB296" s="4">
        <f t="shared" ca="1" si="96"/>
        <v>6.4553990610327627E-3</v>
      </c>
      <c r="AC296" s="4">
        <f t="shared" ca="1" si="97"/>
        <v>3.154574132492094E-3</v>
      </c>
      <c r="AD296" s="4"/>
      <c r="AE296" s="2" cm="1">
        <f t="array" aca="1" ref="AE296" ca="1">SUMPRODUCT(Q296:AB296,TRANSPOSE(Insights.!$H$4:$H$15))</f>
        <v>9.043841250824837E-3</v>
      </c>
      <c r="AG296" vm="4325">
        <f ca="1"/>
        <v>46080</v>
      </c>
      <c r="AH296" s="1" vm="4337">
        <f ca="1"/>
        <v>110.04</v>
      </c>
      <c r="AI296" s="2">
        <f t="shared" ca="1" si="84"/>
        <v>1.4540167211922972E-2</v>
      </c>
      <c r="AJ296" s="1" vm="4338">
        <f ca="1"/>
        <v>114.25</v>
      </c>
      <c r="AK296" s="2">
        <f t="shared" ca="1" si="98"/>
        <v>-1.9256017505470124E-3</v>
      </c>
      <c r="AL296" s="1" vm="4339">
        <f ca="1"/>
        <v>61.69</v>
      </c>
      <c r="AM296" s="2">
        <f t="shared" ca="1" si="99"/>
        <v>-1.6858485978278437E-2</v>
      </c>
      <c r="AO296" s="9">
        <f t="shared" ca="1" si="100"/>
        <v>90.227502482149063</v>
      </c>
      <c r="AP296">
        <f t="shared" ca="1" si="101"/>
        <v>102.04005934718114</v>
      </c>
      <c r="AQ296">
        <f t="shared" ca="1" si="102"/>
        <v>108.49952516619199</v>
      </c>
      <c r="AR296">
        <f t="shared" ca="1" si="103"/>
        <v>125.78244469364884</v>
      </c>
      <c r="AT296" s="21">
        <f ca="1">MAX($AO$3:AO297)</f>
        <v>106.96839029133979</v>
      </c>
      <c r="AU296" s="2">
        <f t="shared" ca="1" si="104"/>
        <v>-0.15650312922906606</v>
      </c>
    </row>
    <row r="297" spans="1:47" x14ac:dyDescent="0.25">
      <c r="A297" vm="4340">
        <f ca="1"/>
        <v>46083</v>
      </c>
      <c r="B297" vm="4341">
        <f ca="1"/>
        <v>156.02000000000001</v>
      </c>
      <c r="C297" vm="4312">
        <f ca="1"/>
        <v>318</v>
      </c>
      <c r="D297" vm="4095">
        <f ca="1"/>
        <v>275</v>
      </c>
      <c r="E297" vm="4342">
        <f ca="1"/>
        <v>164.62</v>
      </c>
      <c r="F297" vm="4343">
        <f ca="1"/>
        <v>179.14</v>
      </c>
      <c r="G297" vm="4344">
        <f ca="1"/>
        <v>148.6</v>
      </c>
      <c r="H297" vm="4345">
        <f ca="1"/>
        <v>341</v>
      </c>
      <c r="I297" vm="4346">
        <f ca="1"/>
        <v>140.80000000000001</v>
      </c>
      <c r="J297" vm="4347">
        <f ca="1"/>
        <v>372.8</v>
      </c>
      <c r="K297" vm="4333">
        <f ca="1"/>
        <v>77.5</v>
      </c>
      <c r="L297" vm="3269">
        <f ca="1"/>
        <v>269.3</v>
      </c>
      <c r="M297" vm="4348">
        <f ca="1"/>
        <v>255.4</v>
      </c>
      <c r="N297" vm="4349">
        <f ca="1"/>
        <v>12.39</v>
      </c>
      <c r="O297" vm="240">
        <f ca="1"/>
        <v>428.75</v>
      </c>
      <c r="Q297" s="4">
        <f t="shared" ca="1" si="107"/>
        <v>-2.1791767554479535E-2</v>
      </c>
      <c r="R297" s="4">
        <f t="shared" ca="1" si="108"/>
        <v>3.6447576236180224E-2</v>
      </c>
      <c r="S297" s="4">
        <f t="shared" ca="1" si="87"/>
        <v>-4.643337819650073E-2</v>
      </c>
      <c r="T297" s="4">
        <f t="shared" ca="1" si="112"/>
        <v>-2.5426136363636442E-2</v>
      </c>
      <c r="U297" s="4">
        <f t="shared" ca="1" si="95"/>
        <v>1.7972103004291862E-2</v>
      </c>
      <c r="V297" s="4">
        <f t="shared" ca="1" si="109"/>
        <v>-5.6403025253174421E-3</v>
      </c>
      <c r="W297" s="4">
        <f t="shared" ca="1" si="110"/>
        <v>3.0144021435749568E-3</v>
      </c>
      <c r="X297" s="4">
        <f t="shared" ca="1" si="105"/>
        <v>1.0180109631949819E-2</v>
      </c>
      <c r="Y297" s="4">
        <f t="shared" ca="1" si="113"/>
        <v>4.5454545454546302E-3</v>
      </c>
      <c r="Z297" s="4">
        <f t="shared" ca="1" si="106"/>
        <v>1.8566654288898476E-4</v>
      </c>
      <c r="AA297" s="4">
        <f t="shared" ca="1" si="111"/>
        <v>1.9061583577712593E-2</v>
      </c>
      <c r="AB297" s="4">
        <f t="shared" ca="1" si="96"/>
        <v>3.0670553935860045E-2</v>
      </c>
      <c r="AC297" s="4">
        <f t="shared" ca="1" si="97"/>
        <v>-3.7735849056603765E-2</v>
      </c>
      <c r="AD297" s="4"/>
      <c r="AE297" s="2" cm="1">
        <f t="array" aca="1" ref="AE297" ca="1">SUMPRODUCT(Q297:AB297,TRANSPOSE(Insights.!$H$4:$H$15))</f>
        <v>5.128303186222519E-3</v>
      </c>
      <c r="AG297" vm="4340">
        <f ca="1"/>
        <v>46083</v>
      </c>
      <c r="AH297" s="1" vm="968">
        <f ca="1"/>
        <v>111.64</v>
      </c>
      <c r="AI297" s="2">
        <f t="shared" ca="1" si="84"/>
        <v>-6.7180222142604329E-4</v>
      </c>
      <c r="AJ297" s="1" vm="4350">
        <f ca="1"/>
        <v>114.03</v>
      </c>
      <c r="AK297" s="2">
        <f t="shared" ca="1" si="98"/>
        <v>-3.9901780233271289E-3</v>
      </c>
      <c r="AL297" s="1" vm="4351">
        <f ca="1"/>
        <v>60.65</v>
      </c>
      <c r="AM297" s="2">
        <f t="shared" ca="1" si="99"/>
        <v>-2.5886232481450944E-2</v>
      </c>
      <c r="AO297" s="9">
        <f t="shared" ca="1" si="100"/>
        <v>91.043505691056026</v>
      </c>
      <c r="AP297">
        <f t="shared" ca="1" si="101"/>
        <v>103.5237388724037</v>
      </c>
      <c r="AQ297">
        <f t="shared" ca="1" si="102"/>
        <v>108.29059829059845</v>
      </c>
      <c r="AR297">
        <f t="shared" ca="1" si="103"/>
        <v>123.66194311346737</v>
      </c>
      <c r="AT297" s="21">
        <f ca="1">MAX($AO$3:AO298)</f>
        <v>106.96839029133979</v>
      </c>
      <c r="AU297" s="2">
        <f t="shared" ca="1" si="104"/>
        <v>-0.14887467743424621</v>
      </c>
    </row>
    <row r="298" spans="1:47" x14ac:dyDescent="0.25">
      <c r="A298" vm="4352">
        <f ca="1"/>
        <v>46084</v>
      </c>
      <c r="B298" vm="4353">
        <f ca="1"/>
        <v>155.13999999999999</v>
      </c>
      <c r="C298" vm="1839">
        <f ca="1"/>
        <v>306</v>
      </c>
      <c r="D298" vm="3778">
        <f ca="1"/>
        <v>276.25</v>
      </c>
      <c r="E298" vm="4354">
        <f ca="1"/>
        <v>170.62</v>
      </c>
      <c r="F298" vm="4355">
        <f ca="1"/>
        <v>179.68</v>
      </c>
      <c r="G298" vm="1312">
        <f ca="1"/>
        <v>141.69999999999999</v>
      </c>
      <c r="H298" vm="4356">
        <f ca="1"/>
        <v>347.5</v>
      </c>
      <c r="I298" vm="4357">
        <f ca="1"/>
        <v>137.22</v>
      </c>
      <c r="J298" vm="4358">
        <f ca="1"/>
        <v>379.5</v>
      </c>
      <c r="K298" vm="2791">
        <f ca="1"/>
        <v>76.5</v>
      </c>
      <c r="L298" vm="3281">
        <f ca="1"/>
        <v>269.35000000000002</v>
      </c>
      <c r="M298" vm="3130">
        <f ca="1"/>
        <v>258</v>
      </c>
      <c r="N298" vm="4359">
        <f ca="1"/>
        <v>12.12</v>
      </c>
      <c r="O298" vm="2829">
        <f ca="1"/>
        <v>441.9</v>
      </c>
      <c r="Q298" s="4">
        <f t="shared" ca="1" si="107"/>
        <v>-0.13201320132013195</v>
      </c>
      <c r="R298" s="4">
        <f t="shared" ca="1" si="108"/>
        <v>-1.1721955222131042E-2</v>
      </c>
      <c r="S298" s="4">
        <f t="shared" ca="1" si="87"/>
        <v>-3.7402964008468431E-2</v>
      </c>
      <c r="T298" s="4">
        <f t="shared" ca="1" si="112"/>
        <v>-9.6195889811980795E-3</v>
      </c>
      <c r="U298" s="4">
        <f t="shared" ca="1" si="95"/>
        <v>1.449275362318847E-2</v>
      </c>
      <c r="V298" s="4">
        <f t="shared" ca="1" si="109"/>
        <v>1.3665076704911794E-2</v>
      </c>
      <c r="W298" s="4">
        <f t="shared" ca="1" si="110"/>
        <v>3.4505788067675791E-2</v>
      </c>
      <c r="X298" s="4">
        <f t="shared" ca="1" si="105"/>
        <v>-5.4263565891472521E-3</v>
      </c>
      <c r="Y298" s="4">
        <f t="shared" ca="1" si="113"/>
        <v>5.4298642533923136E-4</v>
      </c>
      <c r="Z298" s="4">
        <f t="shared" ca="1" si="106"/>
        <v>2.2461481343976075E-2</v>
      </c>
      <c r="AA298" s="4">
        <f t="shared" ca="1" si="111"/>
        <v>6.3309352517986195E-3</v>
      </c>
      <c r="AB298" s="4">
        <f t="shared" ca="1" si="96"/>
        <v>4.8200950441276369E-2</v>
      </c>
      <c r="AC298" s="4">
        <f t="shared" ca="1" si="97"/>
        <v>1.3071895424836555E-2</v>
      </c>
      <c r="AD298" s="4"/>
      <c r="AE298" s="2" cm="1">
        <f t="array" aca="1" ref="AE298" ca="1">SUMPRODUCT(Q298:AB298,TRANSPOSE(Insights.!$H$4:$H$15))</f>
        <v>-3.5909239817949784E-3</v>
      </c>
      <c r="AG298" vm="4352">
        <f ca="1"/>
        <v>46084</v>
      </c>
      <c r="AH298" s="1" vm="3793">
        <f ca="1"/>
        <v>111.565</v>
      </c>
      <c r="AI298" s="2">
        <f t="shared" ca="1" si="84"/>
        <v>6.4088199704208648E-3</v>
      </c>
      <c r="AJ298" s="1" vm="4360">
        <f ca="1"/>
        <v>113.575</v>
      </c>
      <c r="AK298" s="2">
        <f t="shared" ca="1" si="98"/>
        <v>2.2452124147038788E-3</v>
      </c>
      <c r="AL298" s="1" vm="4361">
        <f ca="1"/>
        <v>59.08</v>
      </c>
      <c r="AM298" s="2">
        <f t="shared" ca="1" si="99"/>
        <v>8.4631008801625551E-3</v>
      </c>
      <c r="AO298" s="9">
        <f t="shared" ca="1" si="100"/>
        <v>91.510404391376341</v>
      </c>
      <c r="AP298">
        <f t="shared" ca="1" si="101"/>
        <v>103.45419139465889</v>
      </c>
      <c r="AQ298">
        <f t="shared" ca="1" si="102"/>
        <v>107.85849952516637</v>
      </c>
      <c r="AR298">
        <f t="shared" ca="1" si="103"/>
        <v>120.46080130492419</v>
      </c>
      <c r="AT298" s="21">
        <f ca="1">MAX($AO$3:AO299)</f>
        <v>106.96839029133979</v>
      </c>
      <c r="AU298" s="2">
        <f t="shared" ca="1" si="104"/>
        <v>-0.14450984873065753</v>
      </c>
    </row>
    <row r="299" spans="1:47" x14ac:dyDescent="0.25">
      <c r="A299" vm="4362">
        <f ca="1"/>
        <v>46085</v>
      </c>
      <c r="B299" vm="4363">
        <f ca="1"/>
        <v>157.26</v>
      </c>
      <c r="C299" vm="4364">
        <f ca="1"/>
        <v>310</v>
      </c>
      <c r="D299" vm="4365">
        <f ca="1"/>
        <v>276.39999999999998</v>
      </c>
      <c r="E299" vm="4366">
        <f ca="1"/>
        <v>168.62</v>
      </c>
      <c r="F299" vm="4367">
        <f ca="1"/>
        <v>185.88</v>
      </c>
      <c r="G299" vm="4368">
        <f ca="1"/>
        <v>136.4</v>
      </c>
      <c r="H299" vm="4369">
        <f ca="1"/>
        <v>349.7</v>
      </c>
      <c r="I299" vm="4370">
        <f ca="1"/>
        <v>135.9</v>
      </c>
      <c r="J299" vm="4371">
        <f ca="1"/>
        <v>385</v>
      </c>
      <c r="K299" vm="4189">
        <f ca="1"/>
        <v>82.5</v>
      </c>
      <c r="L299" vm="4372">
        <f ca="1"/>
        <v>275.39999999999998</v>
      </c>
      <c r="M299" vm="4373">
        <f ca="1"/>
        <v>256.60000000000002</v>
      </c>
      <c r="N299" vm="4374">
        <f ca="1"/>
        <v>10.52</v>
      </c>
      <c r="O299" vm="4375">
        <f ca="1"/>
        <v>463.2</v>
      </c>
      <c r="Q299" s="4">
        <f t="shared" ca="1" si="107"/>
        <v>0</v>
      </c>
      <c r="R299" s="4">
        <f t="shared" ca="1" si="108"/>
        <v>3.7362116000474233E-2</v>
      </c>
      <c r="S299" s="4">
        <f t="shared" ca="1" si="87"/>
        <v>5.3519061583577665E-2</v>
      </c>
      <c r="T299" s="4">
        <f t="shared" ca="1" si="112"/>
        <v>-1.927888153053714E-2</v>
      </c>
      <c r="U299" s="4">
        <f t="shared" ca="1" si="95"/>
        <v>1.5584415584415368E-3</v>
      </c>
      <c r="V299" s="4">
        <f t="shared" ca="1" si="109"/>
        <v>-9.1568103777184273E-3</v>
      </c>
      <c r="W299" s="4">
        <f t="shared" ca="1" si="110"/>
        <v>1.3019152141166446E-2</v>
      </c>
      <c r="X299" s="4">
        <f t="shared" ca="1" si="105"/>
        <v>-9.9376461418551054E-3</v>
      </c>
      <c r="Y299" s="4">
        <f t="shared" ca="1" si="113"/>
        <v>-5.7887120115772683E-3</v>
      </c>
      <c r="Z299" s="4">
        <f t="shared" ca="1" si="106"/>
        <v>4.8293391430646482E-2</v>
      </c>
      <c r="AA299" s="4">
        <f t="shared" ca="1" si="111"/>
        <v>9.4366599942807827E-3</v>
      </c>
      <c r="AB299" s="4">
        <f t="shared" ca="1" si="96"/>
        <v>2.1481001727115645E-2</v>
      </c>
      <c r="AC299" s="4">
        <f t="shared" ca="1" si="97"/>
        <v>-2.0967741935483897E-2</v>
      </c>
      <c r="AD299" s="4"/>
      <c r="AE299" s="2" cm="1">
        <f t="array" aca="1" ref="AE299" ca="1">SUMPRODUCT(Q299:AB299,TRANSPOSE(Insights.!$H$4:$H$15))</f>
        <v>1.2222657515275905E-2</v>
      </c>
      <c r="AG299" vm="4362">
        <f ca="1"/>
        <v>46085</v>
      </c>
      <c r="AH299" s="1" vm="4080">
        <f ca="1"/>
        <v>112.28</v>
      </c>
      <c r="AI299" s="2">
        <f t="shared" ca="1" si="84"/>
        <v>-1.0464909155682212E-2</v>
      </c>
      <c r="AJ299" s="1" vm="4376">
        <f ca="1"/>
        <v>113.83</v>
      </c>
      <c r="AK299" s="2">
        <f t="shared" ca="1" si="98"/>
        <v>-1.0410260915400205E-2</v>
      </c>
      <c r="AL299" s="1" vm="4377">
        <f ca="1"/>
        <v>59.58</v>
      </c>
      <c r="AM299" s="2">
        <f t="shared" ca="1" si="99"/>
        <v>-2.5176233635448186E-2</v>
      </c>
      <c r="AO299" s="9">
        <f t="shared" ca="1" si="100"/>
        <v>91.181797485663594</v>
      </c>
      <c r="AP299">
        <f t="shared" ca="1" si="101"/>
        <v>104.11721068249273</v>
      </c>
      <c r="AQ299">
        <f t="shared" ca="1" si="102"/>
        <v>108.10066476733161</v>
      </c>
      <c r="AR299">
        <f t="shared" ca="1" si="103"/>
        <v>121.48027321847297</v>
      </c>
      <c r="AT299" s="21">
        <f ca="1">MAX($AO$3:AO300)</f>
        <v>106.96839029133979</v>
      </c>
      <c r="AU299" s="2">
        <f t="shared" ca="1" si="104"/>
        <v>-0.14758184883103997</v>
      </c>
    </row>
    <row r="300" spans="1:47" x14ac:dyDescent="0.25">
      <c r="A300" vm="4378">
        <f ca="1"/>
        <v>46086</v>
      </c>
      <c r="B300" vm="4379">
        <f ca="1"/>
        <v>155.82</v>
      </c>
      <c r="C300" vm="1942">
        <f ca="1"/>
        <v>303.5</v>
      </c>
      <c r="D300" vm="4380">
        <f ca="1"/>
        <v>274.8</v>
      </c>
      <c r="E300" vm="4381">
        <f ca="1"/>
        <v>174.92</v>
      </c>
      <c r="F300" vm="4382">
        <f ca="1"/>
        <v>188.3</v>
      </c>
      <c r="G300" vm="4383">
        <f ca="1"/>
        <v>143.69999999999999</v>
      </c>
      <c r="H300" vm="4384">
        <f ca="1"/>
        <v>353</v>
      </c>
      <c r="I300" vm="537">
        <f ca="1"/>
        <v>133.28</v>
      </c>
      <c r="J300" vm="4385">
        <f ca="1"/>
        <v>385.6</v>
      </c>
      <c r="K300" vm="3803">
        <f ca="1"/>
        <v>78.5</v>
      </c>
      <c r="L300" vm="4386">
        <f ca="1"/>
        <v>288.7</v>
      </c>
      <c r="M300" vm="2642">
        <f ca="1"/>
        <v>254.05</v>
      </c>
      <c r="N300" vm="4374">
        <f ca="1"/>
        <v>10.52</v>
      </c>
      <c r="O300" vm="4387">
        <f ca="1"/>
        <v>473.15</v>
      </c>
      <c r="Q300" s="4">
        <f t="shared" ca="1" si="107"/>
        <v>-8.0798479087451636E-3</v>
      </c>
      <c r="R300" s="4">
        <f t="shared" ca="1" si="108"/>
        <v>-1.3834895952435367E-2</v>
      </c>
      <c r="S300" s="4">
        <f t="shared" ca="1" si="87"/>
        <v>-2.4356297842726971E-3</v>
      </c>
      <c r="T300" s="4">
        <f t="shared" ca="1" si="112"/>
        <v>-9.7539015606243895E-3</v>
      </c>
      <c r="U300" s="4">
        <f t="shared" ca="1" si="95"/>
        <v>1.3226141078838127E-2</v>
      </c>
      <c r="V300" s="4">
        <f t="shared" ca="1" si="109"/>
        <v>-1.8097805159799751E-2</v>
      </c>
      <c r="W300" s="4">
        <f t="shared" ca="1" si="110"/>
        <v>-2.729686670207121E-2</v>
      </c>
      <c r="X300" s="4">
        <f t="shared" ca="1" si="105"/>
        <v>-2.1255658334973448E-2</v>
      </c>
      <c r="Y300" s="4">
        <f t="shared" ca="1" si="113"/>
        <v>-1.3464337700145546E-2</v>
      </c>
      <c r="Z300" s="4">
        <f t="shared" ca="1" si="106"/>
        <v>1.0045029442327769E-2</v>
      </c>
      <c r="AA300" s="4">
        <f t="shared" ca="1" si="111"/>
        <v>-2.6912181303115901E-3</v>
      </c>
      <c r="AB300" s="4">
        <f t="shared" ca="1" si="96"/>
        <v>9.2993765190743094E-3</v>
      </c>
      <c r="AC300" s="4">
        <f t="shared" ca="1" si="97"/>
        <v>-4.448105436573313E-2</v>
      </c>
      <c r="AD300" s="4"/>
      <c r="AE300" s="2" cm="1">
        <f t="array" aca="1" ref="AE300" ca="1">SUMPRODUCT(Q300:AB300,TRANSPOSE(Insights.!$H$4:$H$15))</f>
        <v>-5.8716065932680637E-3</v>
      </c>
      <c r="AG300" vm="4378">
        <f ca="1"/>
        <v>46086</v>
      </c>
      <c r="AH300" s="1" vm="4388">
        <f ca="1"/>
        <v>111.105</v>
      </c>
      <c r="AI300" s="2">
        <f t="shared" ca="1" si="84"/>
        <v>-5.400297016335931E-3</v>
      </c>
      <c r="AJ300" s="1" vm="4389">
        <f ca="1"/>
        <v>112.645</v>
      </c>
      <c r="AK300" s="2">
        <f t="shared" ca="1" si="98"/>
        <v>1.0741710684007311E-2</v>
      </c>
      <c r="AL300" s="1" vm="4390">
        <f ca="1"/>
        <v>58.08</v>
      </c>
      <c r="AM300" s="2">
        <f t="shared" ca="1" si="99"/>
        <v>-6.8870523415975882E-4</v>
      </c>
      <c r="AO300" s="9">
        <f t="shared" ca="1" si="100"/>
        <v>92.296281367958116</v>
      </c>
      <c r="AP300">
        <f t="shared" ca="1" si="101"/>
        <v>103.02763353115742</v>
      </c>
      <c r="AQ300">
        <f t="shared" ca="1" si="102"/>
        <v>106.97530864197547</v>
      </c>
      <c r="AR300">
        <f t="shared" ca="1" si="103"/>
        <v>118.42185747782662</v>
      </c>
      <c r="AT300" s="21">
        <f ca="1">MAX($AO$3:AO301)</f>
        <v>106.96839029133979</v>
      </c>
      <c r="AU300" s="2">
        <f t="shared" ca="1" si="104"/>
        <v>-0.13716303370949701</v>
      </c>
    </row>
    <row r="301" spans="1:47" x14ac:dyDescent="0.25">
      <c r="A301" vm="4391">
        <f ca="1"/>
        <v>46087</v>
      </c>
      <c r="B301" vm="4392">
        <f ca="1"/>
        <v>153</v>
      </c>
      <c r="C301" vm="2909">
        <f ca="1"/>
        <v>290</v>
      </c>
      <c r="D301" vm="4393">
        <f ca="1"/>
        <v>271.10000000000002</v>
      </c>
      <c r="E301" vm="4394">
        <f ca="1"/>
        <v>172.5</v>
      </c>
      <c r="F301" vm="4395">
        <f ca="1"/>
        <v>183.16</v>
      </c>
      <c r="G301" vm="4396">
        <f ca="1"/>
        <v>143.35</v>
      </c>
      <c r="H301" vm="4397">
        <f ca="1"/>
        <v>352.05</v>
      </c>
      <c r="I301" vm="4139">
        <f ca="1"/>
        <v>131.97999999999999</v>
      </c>
      <c r="J301" vm="4398">
        <f ca="1"/>
        <v>390.7</v>
      </c>
      <c r="K301" vm="3433">
        <f ca="1"/>
        <v>79</v>
      </c>
      <c r="L301" vm="2374">
        <f ca="1"/>
        <v>291.60000000000002</v>
      </c>
      <c r="M301" vm="2531">
        <f ca="1"/>
        <v>248.65</v>
      </c>
      <c r="N301" vm="4399">
        <f ca="1"/>
        <v>10.435</v>
      </c>
      <c r="O301" vm="4400">
        <f ca="1"/>
        <v>477.55</v>
      </c>
      <c r="Q301" s="4">
        <f t="shared" ca="1" si="107"/>
        <v>3.2103497843794848E-2</v>
      </c>
      <c r="R301" s="4">
        <f t="shared" ca="1" si="108"/>
        <v>-1.9942028985507232E-2</v>
      </c>
      <c r="S301" s="4">
        <f t="shared" ca="1" si="87"/>
        <v>-8.2664806417858339E-2</v>
      </c>
      <c r="T301" s="4">
        <f t="shared" ca="1" si="112"/>
        <v>1.4244582512502157E-2</v>
      </c>
      <c r="U301" s="4">
        <f t="shared" ca="1" si="95"/>
        <v>-1.8044535449193821E-2</v>
      </c>
      <c r="V301" s="4">
        <f t="shared" ca="1" si="109"/>
        <v>2.3790849673202441E-2</v>
      </c>
      <c r="W301" s="4">
        <f t="shared" ca="1" si="110"/>
        <v>-3.3850185630049934E-3</v>
      </c>
      <c r="X301" s="4">
        <f t="shared" ca="1" si="105"/>
        <v>-1.1059722501508107E-2</v>
      </c>
      <c r="Y301" s="4">
        <f t="shared" ca="1" si="113"/>
        <v>-5.1641460715604603E-3</v>
      </c>
      <c r="Z301" s="4">
        <f t="shared" ca="1" si="106"/>
        <v>1.8347050754458083E-2</v>
      </c>
      <c r="AA301" s="4">
        <f t="shared" ca="1" si="111"/>
        <v>1.5622780854993579E-3</v>
      </c>
      <c r="AB301" s="4">
        <f t="shared" ca="1" si="96"/>
        <v>-4.3974452936865749E-3</v>
      </c>
      <c r="AC301" s="4">
        <f t="shared" ca="1" si="97"/>
        <v>4.31034482758621E-2</v>
      </c>
      <c r="AD301" s="4"/>
      <c r="AE301" s="2" cm="1">
        <f t="array" aca="1" ref="AE301" ca="1">SUMPRODUCT(Q301:AB301,TRANSPOSE(Insights.!$H$4:$H$15))</f>
        <v>-5.879043964114432E-3</v>
      </c>
      <c r="AG301" vm="4391">
        <f ca="1"/>
        <v>46087</v>
      </c>
      <c r="AH301" s="1" vm="4401">
        <f ca="1"/>
        <v>110.505</v>
      </c>
      <c r="AI301" s="2">
        <f t="shared" ca="1" si="84"/>
        <v>3.8459798199177442E-3</v>
      </c>
      <c r="AJ301" s="1" vm="4402">
        <f ca="1"/>
        <v>113.855</v>
      </c>
      <c r="AK301" s="2">
        <f t="shared" ca="1" si="98"/>
        <v>-5.3576918009748953E-3</v>
      </c>
      <c r="AL301" s="1" vm="4403">
        <f ca="1"/>
        <v>58.04</v>
      </c>
      <c r="AM301" s="2">
        <f t="shared" ca="1" si="99"/>
        <v>1.8952446588560434E-3</v>
      </c>
      <c r="AO301" s="9">
        <f t="shared" ca="1" si="100"/>
        <v>91.754353913743898</v>
      </c>
      <c r="AP301">
        <f t="shared" ca="1" si="101"/>
        <v>102.47125370919896</v>
      </c>
      <c r="AQ301">
        <f t="shared" ca="1" si="102"/>
        <v>108.12440645773997</v>
      </c>
      <c r="AR301">
        <f t="shared" ca="1" si="103"/>
        <v>118.34029972474272</v>
      </c>
      <c r="AT301" s="21">
        <f ca="1">MAX($AO$3:AO302)</f>
        <v>106.96839029133979</v>
      </c>
      <c r="AU301" s="2">
        <f t="shared" ca="1" si="104"/>
        <v>-0.14222927292968368</v>
      </c>
    </row>
    <row r="302" spans="1:47" x14ac:dyDescent="0.25">
      <c r="A302" vm="4404">
        <f ca="1"/>
        <v>46090</v>
      </c>
      <c r="B302" vm="4405">
        <f ca="1"/>
        <v>156.63999999999999</v>
      </c>
      <c r="C302" vm="4406">
        <f ca="1"/>
        <v>302.5</v>
      </c>
      <c r="D302" vm="4407">
        <f ca="1"/>
        <v>269.7</v>
      </c>
      <c r="E302" vm="4408">
        <f ca="1"/>
        <v>169.06</v>
      </c>
      <c r="F302" vm="4409">
        <f ca="1"/>
        <v>182.54</v>
      </c>
      <c r="G302" vm="4410">
        <f ca="1"/>
        <v>131.5</v>
      </c>
      <c r="H302" vm="4411">
        <f ca="1"/>
        <v>352.6</v>
      </c>
      <c r="I302" vm="4412">
        <f ca="1"/>
        <v>133.86000000000001</v>
      </c>
      <c r="J302" vm="4413">
        <f ca="1"/>
        <v>383.65</v>
      </c>
      <c r="K302" vm="3803">
        <f ca="1"/>
        <v>78.5</v>
      </c>
      <c r="L302" vm="4414">
        <f ca="1"/>
        <v>296.95</v>
      </c>
      <c r="M302" vm="4415">
        <f ca="1"/>
        <v>245.9</v>
      </c>
      <c r="N302" vm="4416">
        <f ca="1"/>
        <v>10.77</v>
      </c>
      <c r="O302" vm="4417">
        <f ca="1"/>
        <v>475.45</v>
      </c>
      <c r="Q302" s="4">
        <f t="shared" ca="1" si="107"/>
        <v>-1.3927576601671321E-2</v>
      </c>
      <c r="R302" s="4">
        <f t="shared" ca="1" si="108"/>
        <v>-4.7320477936827476E-3</v>
      </c>
      <c r="S302" s="4">
        <f t="shared" ca="1" si="87"/>
        <v>6.2737642585551257E-2</v>
      </c>
      <c r="T302" s="4">
        <f t="shared" ca="1" si="112"/>
        <v>6.8728522336769515E-3</v>
      </c>
      <c r="U302" s="4">
        <f t="shared" ca="1" si="95"/>
        <v>-1.4987618923497981E-2</v>
      </c>
      <c r="V302" s="4">
        <f t="shared" ca="1" si="109"/>
        <v>1.749233912155268E-2</v>
      </c>
      <c r="W302" s="4">
        <f t="shared" ca="1" si="110"/>
        <v>1.3366933274898685E-2</v>
      </c>
      <c r="X302" s="4">
        <f t="shared" ca="1" si="105"/>
        <v>1.4640097600650659E-2</v>
      </c>
      <c r="Y302" s="4">
        <f t="shared" ca="1" si="113"/>
        <v>5.3763440860215006E-3</v>
      </c>
      <c r="Z302" s="4">
        <f t="shared" ca="1" si="106"/>
        <v>1.5154066341134254E-3</v>
      </c>
      <c r="AA302" s="4">
        <f t="shared" ca="1" si="111"/>
        <v>-9.7844583096995397E-3</v>
      </c>
      <c r="AB302" s="4">
        <f t="shared" ca="1" si="96"/>
        <v>-2.618571879272269E-2</v>
      </c>
      <c r="AC302" s="4">
        <f t="shared" ca="1" si="97"/>
        <v>-6.6115702479339067E-3</v>
      </c>
      <c r="AD302" s="4"/>
      <c r="AE302" s="2" cm="1">
        <f t="array" aca="1" ref="AE302" ca="1">SUMPRODUCT(Q302:AB302,TRANSPOSE(Insights.!$H$4:$H$15))</f>
        <v>2.6611987121995602E-3</v>
      </c>
      <c r="AG302" vm="4404">
        <f ca="1"/>
        <v>46090</v>
      </c>
      <c r="AH302" s="1" vm="4418">
        <f ca="1"/>
        <v>110.93</v>
      </c>
      <c r="AI302" s="2">
        <f t="shared" ca="1" si="84"/>
        <v>2.2086000180292498E-3</v>
      </c>
      <c r="AJ302" s="1" vm="4419">
        <f ca="1"/>
        <v>113.245</v>
      </c>
      <c r="AK302" s="2">
        <f ca="1">AJ303/AJ302-1</f>
        <v>-1.081725462492833E-2</v>
      </c>
      <c r="AL302" s="1" vm="4420">
        <f ca="1"/>
        <v>58.15</v>
      </c>
      <c r="AM302" s="2">
        <f t="shared" ca="1" si="99"/>
        <v>6.534823731728423E-3</v>
      </c>
      <c r="AO302" s="9">
        <f t="shared" ca="1" si="100"/>
        <v>91.214926033186089</v>
      </c>
      <c r="AP302">
        <f t="shared" ca="1" si="101"/>
        <v>102.86535608308621</v>
      </c>
      <c r="AQ302">
        <f t="shared" ca="1" si="102"/>
        <v>107.54510921177605</v>
      </c>
      <c r="AR302">
        <f t="shared" ca="1" si="103"/>
        <v>118.56458354572347</v>
      </c>
      <c r="AT302" s="21">
        <f ca="1">MAX($AO$3:AO303)</f>
        <v>106.96839029133979</v>
      </c>
      <c r="AU302" s="2">
        <f t="shared" ca="1" si="104"/>
        <v>-0.1472721447452604</v>
      </c>
    </row>
    <row r="303" spans="1:47" x14ac:dyDescent="0.25">
      <c r="A303" vm="4421">
        <f ca="1"/>
        <v>46091</v>
      </c>
      <c r="B303" vm="4422">
        <f ca="1"/>
        <v>159.38</v>
      </c>
      <c r="C303" vm="4423">
        <f ca="1"/>
        <v>300.5</v>
      </c>
      <c r="D303" vm="4114">
        <f ca="1"/>
        <v>271.14999999999998</v>
      </c>
      <c r="E303" vm="4424">
        <f ca="1"/>
        <v>168.26</v>
      </c>
      <c r="F303" vm="3091">
        <f ca="1"/>
        <v>184.98</v>
      </c>
      <c r="G303" vm="4425">
        <f ca="1"/>
        <v>139.75</v>
      </c>
      <c r="H303" vm="4426">
        <f ca="1"/>
        <v>349.15</v>
      </c>
      <c r="I303" vm="4427">
        <f ca="1"/>
        <v>134.78</v>
      </c>
      <c r="J303" vm="4428">
        <f ca="1"/>
        <v>377.9</v>
      </c>
      <c r="K303" vm="3840">
        <f ca="1"/>
        <v>85.5</v>
      </c>
      <c r="L303" vm="3417">
        <f ca="1"/>
        <v>297.39999999999998</v>
      </c>
      <c r="M303" vm="2508">
        <f ca="1"/>
        <v>249.5</v>
      </c>
      <c r="N303" vm="4429">
        <f ca="1"/>
        <v>10.62</v>
      </c>
      <c r="O303" vm="1514">
        <f ca="1"/>
        <v>463</v>
      </c>
      <c r="Q303" s="4">
        <f t="shared" ca="1" si="107"/>
        <v>-2.1186440677966045E-2</v>
      </c>
      <c r="R303" s="4">
        <f t="shared" ca="1" si="108"/>
        <v>-8.5581837632235924E-3</v>
      </c>
      <c r="S303" s="4">
        <f t="shared" ca="1" si="87"/>
        <v>1.1449016100178788E-2</v>
      </c>
      <c r="T303" s="4">
        <f t="shared" ca="1" si="112"/>
        <v>-1.7806796260572799E-2</v>
      </c>
      <c r="U303" s="4">
        <f t="shared" ca="1" si="95"/>
        <v>-1.4686424980153379E-2</v>
      </c>
      <c r="V303" s="4">
        <f t="shared" ca="1" si="109"/>
        <v>6.9017442590035838E-3</v>
      </c>
      <c r="W303" s="4">
        <f t="shared" ca="1" si="110"/>
        <v>-8.6495837387825514E-3</v>
      </c>
      <c r="X303" s="4">
        <f t="shared" ca="1" si="105"/>
        <v>-4.0080160320641323E-3</v>
      </c>
      <c r="Y303" s="4">
        <f t="shared" ca="1" si="113"/>
        <v>-3.8723953531254462E-3</v>
      </c>
      <c r="Z303" s="4">
        <f t="shared" ca="1" si="106"/>
        <v>-7.0611970410220382E-3</v>
      </c>
      <c r="AA303" s="4">
        <f t="shared" ca="1" si="111"/>
        <v>1.4320492624946279E-3</v>
      </c>
      <c r="AB303" s="4">
        <f t="shared" ca="1" si="96"/>
        <v>-3.0993520518358575E-2</v>
      </c>
      <c r="AC303" s="4">
        <f t="shared" ca="1" si="97"/>
        <v>1.9966722129783676E-2</v>
      </c>
      <c r="AD303" s="4"/>
      <c r="AE303" s="2" cm="1">
        <f t="array" aca="1" ref="AE303" ca="1">SUMPRODUCT(Q303:AB303,TRANSPOSE(Insights.!$H$4:$H$15))</f>
        <v>-7.5707052780649162E-3</v>
      </c>
      <c r="AG303" vm="4421">
        <f ca="1"/>
        <v>46091</v>
      </c>
      <c r="AH303" s="1" vm="481">
        <f ca="1"/>
        <v>111.175</v>
      </c>
      <c r="AI303" s="2">
        <f t="shared" ca="1" si="84"/>
        <v>-2.1137845738700145E-3</v>
      </c>
      <c r="AJ303" s="1" vm="4430">
        <f ca="1"/>
        <v>112.02</v>
      </c>
      <c r="AK303" s="2">
        <f t="shared" ref="AK303:AK313" ca="1" si="114">AJ304/AJ303-1</f>
        <v>-5.1776468487769733E-3</v>
      </c>
      <c r="AL303" s="1" vm="4431">
        <f ca="1"/>
        <v>58.53</v>
      </c>
      <c r="AM303" s="2">
        <f t="shared" ca="1" si="99"/>
        <v>1.5376729882110585E-3</v>
      </c>
      <c r="AO303" s="9">
        <f t="shared" ca="1" si="100"/>
        <v>91.457667076878991</v>
      </c>
      <c r="AP303">
        <f t="shared" ca="1" si="101"/>
        <v>103.09254451038591</v>
      </c>
      <c r="AQ303">
        <f t="shared" ca="1" si="102"/>
        <v>106.38176638176654</v>
      </c>
      <c r="AR303">
        <f t="shared" ca="1" si="103"/>
        <v>119.33938220002055</v>
      </c>
      <c r="AT303" s="21">
        <f ca="1">MAX($AO$3:AO304)</f>
        <v>106.96839029133979</v>
      </c>
      <c r="AU303" s="2">
        <f t="shared" ca="1" si="104"/>
        <v>-0.14500286647499971</v>
      </c>
    </row>
    <row r="304" spans="1:47" x14ac:dyDescent="0.25">
      <c r="A304" vm="4432">
        <f ca="1"/>
        <v>46092</v>
      </c>
      <c r="B304" vm="1278">
        <f ca="1"/>
        <v>160.47999999999999</v>
      </c>
      <c r="C304" vm="4226">
        <f ca="1"/>
        <v>306.5</v>
      </c>
      <c r="D304" vm="4211">
        <f ca="1"/>
        <v>270.10000000000002</v>
      </c>
      <c r="E304" vm="4433">
        <f ca="1"/>
        <v>166.82</v>
      </c>
      <c r="F304" vm="4434">
        <f ca="1"/>
        <v>183.38</v>
      </c>
      <c r="G304" vm="4435">
        <f ca="1"/>
        <v>141.35</v>
      </c>
      <c r="H304" vm="4436">
        <f ca="1"/>
        <v>349.65</v>
      </c>
      <c r="I304" vm="4437">
        <f ca="1"/>
        <v>132.38</v>
      </c>
      <c r="J304" vm="4438">
        <f ca="1"/>
        <v>372.35</v>
      </c>
      <c r="K304" vm="2845">
        <f ca="1"/>
        <v>92</v>
      </c>
      <c r="L304" vm="4439">
        <f ca="1"/>
        <v>295.3</v>
      </c>
      <c r="M304" vm="3536">
        <f ca="1"/>
        <v>248.5</v>
      </c>
      <c r="N304" vm="4440">
        <f ca="1"/>
        <v>10.395</v>
      </c>
      <c r="O304" vm="4441">
        <f ca="1"/>
        <v>448.65</v>
      </c>
      <c r="Q304" s="4">
        <f t="shared" ca="1" si="107"/>
        <v>1.202501202501205E-2</v>
      </c>
      <c r="R304" s="4">
        <f t="shared" ca="1" si="108"/>
        <v>3.1530991487831228E-2</v>
      </c>
      <c r="S304" s="4">
        <f t="shared" ca="1" si="87"/>
        <v>-1.6271666077113389E-2</v>
      </c>
      <c r="T304" s="4">
        <f t="shared" ca="1" si="112"/>
        <v>-1.7978546608248935E-2</v>
      </c>
      <c r="U304" s="4">
        <f t="shared" ca="1" si="95"/>
        <v>-1.6113871357593679E-2</v>
      </c>
      <c r="V304" s="4">
        <f t="shared" ca="1" si="109"/>
        <v>-9.5962113659022741E-3</v>
      </c>
      <c r="W304" s="4">
        <f t="shared" ca="1" si="110"/>
        <v>-4.9078416403097735E-3</v>
      </c>
      <c r="X304" s="4">
        <f t="shared" ca="1" si="105"/>
        <v>-1.5895372233400318E-2</v>
      </c>
      <c r="Y304" s="4">
        <f t="shared" ca="1" si="113"/>
        <v>-2.7767493520918229E-3</v>
      </c>
      <c r="Z304" s="4">
        <f t="shared" ca="1" si="106"/>
        <v>-7.4500507958008555E-3</v>
      </c>
      <c r="AA304" s="4">
        <f t="shared" ca="1" si="111"/>
        <v>2.86000286000343E-4</v>
      </c>
      <c r="AB304" s="4">
        <f t="shared" ca="1" si="96"/>
        <v>-3.1204725286971824E-3</v>
      </c>
      <c r="AC304" s="4">
        <f t="shared" ca="1" si="97"/>
        <v>-4.0783034257748763E-2</v>
      </c>
      <c r="AD304" s="4"/>
      <c r="AE304" s="2" cm="1">
        <f t="array" aca="1" ref="AE304" ca="1">SUMPRODUCT(Q304:AB304,TRANSPOSE(Insights.!$H$4:$H$15))</f>
        <v>-2.646615635244902E-3</v>
      </c>
      <c r="AG304" vm="4432">
        <f ca="1"/>
        <v>46092</v>
      </c>
      <c r="AH304" s="1" vm="4442">
        <f ca="1"/>
        <v>110.94</v>
      </c>
      <c r="AI304" s="2">
        <f t="shared" ca="1" si="84"/>
        <v>-5.994231115918458E-3</v>
      </c>
      <c r="AJ304" s="1" vm="4443">
        <f ca="1"/>
        <v>111.44</v>
      </c>
      <c r="AK304" s="2">
        <f t="shared" ca="1" si="114"/>
        <v>1.4088298636037333E-2</v>
      </c>
      <c r="AL304" s="1" vm="4444">
        <f ca="1"/>
        <v>58.62</v>
      </c>
      <c r="AM304" s="2">
        <f t="shared" ca="1" si="99"/>
        <v>-9.8942340498122672E-3</v>
      </c>
      <c r="AO304" s="9">
        <f t="shared" ca="1" si="100"/>
        <v>90.765268034020565</v>
      </c>
      <c r="AP304">
        <f t="shared" ca="1" si="101"/>
        <v>102.87462908011885</v>
      </c>
      <c r="AQ304">
        <f t="shared" ca="1" si="102"/>
        <v>105.83095916429265</v>
      </c>
      <c r="AR304">
        <f t="shared" ca="1" si="103"/>
        <v>119.52288714445932</v>
      </c>
      <c r="AT304" s="21">
        <f ca="1">MAX($AO$3:AO305)</f>
        <v>106.96839029133979</v>
      </c>
      <c r="AU304" s="2">
        <f t="shared" ca="1" si="104"/>
        <v>-0.15147579778650777</v>
      </c>
    </row>
    <row r="305" spans="1:47" x14ac:dyDescent="0.25">
      <c r="A305" vm="4445">
        <f ca="1"/>
        <v>46093</v>
      </c>
      <c r="B305" vm="4446">
        <f ca="1"/>
        <v>158.94</v>
      </c>
      <c r="C305" vm="4447">
        <f ca="1"/>
        <v>294</v>
      </c>
      <c r="D305" vm="3281">
        <f ca="1"/>
        <v>269.35000000000002</v>
      </c>
      <c r="E305" vm="4448">
        <f ca="1"/>
        <v>172.08</v>
      </c>
      <c r="F305" vm="4449">
        <f ca="1"/>
        <v>182.48</v>
      </c>
      <c r="G305" vm="4450">
        <f ca="1"/>
        <v>139.05000000000001</v>
      </c>
      <c r="H305" vm="4451">
        <f ca="1"/>
        <v>349.75</v>
      </c>
      <c r="I305" vm="171">
        <f ca="1"/>
        <v>130</v>
      </c>
      <c r="J305" vm="4452">
        <f ca="1"/>
        <v>366.35</v>
      </c>
      <c r="K305" vm="1166">
        <f ca="1"/>
        <v>96</v>
      </c>
      <c r="L305" vm="4453">
        <f ca="1"/>
        <v>293.10000000000002</v>
      </c>
      <c r="M305" vm="4454">
        <f ca="1"/>
        <v>244.55</v>
      </c>
      <c r="N305" vm="4374">
        <f ca="1"/>
        <v>10.52</v>
      </c>
      <c r="O305" vm="4063">
        <f ca="1"/>
        <v>447.25</v>
      </c>
      <c r="Q305" s="4">
        <f t="shared" ca="1" si="107"/>
        <v>-0.14277566539923947</v>
      </c>
      <c r="R305" s="4">
        <f t="shared" ca="1" si="108"/>
        <v>7.089725708972594E-3</v>
      </c>
      <c r="S305" s="4">
        <f t="shared" ca="1" si="87"/>
        <v>-1.042790363178725E-2</v>
      </c>
      <c r="T305" s="4">
        <f t="shared" ca="1" si="112"/>
        <v>1.5692307692307672E-2</v>
      </c>
      <c r="U305" s="4">
        <f t="shared" ca="1" si="95"/>
        <v>-1.078203903371111E-2</v>
      </c>
      <c r="V305" s="4">
        <f t="shared" ca="1" si="109"/>
        <v>-6.5433496917075562E-3</v>
      </c>
      <c r="W305" s="4">
        <f t="shared" ca="1" si="110"/>
        <v>-6.1376589215255128E-3</v>
      </c>
      <c r="X305" s="4">
        <f t="shared" ca="1" si="105"/>
        <v>1.5947658965446587E-2</v>
      </c>
      <c r="Y305" s="4">
        <f t="shared" ca="1" si="113"/>
        <v>-2.4132170038984047E-3</v>
      </c>
      <c r="Z305" s="4">
        <f t="shared" ca="1" si="106"/>
        <v>-3.3094506994200135E-2</v>
      </c>
      <c r="AA305" s="4">
        <f t="shared" ca="1" si="111"/>
        <v>-1.1150822015725481E-2</v>
      </c>
      <c r="AB305" s="4">
        <f t="shared" ca="1" si="96"/>
        <v>3.353828954723248E-3</v>
      </c>
      <c r="AC305" s="4">
        <f t="shared" ca="1" si="97"/>
        <v>1.1904761904761862E-2</v>
      </c>
      <c r="AD305" s="4"/>
      <c r="AE305" s="2" cm="1">
        <f t="array" aca="1" ref="AE305" ca="1">SUMPRODUCT(Q305:AB305,TRANSPOSE(Insights.!$H$4:$H$15))</f>
        <v>-1.2325213458917888E-2</v>
      </c>
      <c r="AG305" vm="4445">
        <f ca="1"/>
        <v>46093</v>
      </c>
      <c r="AH305" s="1" vm="4455">
        <f ca="1"/>
        <v>110.27500000000001</v>
      </c>
      <c r="AI305" s="2">
        <f t="shared" ca="1" si="84"/>
        <v>-3.6272953978699896E-4</v>
      </c>
      <c r="AJ305" s="1" vm="4456">
        <f ca="1"/>
        <v>113.01</v>
      </c>
      <c r="AK305" s="2">
        <f t="shared" ca="1" si="114"/>
        <v>-3.6279975223432182E-3</v>
      </c>
      <c r="AL305" s="1" vm="4403">
        <f ca="1"/>
        <v>58.04</v>
      </c>
      <c r="AM305" s="2">
        <f t="shared" ca="1" si="99"/>
        <v>-9.1316333563060681E-3</v>
      </c>
      <c r="AO305" s="9">
        <f t="shared" ca="1" si="100"/>
        <v>90.525047256504536</v>
      </c>
      <c r="AP305">
        <f t="shared" ca="1" si="101"/>
        <v>102.25797477744823</v>
      </c>
      <c r="AQ305">
        <f t="shared" ca="1" si="102"/>
        <v>107.32193732193748</v>
      </c>
      <c r="AR305">
        <f t="shared" ca="1" si="103"/>
        <v>118.34029972474274</v>
      </c>
      <c r="AT305" s="21">
        <f ca="1">MAX($AO$3:AO306)</f>
        <v>106.96839029133979</v>
      </c>
      <c r="AU305" s="2">
        <f t="shared" ca="1" si="104"/>
        <v>-0.15372151520696964</v>
      </c>
    </row>
    <row r="306" spans="1:47" x14ac:dyDescent="0.25">
      <c r="A306" vm="4457">
        <f ca="1"/>
        <v>46094</v>
      </c>
      <c r="B306" vm="4458">
        <f ca="1"/>
        <v>157.9</v>
      </c>
      <c r="C306" vm="4459">
        <f ca="1"/>
        <v>297.5</v>
      </c>
      <c r="D306" vm="4327">
        <f ca="1"/>
        <v>268.7</v>
      </c>
      <c r="E306" vm="4460">
        <f ca="1"/>
        <v>173.3</v>
      </c>
      <c r="F306" vm="4461">
        <f ca="1"/>
        <v>181.36</v>
      </c>
      <c r="G306" vm="4462">
        <f ca="1"/>
        <v>137.6</v>
      </c>
      <c r="H306" vm="4463">
        <f ca="1"/>
        <v>345.85</v>
      </c>
      <c r="I306" vm="4464">
        <f ca="1"/>
        <v>132.04</v>
      </c>
      <c r="J306" vm="4465">
        <f ca="1"/>
        <v>362.4</v>
      </c>
      <c r="K306" vm="4466">
        <f ca="1"/>
        <v>96.5</v>
      </c>
      <c r="L306" vm="3869">
        <f ca="1"/>
        <v>283.39999999999998</v>
      </c>
      <c r="M306" vm="4467">
        <f ca="1"/>
        <v>248.45</v>
      </c>
      <c r="N306" vm="4468">
        <f ca="1"/>
        <v>9.0180000000000007</v>
      </c>
      <c r="O306" vm="4469">
        <f ca="1"/>
        <v>448.75</v>
      </c>
      <c r="Q306" s="4">
        <f t="shared" ca="1" si="107"/>
        <v>-0.10623198048347748</v>
      </c>
      <c r="R306" s="4">
        <f t="shared" ca="1" si="108"/>
        <v>-3.346797461050266E-3</v>
      </c>
      <c r="S306" s="4">
        <f t="shared" ca="1" si="87"/>
        <v>1.0174418604651292E-2</v>
      </c>
      <c r="T306" s="4">
        <f t="shared" ca="1" si="112"/>
        <v>-2.27203877612836E-3</v>
      </c>
      <c r="U306" s="4">
        <f t="shared" ca="1" si="95"/>
        <v>3.0353200883002307E-2</v>
      </c>
      <c r="V306" s="4">
        <f t="shared" ca="1" si="109"/>
        <v>5.3198226725776898E-3</v>
      </c>
      <c r="W306" s="4">
        <f t="shared" ca="1" si="110"/>
        <v>1.6651962946625298E-2</v>
      </c>
      <c r="X306" s="4">
        <f t="shared" ca="1" si="105"/>
        <v>2.0124773596297274E-3</v>
      </c>
      <c r="Y306" s="4">
        <f t="shared" ca="1" si="113"/>
        <v>3.5355414960922538E-3</v>
      </c>
      <c r="Z306" s="4">
        <f t="shared" ca="1" si="106"/>
        <v>4.0578687367678334E-3</v>
      </c>
      <c r="AA306" s="4">
        <f t="shared" ca="1" si="111"/>
        <v>3.7588549949398864E-3</v>
      </c>
      <c r="AB306" s="4">
        <f t="shared" ca="1" si="96"/>
        <v>9.916434540389929E-3</v>
      </c>
      <c r="AC306" s="4">
        <f t="shared" ca="1" si="97"/>
        <v>-5.0420168067226712E-3</v>
      </c>
      <c r="AD306" s="4"/>
      <c r="AE306" s="2" cm="1">
        <f t="array" aca="1" ref="AE306" ca="1">SUMPRODUCT(Q306:AB306,TRANSPOSE(Insights.!$H$4:$H$15))</f>
        <v>-9.7323416453914784E-4</v>
      </c>
      <c r="AG306" vm="4457">
        <f ca="1"/>
        <v>46094</v>
      </c>
      <c r="AH306" s="1" vm="4470">
        <f ca="1"/>
        <v>110.235</v>
      </c>
      <c r="AI306" s="2">
        <f t="shared" ca="1" si="84"/>
        <v>2.9028892819884522E-3</v>
      </c>
      <c r="AJ306" s="1" vm="4471">
        <f ca="1"/>
        <v>112.6</v>
      </c>
      <c r="AK306" s="2">
        <f t="shared" ca="1" si="114"/>
        <v>-4.7957371225576528E-3</v>
      </c>
      <c r="AL306" s="1" vm="4472">
        <f ca="1"/>
        <v>57.51</v>
      </c>
      <c r="AM306" s="2">
        <f t="shared" ca="1" si="99"/>
        <v>6.7814293166406081E-3</v>
      </c>
      <c r="AO306" s="9">
        <f t="shared" ca="1" si="100"/>
        <v>89.40930672568949</v>
      </c>
      <c r="AP306">
        <f t="shared" ca="1" si="101"/>
        <v>102.22088278931766</v>
      </c>
      <c r="AQ306">
        <f t="shared" ca="1" si="102"/>
        <v>106.93257359924041</v>
      </c>
      <c r="AR306">
        <f t="shared" ca="1" si="103"/>
        <v>117.25965949638102</v>
      </c>
      <c r="AT306" s="21">
        <f ca="1">MAX($AO$3:AO307)</f>
        <v>106.96839029133979</v>
      </c>
      <c r="AU306" s="2">
        <f t="shared" ca="1" si="104"/>
        <v>-0.16415207817773336</v>
      </c>
    </row>
    <row r="307" spans="1:47" x14ac:dyDescent="0.25">
      <c r="A307" vm="4473">
        <f ca="1"/>
        <v>46097</v>
      </c>
      <c r="B307" vm="4474">
        <f ca="1"/>
        <v>158.74</v>
      </c>
      <c r="C307" vm="4475">
        <f ca="1"/>
        <v>296</v>
      </c>
      <c r="D307" vm="4476">
        <f ca="1"/>
        <v>269.64999999999998</v>
      </c>
      <c r="E307" vm="4477">
        <f ca="1"/>
        <v>172.72</v>
      </c>
      <c r="F307" vm="4478">
        <f ca="1"/>
        <v>184.38</v>
      </c>
      <c r="G307" vm="1216">
        <f ca="1"/>
        <v>139</v>
      </c>
      <c r="H307" vm="4479">
        <f ca="1"/>
        <v>347.15</v>
      </c>
      <c r="I307" vm="4480">
        <f ca="1"/>
        <v>131.74</v>
      </c>
      <c r="J307" vm="4140">
        <f ca="1"/>
        <v>373.4</v>
      </c>
      <c r="K307" vm="2978">
        <f ca="1"/>
        <v>113</v>
      </c>
      <c r="L307" vm="4481">
        <f ca="1"/>
        <v>284.55</v>
      </c>
      <c r="M307" vm="2467">
        <f ca="1"/>
        <v>248.95</v>
      </c>
      <c r="N307" vm="4482">
        <f ca="1"/>
        <v>8.06</v>
      </c>
      <c r="O307" vm="4483">
        <f ca="1"/>
        <v>453.2</v>
      </c>
      <c r="Q307" s="4">
        <f t="shared" ca="1" si="107"/>
        <v>9.9255583126534042E-4</v>
      </c>
      <c r="R307" s="4">
        <f t="shared" ca="1" si="108"/>
        <v>-6.4844835572024362E-3</v>
      </c>
      <c r="S307" s="4">
        <f t="shared" ca="1" si="87"/>
        <v>5.3956834532373765E-3</v>
      </c>
      <c r="T307" s="4">
        <f t="shared" ca="1" si="112"/>
        <v>-2.2772126916654756E-3</v>
      </c>
      <c r="U307" s="4">
        <f t="shared" ca="1" si="95"/>
        <v>-2.1424745581144489E-3</v>
      </c>
      <c r="V307" s="4">
        <f t="shared" ca="1" si="109"/>
        <v>-6.17361723573151E-3</v>
      </c>
      <c r="W307" s="4">
        <f t="shared" ca="1" si="110"/>
        <v>8.3523158694001065E-3</v>
      </c>
      <c r="X307" s="4">
        <f t="shared" ca="1" si="105"/>
        <v>2.0084354288019135E-4</v>
      </c>
      <c r="Y307" s="4">
        <f t="shared" ca="1" si="113"/>
        <v>-9.82755423697379E-3</v>
      </c>
      <c r="Z307" s="4">
        <f t="shared" ca="1" si="106"/>
        <v>-2.9696011245826659E-2</v>
      </c>
      <c r="AA307" s="4">
        <f t="shared" ca="1" si="111"/>
        <v>-2.4485092899322325E-3</v>
      </c>
      <c r="AB307" s="4">
        <f t="shared" ca="1" si="96"/>
        <v>1.4563106796116498E-2</v>
      </c>
      <c r="AC307" s="4">
        <f t="shared" ca="1" si="97"/>
        <v>2.1959459459459429E-2</v>
      </c>
      <c r="AD307" s="4"/>
      <c r="AE307" s="2" cm="1">
        <f t="array" aca="1" ref="AE307" ca="1">SUMPRODUCT(Q307:AB307,TRANSPOSE(Insights.!$H$4:$H$15))</f>
        <v>-2.7462940691628415E-3</v>
      </c>
      <c r="AG307" vm="4473">
        <f ca="1"/>
        <v>46097</v>
      </c>
      <c r="AH307" s="1" vm="4484">
        <f ca="1"/>
        <v>110.55500000000001</v>
      </c>
      <c r="AI307" s="2">
        <f t="shared" ca="1" si="84"/>
        <v>-9.0452715842848086E-5</v>
      </c>
      <c r="AJ307" s="1" vm="4485">
        <f ca="1"/>
        <v>112.06</v>
      </c>
      <c r="AK307" s="2">
        <f t="shared" ca="1" si="114"/>
        <v>-1.3831875780832004E-3</v>
      </c>
      <c r="AL307" s="1" vm="4486">
        <f ca="1"/>
        <v>57.9</v>
      </c>
      <c r="AM307" s="2">
        <f t="shared" ca="1" si="99"/>
        <v>3.2815198618307839E-3</v>
      </c>
      <c r="AO307" s="9">
        <f t="shared" ca="1" si="100"/>
        <v>89.322290533756288</v>
      </c>
      <c r="AP307">
        <f t="shared" ca="1" si="101"/>
        <v>102.51761869436217</v>
      </c>
      <c r="AQ307">
        <f t="shared" ca="1" si="102"/>
        <v>106.4197530864199</v>
      </c>
      <c r="AR307">
        <f t="shared" ca="1" si="103"/>
        <v>118.05484758894907</v>
      </c>
      <c r="AT307" s="21">
        <f ca="1">MAX($AO$3:AO308)</f>
        <v>106.96839029133979</v>
      </c>
      <c r="AU307" s="2">
        <f t="shared" ca="1" si="104"/>
        <v>-0.16496555393160983</v>
      </c>
    </row>
    <row r="308" spans="1:47" x14ac:dyDescent="0.25">
      <c r="A308" vm="4487">
        <f ca="1"/>
        <v>46098</v>
      </c>
      <c r="B308" vm="4488">
        <f ca="1"/>
        <v>157.76</v>
      </c>
      <c r="C308" vm="4406">
        <f ca="1"/>
        <v>302.5</v>
      </c>
      <c r="D308" vm="3322">
        <f ca="1"/>
        <v>267</v>
      </c>
      <c r="E308" vm="3006">
        <f ca="1"/>
        <v>171.6</v>
      </c>
      <c r="F308" vm="4489">
        <f ca="1"/>
        <v>185.92</v>
      </c>
      <c r="G308" vm="4425">
        <f ca="1"/>
        <v>139.75</v>
      </c>
      <c r="H308" vm="4490">
        <f ca="1"/>
        <v>346.3</v>
      </c>
      <c r="I308" vm="4491">
        <f ca="1"/>
        <v>131.44</v>
      </c>
      <c r="J308" vm="4492">
        <f ca="1"/>
        <v>372.6</v>
      </c>
      <c r="K308" vm="1136">
        <f ca="1"/>
        <v>100</v>
      </c>
      <c r="L308" vm="4493">
        <f ca="1"/>
        <v>276.10000000000002</v>
      </c>
      <c r="M308" vm="3747">
        <f ca="1"/>
        <v>249</v>
      </c>
      <c r="N308" vm="4494">
        <f ca="1"/>
        <v>8.0679999999999996</v>
      </c>
      <c r="O308" vm="2734">
        <f ca="1"/>
        <v>459.8</v>
      </c>
      <c r="Q308" s="4">
        <f t="shared" ca="1" si="107"/>
        <v>-4.4620723847297317E-3</v>
      </c>
      <c r="R308" s="4">
        <f t="shared" ca="1" si="108"/>
        <v>-2.0046620046620056E-2</v>
      </c>
      <c r="S308" s="4">
        <f t="shared" ca="1" si="87"/>
        <v>5.831842576028623E-2</v>
      </c>
      <c r="T308" s="4">
        <f t="shared" ca="1" si="112"/>
        <v>-2.5867315885575226E-2</v>
      </c>
      <c r="U308" s="4">
        <f t="shared" ca="1" si="95"/>
        <v>1.9860440150295089E-2</v>
      </c>
      <c r="V308" s="4">
        <f t="shared" ca="1" si="109"/>
        <v>-2.6622718052737859E-3</v>
      </c>
      <c r="W308" s="4">
        <f t="shared" ca="1" si="110"/>
        <v>-1.5598106712564452E-2</v>
      </c>
      <c r="X308" s="4">
        <f t="shared" ca="1" si="105"/>
        <v>4.6184738955823423E-3</v>
      </c>
      <c r="Y308" s="4">
        <f t="shared" ca="1" si="113"/>
        <v>-1.8726591760299671E-2</v>
      </c>
      <c r="Z308" s="4">
        <f t="shared" ca="1" si="106"/>
        <v>5.432814197754432E-4</v>
      </c>
      <c r="AA308" s="4">
        <f t="shared" ca="1" si="111"/>
        <v>-1.3283280392723085E-2</v>
      </c>
      <c r="AB308" s="4">
        <f t="shared" ca="1" si="96"/>
        <v>-2.4902131361461466E-2</v>
      </c>
      <c r="AC308" s="4">
        <f t="shared" ca="1" si="97"/>
        <v>-2.1487603305785141E-2</v>
      </c>
      <c r="AD308" s="4"/>
      <c r="AE308" s="2" cm="1">
        <f t="array" aca="1" ref="AE308" ca="1">SUMPRODUCT(Q308:AB308,TRANSPOSE(Insights.!$H$4:$H$15))</f>
        <v>-2.6934684363671677E-3</v>
      </c>
      <c r="AG308" vm="4487">
        <f ca="1"/>
        <v>46098</v>
      </c>
      <c r="AH308" s="1" vm="4495">
        <f ca="1"/>
        <v>110.545</v>
      </c>
      <c r="AI308" s="2">
        <f t="shared" ca="1" si="84"/>
        <v>-4.9301189560811975E-3</v>
      </c>
      <c r="AJ308" s="1" vm="3533">
        <f ca="1"/>
        <v>111.905</v>
      </c>
      <c r="AK308" s="2">
        <f t="shared" ca="1" si="114"/>
        <v>2.1893570439213139E-3</v>
      </c>
      <c r="AL308" s="1" vm="4496">
        <f ca="1"/>
        <v>58.09</v>
      </c>
      <c r="AM308" s="2">
        <f t="shared" ca="1" si="99"/>
        <v>-6.5415734205543918E-3</v>
      </c>
      <c r="AO308" s="9">
        <f t="shared" ca="1" si="100"/>
        <v>89.076985257019388</v>
      </c>
      <c r="AP308">
        <f t="shared" ca="1" si="101"/>
        <v>102.50834569732952</v>
      </c>
      <c r="AQ308">
        <f t="shared" ca="1" si="102"/>
        <v>106.27255460588809</v>
      </c>
      <c r="AR308">
        <f t="shared" ca="1" si="103"/>
        <v>118.44224691609762</v>
      </c>
      <c r="AT308" s="21">
        <f ca="1">MAX($AO$3:AO309)</f>
        <v>106.96839029133979</v>
      </c>
      <c r="AU308" s="2">
        <f t="shared" ca="1" si="104"/>
        <v>-0.16725880407839411</v>
      </c>
    </row>
    <row r="309" spans="1:47" x14ac:dyDescent="0.25">
      <c r="A309" vm="4497">
        <f ca="1"/>
        <v>46099</v>
      </c>
      <c r="B309" vm="4498">
        <f ca="1"/>
        <v>157.34</v>
      </c>
      <c r="C309" vm="4475">
        <f ca="1"/>
        <v>296</v>
      </c>
      <c r="D309" vm="823">
        <f ca="1"/>
        <v>262</v>
      </c>
      <c r="E309" vm="4499">
        <f ca="1"/>
        <v>168.16</v>
      </c>
      <c r="F309" vm="2363">
        <f ca="1"/>
        <v>183.02</v>
      </c>
      <c r="G309" vm="4214">
        <f ca="1"/>
        <v>147.9</v>
      </c>
      <c r="H309" vm="4500">
        <f ca="1"/>
        <v>341.7</v>
      </c>
      <c r="I309" vm="4501">
        <f ca="1"/>
        <v>128.04</v>
      </c>
      <c r="J309" vm="4502">
        <f ca="1"/>
        <v>380</v>
      </c>
      <c r="K309" vm="775">
        <f ca="1"/>
        <v>106</v>
      </c>
      <c r="L309" vm="3778">
        <f ca="1"/>
        <v>276.25</v>
      </c>
      <c r="M309" vm="714">
        <f ca="1"/>
        <v>250.15</v>
      </c>
      <c r="N309" vm="4503">
        <f ca="1"/>
        <v>8.032</v>
      </c>
      <c r="O309" vm="4504">
        <f ca="1"/>
        <v>448.35</v>
      </c>
      <c r="Q309" s="4">
        <f t="shared" ca="1" si="107"/>
        <v>4.2081673306772815E-2</v>
      </c>
      <c r="R309" s="4">
        <f t="shared" ca="1" si="108"/>
        <v>-4.4005708848715575E-3</v>
      </c>
      <c r="S309" s="4">
        <f t="shared" ca="1" si="87"/>
        <v>-2.0960108181203529E-2</v>
      </c>
      <c r="T309" s="4">
        <f t="shared" ca="1" si="112"/>
        <v>-1.7806935332708385E-2</v>
      </c>
      <c r="U309" s="4">
        <f t="shared" ca="1" si="95"/>
        <v>-2.9342105263157836E-2</v>
      </c>
      <c r="V309" s="4">
        <f t="shared" ca="1" si="109"/>
        <v>-1.8304309139443253E-2</v>
      </c>
      <c r="W309" s="4">
        <f t="shared" ca="1" si="110"/>
        <v>-1.3113320948530238E-2</v>
      </c>
      <c r="X309" s="4">
        <f t="shared" ca="1" si="105"/>
        <v>-8.1950829502298594E-3</v>
      </c>
      <c r="Y309" s="4">
        <f t="shared" ca="1" si="113"/>
        <v>-1.717557251908397E-2</v>
      </c>
      <c r="Z309" s="4">
        <f t="shared" ca="1" si="106"/>
        <v>1.6289592760181382E-3</v>
      </c>
      <c r="AA309" s="4">
        <f t="shared" ca="1" si="111"/>
        <v>-1.5803336259877065E-2</v>
      </c>
      <c r="AB309" s="4">
        <f t="shared" ca="1" si="96"/>
        <v>-5.4421768707483054E-2</v>
      </c>
      <c r="AC309" s="4">
        <f t="shared" ca="1" si="97"/>
        <v>-2.0270270270270285E-2</v>
      </c>
      <c r="AD309" s="4"/>
      <c r="AE309" s="2" cm="1">
        <f t="array" aca="1" ref="AE309" ca="1">SUMPRODUCT(Q309:AB309,TRANSPOSE(Insights.!$H$4:$H$15))</f>
        <v>-1.1637314549145654E-2</v>
      </c>
      <c r="AG309" vm="4497">
        <f ca="1"/>
        <v>46099</v>
      </c>
      <c r="AH309" s="1" vm="1004">
        <f ca="1"/>
        <v>110</v>
      </c>
      <c r="AI309" s="2">
        <f t="shared" ca="1" si="84"/>
        <v>-1.9545454545454644E-2</v>
      </c>
      <c r="AJ309" s="1" vm="4505">
        <f ca="1"/>
        <v>112.15</v>
      </c>
      <c r="AK309" s="2">
        <f t="shared" ca="1" si="114"/>
        <v>2.2291573785109264E-3</v>
      </c>
      <c r="AL309" s="1" vm="4506">
        <f ca="1"/>
        <v>57.71</v>
      </c>
      <c r="AM309" s="2">
        <f t="shared" ca="1" si="99"/>
        <v>-2.0447062900710411E-2</v>
      </c>
      <c r="AO309" s="9">
        <f t="shared" ca="1" si="100"/>
        <v>88.837059208822865</v>
      </c>
      <c r="AP309">
        <f t="shared" ca="1" si="101"/>
        <v>102.00296735905059</v>
      </c>
      <c r="AQ309">
        <f t="shared" ca="1" si="102"/>
        <v>106.50522317189001</v>
      </c>
      <c r="AR309">
        <f t="shared" ca="1" si="103"/>
        <v>117.66744826180053</v>
      </c>
      <c r="AT309" s="21">
        <f ca="1">MAX($AO$3:AO310)</f>
        <v>106.96839029133979</v>
      </c>
      <c r="AU309" s="2">
        <f t="shared" ca="1" si="104"/>
        <v>-0.16950176620527158</v>
      </c>
    </row>
    <row r="310" spans="1:47" x14ac:dyDescent="0.25">
      <c r="A310" vm="4507">
        <f ca="1"/>
        <v>46100</v>
      </c>
      <c r="B310" vm="4508">
        <f ca="1"/>
        <v>154.46</v>
      </c>
      <c r="C310" vm="2909">
        <f ca="1"/>
        <v>290</v>
      </c>
      <c r="D310" vm="2614">
        <f ca="1"/>
        <v>257.5</v>
      </c>
      <c r="E310" vm="4509">
        <f ca="1"/>
        <v>167.42</v>
      </c>
      <c r="F310" vm="4510">
        <f ca="1"/>
        <v>180.62</v>
      </c>
      <c r="G310" vm="1306">
        <f ca="1"/>
        <v>144.80000000000001</v>
      </c>
      <c r="H310" vm="4511">
        <f ca="1"/>
        <v>336.3</v>
      </c>
      <c r="I310" vm="4512">
        <f ca="1"/>
        <v>125.76</v>
      </c>
      <c r="J310" vm="4513">
        <f ca="1"/>
        <v>368.85</v>
      </c>
      <c r="K310" vm="3109">
        <f ca="1"/>
        <v>104</v>
      </c>
      <c r="L310" vm="4514">
        <f ca="1"/>
        <v>276.7</v>
      </c>
      <c r="M310" vm="4515">
        <f ca="1"/>
        <v>248.1</v>
      </c>
      <c r="N310" vm="4516">
        <f ca="1"/>
        <v>8.3699999999999992</v>
      </c>
      <c r="O310" vm="4517">
        <f ca="1"/>
        <v>423.95</v>
      </c>
      <c r="Q310" s="4">
        <f t="shared" ca="1" si="107"/>
        <v>3.5842293906811484E-3</v>
      </c>
      <c r="R310" s="4">
        <f t="shared" ca="1" si="108"/>
        <v>1.0751403655477887E-3</v>
      </c>
      <c r="S310" s="4">
        <f t="shared" ca="1" si="87"/>
        <v>-0.11636740331491713</v>
      </c>
      <c r="T310" s="4">
        <f t="shared" ca="1" si="112"/>
        <v>-6.0432569974555594E-3</v>
      </c>
      <c r="U310" s="4">
        <f t="shared" ca="1" si="95"/>
        <v>-1.04378473634269E-2</v>
      </c>
      <c r="V310" s="4">
        <f t="shared" ca="1" si="109"/>
        <v>-2.5637705554836243E-2</v>
      </c>
      <c r="W310" s="4">
        <f t="shared" ca="1" si="110"/>
        <v>-1.6498726608349168E-2</v>
      </c>
      <c r="X310" s="4">
        <f t="shared" ca="1" si="105"/>
        <v>5.0382910116888446E-3</v>
      </c>
      <c r="Y310" s="4">
        <f t="shared" ca="1" si="113"/>
        <v>1.184466019417485E-2</v>
      </c>
      <c r="Z310" s="4">
        <f t="shared" ca="1" si="106"/>
        <v>-8.4929526563063407E-3</v>
      </c>
      <c r="AA310" s="4">
        <f t="shared" ca="1" si="111"/>
        <v>-1.6651798988997935E-2</v>
      </c>
      <c r="AB310" s="4">
        <f t="shared" ca="1" si="96"/>
        <v>-1.5803750442269116E-2</v>
      </c>
      <c r="AC310" s="4">
        <f t="shared" ca="1" si="97"/>
        <v>-2.5862068965517238E-2</v>
      </c>
      <c r="AD310" s="4"/>
      <c r="AE310" s="2" cm="1">
        <f t="array" aca="1" ref="AE310" ca="1">SUMPRODUCT(Q310:AB310,TRANSPOSE(Insights.!$H$4:$H$15))</f>
        <v>-1.2595093608472652E-2</v>
      </c>
      <c r="AG310" vm="4507">
        <f ca="1"/>
        <v>46100</v>
      </c>
      <c r="AH310" s="1" vm="4518">
        <f ca="1"/>
        <v>107.85</v>
      </c>
      <c r="AI310" s="2">
        <f t="shared" ca="1" si="84"/>
        <v>-1.0941121928604525E-2</v>
      </c>
      <c r="AJ310" s="1" vm="950">
        <f ca="1"/>
        <v>112.4</v>
      </c>
      <c r="AK310" s="2">
        <f t="shared" ca="1" si="114"/>
        <v>-5.9608540925266684E-3</v>
      </c>
      <c r="AL310" s="1" vm="4519">
        <f ca="1"/>
        <v>56.53</v>
      </c>
      <c r="AM310" s="2">
        <f t="shared" ca="1" si="99"/>
        <v>-2.724217229789494E-2</v>
      </c>
      <c r="AO310" s="9">
        <f t="shared" ca="1" si="100"/>
        <v>87.803234407188725</v>
      </c>
      <c r="AP310">
        <f t="shared" ca="1" si="101"/>
        <v>100.00927299703277</v>
      </c>
      <c r="AQ310">
        <f t="shared" ca="1" si="102"/>
        <v>106.74264007597358</v>
      </c>
      <c r="AR310">
        <f t="shared" ca="1" si="103"/>
        <v>115.2614945458254</v>
      </c>
      <c r="AT310" s="21">
        <f ca="1">MAX($AO$3:AO311)</f>
        <v>106.96839029133979</v>
      </c>
      <c r="AU310" s="2">
        <f t="shared" ca="1" si="104"/>
        <v>-0.17916653538445071</v>
      </c>
    </row>
    <row r="311" spans="1:47" x14ac:dyDescent="0.25">
      <c r="A311" vm="4520">
        <f ca="1"/>
        <v>46101</v>
      </c>
      <c r="B311" vm="4521">
        <f ca="1"/>
        <v>150.5</v>
      </c>
      <c r="C311" vm="4006">
        <f ca="1"/>
        <v>282.5</v>
      </c>
      <c r="D311" vm="4522">
        <f ca="1"/>
        <v>260.55</v>
      </c>
      <c r="E311" vm="4523">
        <f ca="1"/>
        <v>167.6</v>
      </c>
      <c r="F311" vm="4254">
        <f ca="1"/>
        <v>177.64</v>
      </c>
      <c r="G311" vm="4524">
        <f ca="1"/>
        <v>127.95</v>
      </c>
      <c r="H311" vm="4525">
        <f ca="1"/>
        <v>330.7</v>
      </c>
      <c r="I311" vm="4526">
        <f ca="1"/>
        <v>125</v>
      </c>
      <c r="J311" vm="4527">
        <f ca="1"/>
        <v>365</v>
      </c>
      <c r="K311" vm="3305">
        <f ca="1"/>
        <v>97.5</v>
      </c>
      <c r="L311" vm="4528">
        <f ca="1"/>
        <v>274.35000000000002</v>
      </c>
      <c r="M311" vm="4529">
        <f ca="1"/>
        <v>249.35</v>
      </c>
      <c r="N311" vm="4530">
        <f ca="1"/>
        <v>8.4</v>
      </c>
      <c r="O311" vm="4531">
        <f ca="1"/>
        <v>417.25</v>
      </c>
      <c r="Q311" s="4">
        <f t="shared" ca="1" si="107"/>
        <v>4.0952380952380851E-2</v>
      </c>
      <c r="R311" s="4">
        <f t="shared" ca="1" si="108"/>
        <v>0</v>
      </c>
      <c r="S311" s="4">
        <f t="shared" ca="1" si="87"/>
        <v>2.5791324736225141E-2</v>
      </c>
      <c r="T311" s="4">
        <f t="shared" ca="1" si="112"/>
        <v>-6.2400000000000233E-3</v>
      </c>
      <c r="U311" s="4">
        <f t="shared" ca="1" si="95"/>
        <v>1.452054794520552E-2</v>
      </c>
      <c r="V311" s="4">
        <f t="shared" ca="1" si="109"/>
        <v>4.6511627906975495E-3</v>
      </c>
      <c r="W311" s="4">
        <f t="shared" ca="1" si="110"/>
        <v>2.2517451024544055E-2</v>
      </c>
      <c r="X311" s="4">
        <f t="shared" ca="1" si="105"/>
        <v>6.8177260878283796E-3</v>
      </c>
      <c r="Y311" s="4">
        <f t="shared" ca="1" si="113"/>
        <v>5.9489541354826869E-3</v>
      </c>
      <c r="Z311" s="4">
        <f t="shared" ca="1" si="106"/>
        <v>1.1299435028248483E-2</v>
      </c>
      <c r="AA311" s="4">
        <f t="shared" ca="1" si="111"/>
        <v>-2.419110976716099E-3</v>
      </c>
      <c r="AB311" s="4">
        <f t="shared" ca="1" si="96"/>
        <v>1.2462552426602658E-2</v>
      </c>
      <c r="AC311" s="4">
        <f t="shared" ca="1" si="97"/>
        <v>3.7168141592920367E-2</v>
      </c>
      <c r="AD311" s="4"/>
      <c r="AE311" s="2" cm="1">
        <f t="array" aca="1" ref="AE311" ca="1">SUMPRODUCT(Q311:AB311,TRANSPOSE(Insights.!$H$4:$H$15))</f>
        <v>1.0020145816204473E-2</v>
      </c>
      <c r="AG311" vm="4520">
        <f ca="1"/>
        <v>46101</v>
      </c>
      <c r="AH311" s="1" vm="4532">
        <f ca="1"/>
        <v>106.67</v>
      </c>
      <c r="AI311" s="2">
        <f t="shared" ca="1" si="84"/>
        <v>9.3747070404048838E-3</v>
      </c>
      <c r="AJ311" s="1" vm="4533">
        <f ca="1"/>
        <v>111.73</v>
      </c>
      <c r="AK311" s="2">
        <f t="shared" ca="1" si="114"/>
        <v>-1.6826277633581022E-2</v>
      </c>
      <c r="AL311" s="1" vm="1835">
        <f ca="1"/>
        <v>54.99</v>
      </c>
      <c r="AM311" s="2">
        <f t="shared" ca="1" si="99"/>
        <v>2.9823604291689509E-2</v>
      </c>
      <c r="AO311" s="9">
        <f t="shared" ca="1" si="100"/>
        <v>86.697344450703511</v>
      </c>
      <c r="AP311">
        <f t="shared" ca="1" si="101"/>
        <v>98.915059347181142</v>
      </c>
      <c r="AQ311">
        <f t="shared" ca="1" si="102"/>
        <v>106.10636277302962</v>
      </c>
      <c r="AR311">
        <f t="shared" ca="1" si="103"/>
        <v>112.12152105209515</v>
      </c>
      <c r="AT311" s="21">
        <f ca="1">MAX($AO$3:AO312)</f>
        <v>106.96839029133979</v>
      </c>
      <c r="AU311" s="2">
        <f t="shared" ca="1" si="104"/>
        <v>-0.18950500970825046</v>
      </c>
    </row>
    <row r="312" spans="1:47" x14ac:dyDescent="0.25">
      <c r="A312" vm="4534">
        <f ca="1"/>
        <v>46104</v>
      </c>
      <c r="B312" vm="4535">
        <f ca="1"/>
        <v>151.19999999999999</v>
      </c>
      <c r="C312" vm="1245">
        <f ca="1"/>
        <v>293</v>
      </c>
      <c r="D312" vm="4536">
        <f ca="1"/>
        <v>262.10000000000002</v>
      </c>
      <c r="E312" vm="4523">
        <f ca="1"/>
        <v>167.6</v>
      </c>
      <c r="F312" vm="4537">
        <f ca="1"/>
        <v>181.64</v>
      </c>
      <c r="G312" vm="4538">
        <f ca="1"/>
        <v>131.25</v>
      </c>
      <c r="H312" vm="4285">
        <f ca="1"/>
        <v>329.9</v>
      </c>
      <c r="I312" vm="1718">
        <f ca="1"/>
        <v>124.22</v>
      </c>
      <c r="J312" vm="4539">
        <f ca="1"/>
        <v>370.3</v>
      </c>
      <c r="K312" vm="4540">
        <f ca="1"/>
        <v>99.5</v>
      </c>
      <c r="L312" vm="3992">
        <f ca="1"/>
        <v>277.45</v>
      </c>
      <c r="M312" vm="4541">
        <f ca="1"/>
        <v>251.05</v>
      </c>
      <c r="N312" vm="4542">
        <f ca="1"/>
        <v>8.7439999999999998</v>
      </c>
      <c r="O312" vm="4543">
        <f ca="1"/>
        <v>422.45</v>
      </c>
      <c r="AG312" vm="4534">
        <f ca="1"/>
        <v>46104</v>
      </c>
      <c r="AH312" s="1" vm="3126">
        <f ca="1"/>
        <v>107.67</v>
      </c>
      <c r="AJ312" s="1" vm="4052">
        <f ca="1"/>
        <v>109.85</v>
      </c>
      <c r="AK312" s="2">
        <f t="shared" ca="1" si="114"/>
        <v>-9.8315885298133621E-3</v>
      </c>
      <c r="AL312" s="1" vm="4544">
        <f ca="1"/>
        <v>56.63</v>
      </c>
      <c r="AO312" s="9">
        <f t="shared" ca="1" si="100"/>
        <v>87.566064483977257</v>
      </c>
      <c r="AP312">
        <f t="shared" ca="1" si="101"/>
        <v>99.842359050445225</v>
      </c>
      <c r="AQ312">
        <f t="shared" ca="1" si="102"/>
        <v>104.32098765432116</v>
      </c>
      <c r="AR312">
        <f t="shared" ca="1" si="103"/>
        <v>115.46538892853516</v>
      </c>
      <c r="AT312" s="21">
        <f ca="1">MAX($AO$3:AO313)</f>
        <v>106.96839029133979</v>
      </c>
      <c r="AU312" s="2">
        <f t="shared" ca="1" si="104"/>
        <v>-0.181383731722224</v>
      </c>
    </row>
    <row r="313" spans="1:47" x14ac:dyDescent="0.25">
      <c r="A313" vm="4545">
        <f ca="1"/>
        <v>46105</v>
      </c>
      <c r="B313" vm="4546">
        <f ca="1"/>
        <v>152.54</v>
      </c>
      <c r="C313" vm="4547">
        <f ca="1"/>
        <v>296.5</v>
      </c>
      <c r="D313" vm="3646">
        <f ca="1"/>
        <v>262.7</v>
      </c>
      <c r="E313" vm="3606">
        <f ca="1"/>
        <v>159</v>
      </c>
      <c r="F313" vm="4548">
        <f ca="1"/>
        <v>179.28</v>
      </c>
      <c r="G313" vm="4549">
        <f ca="1"/>
        <v>130.25</v>
      </c>
      <c r="H313" vm="1249">
        <f ca="1"/>
        <v>322.95</v>
      </c>
      <c r="I313" vm="4550">
        <f ca="1"/>
        <v>123.86</v>
      </c>
      <c r="J313" vm="4551">
        <f ca="1"/>
        <v>353.8</v>
      </c>
      <c r="K313" vm="1136">
        <f ca="1"/>
        <v>100</v>
      </c>
      <c r="L313" vm="3768">
        <f ca="1"/>
        <v>274.45</v>
      </c>
      <c r="M313" vm="4289">
        <f ca="1"/>
        <v>252.7</v>
      </c>
      <c r="O313" vm="4552">
        <f ca="1"/>
        <v>425.55</v>
      </c>
      <c r="AG313" vm="4545">
        <f ca="1"/>
        <v>46105</v>
      </c>
      <c r="AH313" s="1" vm="4553">
        <f ca="1"/>
        <v>107.535</v>
      </c>
      <c r="AJ313" s="1" vm="4554">
        <f ca="1"/>
        <v>108.77</v>
      </c>
      <c r="AK313" s="2">
        <f t="shared" ca="1" si="114"/>
        <v>3.8153902730533318E-3</v>
      </c>
      <c r="AL313" s="1" vm="4555">
        <f ca="1"/>
        <v>56.21</v>
      </c>
    </row>
    <row r="314" spans="1:47" x14ac:dyDescent="0.25">
      <c r="AJ314" s="1" vm="4556">
        <f ca="1"/>
        <v>109.185</v>
      </c>
    </row>
    <row r="315" spans="1:47" x14ac:dyDescent="0.25">
      <c r="AJ315" s="1" vm="4557">
        <f ca="1"/>
        <v>109.22499999999999</v>
      </c>
    </row>
  </sheetData>
  <phoneticPr fontId="1" type="noConversion"/>
  <pageMargins left="0.7" right="0.7" top="0.75" bottom="0.75" header="0.3" footer="0.3"/>
  <ignoredErrors>
    <ignoredError sqref="Z4:Z247 Z248:Z270 Z271:Z27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3D51-A2B5-47BF-BB0A-D2EF24B9DE40}">
  <dimension ref="B2:I28"/>
  <sheetViews>
    <sheetView zoomScale="92" workbookViewId="0">
      <selection activeCell="C32" sqref="C32"/>
    </sheetView>
  </sheetViews>
  <sheetFormatPr defaultRowHeight="13.8" x14ac:dyDescent="0.25"/>
  <cols>
    <col min="1" max="1" width="5.8984375" customWidth="1"/>
    <col min="2" max="2" width="10.296875" customWidth="1"/>
    <col min="3" max="3" width="51.69921875" customWidth="1"/>
    <col min="4" max="4" width="14.796875" customWidth="1"/>
    <col min="5" max="5" width="10.296875" customWidth="1"/>
    <col min="6" max="6" width="13.5" customWidth="1"/>
    <col min="7" max="7" width="11.796875" customWidth="1"/>
    <col min="8" max="8" width="11.296875" style="23" customWidth="1"/>
    <col min="9" max="9" width="14.796875" customWidth="1"/>
    <col min="10" max="10" width="12.796875" customWidth="1"/>
  </cols>
  <sheetData>
    <row r="2" spans="2:9" x14ac:dyDescent="0.25">
      <c r="B2" t="s">
        <v>0</v>
      </c>
      <c r="C2" t="s">
        <v>1</v>
      </c>
      <c r="D2" t="s">
        <v>2</v>
      </c>
      <c r="E2" t="s">
        <v>3</v>
      </c>
      <c r="F2" t="s">
        <v>4</v>
      </c>
      <c r="G2" t="s">
        <v>46</v>
      </c>
      <c r="H2" s="27" t="s">
        <v>7</v>
      </c>
      <c r="I2" t="s">
        <v>9</v>
      </c>
    </row>
    <row r="3" spans="2:9" x14ac:dyDescent="0.25">
      <c r="B3" s="28">
        <v>45968</v>
      </c>
      <c r="C3" t="e" vm="4558">
        <v>#VALUE!</v>
      </c>
      <c r="D3" s="24" t="str" cm="1">
        <f t="array" aca="1" ref="D3" ca="1">_FV(MovementsTable.[[#This Row],[Stocks.]],"Simbolo dell'azione",TRUE)</f>
        <v>IES</v>
      </c>
      <c r="E3" t="s">
        <v>5</v>
      </c>
      <c r="F3" s="25">
        <v>0</v>
      </c>
      <c r="G3" s="25">
        <v>5.5880000000000001</v>
      </c>
      <c r="H3" s="27">
        <v>45</v>
      </c>
      <c r="I3" s="25">
        <f>MovementsTable.[[#This Row],[Price.]]*MovementsTable.[[#This Row],[Quantity.]] + MovementsTable.[[#This Row],[Commision.]]</f>
        <v>251.46</v>
      </c>
    </row>
    <row r="4" spans="2:9" x14ac:dyDescent="0.25">
      <c r="B4" s="28">
        <v>46364</v>
      </c>
      <c r="C4" t="e" vm="4559">
        <v>#VALUE!</v>
      </c>
      <c r="D4" s="24" t="str" cm="1">
        <f t="array" aca="1" ref="D4" ca="1">_FV(MovementsTable.[[#This Row],[Stocks.]],"Simbolo dell'azione",TRUE)</f>
        <v>ENL</v>
      </c>
      <c r="E4" t="s">
        <v>5</v>
      </c>
      <c r="F4" s="25">
        <v>0</v>
      </c>
      <c r="G4" s="25">
        <v>8.7490000000000006</v>
      </c>
      <c r="H4" s="27">
        <v>30</v>
      </c>
      <c r="I4" s="25">
        <f>MovementsTable.[[#This Row],[Price.]]*MovementsTable.[[#This Row],[Quantity.]] + MovementsTable.[[#This Row],[Commision.]]</f>
        <v>262.47000000000003</v>
      </c>
    </row>
    <row r="5" spans="2:9" x14ac:dyDescent="0.25">
      <c r="B5" s="28">
        <v>45999</v>
      </c>
      <c r="C5" t="e" vm="4560">
        <v>#VALUE!</v>
      </c>
      <c r="D5" s="24" t="str" cm="1">
        <f t="array" aca="1" ref="D5" ca="1">_FV(MovementsTable.[[#This Row],[Stocks.]],"Simbolo dell'azione",TRUE)</f>
        <v>PFE</v>
      </c>
      <c r="E5" t="s">
        <v>5</v>
      </c>
      <c r="F5" s="25">
        <v>0</v>
      </c>
      <c r="G5" s="25">
        <v>22.37</v>
      </c>
      <c r="H5" s="27">
        <v>12</v>
      </c>
      <c r="I5" s="25">
        <f>MovementsTable.[[#This Row],[Price.]]*MovementsTable.[[#This Row],[Quantity.]] + MovementsTable.[[#This Row],[Commision.]]</f>
        <v>268.44</v>
      </c>
    </row>
    <row r="6" spans="2:9" x14ac:dyDescent="0.25">
      <c r="B6" s="28">
        <v>45999</v>
      </c>
      <c r="C6" t="e" vm="4561">
        <v>#VALUE!</v>
      </c>
      <c r="D6" s="24" t="str" cm="1">
        <f t="array" aca="1" ref="D6" ca="1">_FV(MovementsTable.[[#This Row],[Stocks.]],"Simbolo dell'azione",TRUE)</f>
        <v>BNP</v>
      </c>
      <c r="E6" t="s">
        <v>5</v>
      </c>
      <c r="F6" s="25">
        <v>0</v>
      </c>
      <c r="G6" s="25">
        <v>75.5</v>
      </c>
      <c r="H6" s="27">
        <v>4</v>
      </c>
      <c r="I6" s="25">
        <f>MovementsTable.[[#This Row],[Price.]]*MovementsTable.[[#This Row],[Quantity.]] + MovementsTable.[[#This Row],[Commision.]]</f>
        <v>302</v>
      </c>
    </row>
    <row r="7" spans="2:9" x14ac:dyDescent="0.25">
      <c r="B7" s="28">
        <v>46020</v>
      </c>
      <c r="C7" t="e" vm="4562">
        <v>#VALUE!</v>
      </c>
      <c r="D7" s="24" t="str" cm="1">
        <f t="array" aca="1" ref="D7" ca="1">_FV(MovementsTable.[[#This Row],[Stocks.]],"Simbolo dell'azione",TRUE)</f>
        <v>PRG</v>
      </c>
      <c r="E7" t="s">
        <v>5</v>
      </c>
      <c r="F7" s="25">
        <v>0</v>
      </c>
      <c r="G7" s="25">
        <v>122.96</v>
      </c>
      <c r="H7" s="27">
        <v>3</v>
      </c>
      <c r="I7" s="25">
        <f>MovementsTable.[[#This Row],[Price.]]*MovementsTable.[[#This Row],[Quantity.]] + MovementsTable.[[#This Row],[Commision.]]</f>
        <v>368.88</v>
      </c>
    </row>
    <row r="8" spans="2:9" x14ac:dyDescent="0.25">
      <c r="B8" s="28">
        <v>46009</v>
      </c>
      <c r="C8" t="e" vm="4563">
        <v>#VALUE!</v>
      </c>
      <c r="D8" s="24" t="str" cm="1">
        <f t="array" aca="1" ref="D8" ca="1">_FV(MovementsTable.[[#This Row],[Stocks.]],"Simbolo dell'azione",TRUE)</f>
        <v>NVD</v>
      </c>
      <c r="E8" t="s">
        <v>6</v>
      </c>
      <c r="F8" s="25">
        <v>0</v>
      </c>
      <c r="G8" s="25">
        <f>749.2/5</f>
        <v>149.84</v>
      </c>
      <c r="H8" s="27">
        <v>-5</v>
      </c>
      <c r="I8" s="25">
        <f>MovementsTable.[[#This Row],[Price.]]*MovementsTable.[[#This Row],[Quantity.]] + MovementsTable.[[#This Row],[Commision.]]</f>
        <v>-749.2</v>
      </c>
    </row>
    <row r="9" spans="2:9" x14ac:dyDescent="0.25">
      <c r="B9" s="28">
        <v>45986</v>
      </c>
      <c r="C9" t="e" vm="4563">
        <v>#VALUE!</v>
      </c>
      <c r="D9" s="24" t="str" cm="1">
        <f t="array" aca="1" ref="D9" ca="1">_FV(MovementsTable.[[#This Row],[Stocks.]],"Simbolo dell'azione",TRUE)</f>
        <v>NVD</v>
      </c>
      <c r="E9" t="s">
        <v>5</v>
      </c>
      <c r="F9" s="25">
        <v>0</v>
      </c>
      <c r="G9" s="25">
        <v>153.30000000000001</v>
      </c>
      <c r="H9" s="27">
        <v>3</v>
      </c>
      <c r="I9" s="25">
        <f>MovementsTable.[[#This Row],[Price.]]*MovementsTable.[[#This Row],[Quantity.]] + MovementsTable.[[#This Row],[Commision.]]</f>
        <v>459.90000000000003</v>
      </c>
    </row>
    <row r="10" spans="2:9" x14ac:dyDescent="0.25">
      <c r="B10" s="28">
        <v>45965</v>
      </c>
      <c r="C10" t="e" vm="4563">
        <v>#VALUE!</v>
      </c>
      <c r="D10" s="24" t="str" cm="1">
        <f t="array" aca="1" ref="D10" ca="1">_FV(MovementsTable.[[#This Row],[Stocks.]],"Simbolo dell'azione",TRUE)</f>
        <v>NVD</v>
      </c>
      <c r="E10" t="s">
        <v>5</v>
      </c>
      <c r="F10" s="25">
        <v>0</v>
      </c>
      <c r="G10" s="25">
        <v>172.94</v>
      </c>
      <c r="H10" s="27">
        <v>2</v>
      </c>
      <c r="I10" s="25">
        <f>MovementsTable.[[#This Row],[Price.]]*MovementsTable.[[#This Row],[Quantity.]] + MovementsTable.[[#This Row],[Commision.]]</f>
        <v>345.88</v>
      </c>
    </row>
    <row r="11" spans="2:9" x14ac:dyDescent="0.25">
      <c r="B11" s="28">
        <v>45961</v>
      </c>
      <c r="C11" t="e" vm="4563">
        <v>#VALUE!</v>
      </c>
      <c r="D11" s="24" t="str" cm="1">
        <f t="array" aca="1" ref="D11" ca="1">_FV(MovementsTable.[[#This Row],[Stocks.]],"Simbolo dell'azione",TRUE)</f>
        <v>NVD</v>
      </c>
      <c r="E11" t="s">
        <v>5</v>
      </c>
      <c r="F11" s="25">
        <v>0.99</v>
      </c>
      <c r="G11" s="25">
        <v>175.84</v>
      </c>
      <c r="H11" s="27">
        <v>4</v>
      </c>
      <c r="I11" s="25">
        <f>MovementsTable.[[#This Row],[Price.]]*MovementsTable.[[#This Row],[Quantity.]] + MovementsTable.[[#This Row],[Commision.]]</f>
        <v>704.35</v>
      </c>
    </row>
    <row r="12" spans="2:9" x14ac:dyDescent="0.25">
      <c r="B12" s="28">
        <v>46006</v>
      </c>
      <c r="C12" t="e" vm="4564">
        <v>#VALUE!</v>
      </c>
      <c r="D12" s="24" t="str" cm="1">
        <f t="array" aca="1" ref="D12" ca="1">_FV(MovementsTable.[[#This Row],[Stocks.]],"Simbolo dell'azione",TRUE)</f>
        <v>AMZ</v>
      </c>
      <c r="E12" t="s">
        <v>5</v>
      </c>
      <c r="F12" s="25">
        <v>0</v>
      </c>
      <c r="G12" s="25">
        <v>193.94</v>
      </c>
      <c r="H12" s="27">
        <v>2</v>
      </c>
      <c r="I12" s="25">
        <f>MovementsTable.[[#This Row],[Price.]]*MovementsTable.[[#This Row],[Quantity.]] + MovementsTable.[[#This Row],[Commision.]]</f>
        <v>387.88</v>
      </c>
    </row>
    <row r="13" spans="2:9" x14ac:dyDescent="0.25">
      <c r="B13" s="28">
        <v>46002</v>
      </c>
      <c r="C13" t="e" vm="4565">
        <v>#VALUE!</v>
      </c>
      <c r="D13" s="24" t="str" cm="1">
        <f t="array" aca="1" ref="D13" ca="1">_FV(MovementsTable.[[#This Row],[Stocks.]],"Simbolo dell'azione",TRUE)</f>
        <v>CMC</v>
      </c>
      <c r="E13" t="s">
        <v>5</v>
      </c>
      <c r="F13" s="25">
        <v>0</v>
      </c>
      <c r="G13" s="25">
        <v>264.7</v>
      </c>
      <c r="H13" s="27">
        <v>1</v>
      </c>
      <c r="I13" s="25">
        <f>MovementsTable.[[#This Row],[Price.]]*MovementsTable.[[#This Row],[Quantity.]] + MovementsTable.[[#This Row],[Commision.]]</f>
        <v>264.7</v>
      </c>
    </row>
    <row r="14" spans="2:9" x14ac:dyDescent="0.25">
      <c r="B14" s="28">
        <v>45999</v>
      </c>
      <c r="C14" t="e" vm="4566">
        <v>#VALUE!</v>
      </c>
      <c r="D14" s="24" t="str" cm="1">
        <f t="array" aca="1" ref="D14" ca="1">_FV(MovementsTable.[[#This Row],[Stocks.]],"Simbolo dell'azione",TRUE)</f>
        <v>3V64</v>
      </c>
      <c r="E14" t="s">
        <v>5</v>
      </c>
      <c r="F14" s="25">
        <v>0</v>
      </c>
      <c r="G14" s="25">
        <v>285.60000000000002</v>
      </c>
      <c r="H14" s="27">
        <v>2</v>
      </c>
      <c r="I14" s="25">
        <f>MovementsTable.[[#This Row],[Price.]]*MovementsTable.[[#This Row],[Quantity.]] + MovementsTable.[[#This Row],[Commision.]]</f>
        <v>571.20000000000005</v>
      </c>
    </row>
    <row r="15" spans="2:9" x14ac:dyDescent="0.25">
      <c r="B15" s="28">
        <v>46020</v>
      </c>
      <c r="C15" t="e" vm="4567">
        <v>#VALUE!</v>
      </c>
      <c r="D15" s="24" t="str" cm="1">
        <f t="array" aca="1" ref="D15" ca="1">_FV(MovementsTable.[[#This Row],[Stocks.]],"Simbolo dell'azione",TRUE)</f>
        <v>1YD</v>
      </c>
      <c r="E15" t="s">
        <v>5</v>
      </c>
      <c r="F15" s="25">
        <v>0</v>
      </c>
      <c r="G15" s="25">
        <v>296.95</v>
      </c>
      <c r="H15" s="27">
        <v>1</v>
      </c>
      <c r="I15" s="25">
        <f>MovementsTable.[[#This Row],[Price.]]*MovementsTable.[[#This Row],[Quantity.]] + MovementsTable.[[#This Row],[Commision.]]</f>
        <v>296.95</v>
      </c>
    </row>
    <row r="16" spans="2:9" x14ac:dyDescent="0.25">
      <c r="B16" s="28">
        <v>46024</v>
      </c>
      <c r="C16" t="e" vm="4568">
        <v>#VALUE!</v>
      </c>
      <c r="D16" s="24" t="str" cm="1">
        <f t="array" aca="1" ref="D16" ca="1">_FV(MovementsTable.[[#This Row],[Stocks.]],"Simbolo dell'azione",TRUE)</f>
        <v>MSF</v>
      </c>
      <c r="E16" t="s">
        <v>5</v>
      </c>
      <c r="F16" s="25">
        <v>0</v>
      </c>
      <c r="G16" s="25">
        <v>414.65</v>
      </c>
      <c r="H16" s="27">
        <v>1</v>
      </c>
      <c r="I16" s="25">
        <f>MovementsTable.[[#This Row],[Price.]]*MovementsTable.[[#This Row],[Quantity.]] + MovementsTable.[[#This Row],[Commision.]]</f>
        <v>414.65</v>
      </c>
    </row>
    <row r="17" spans="2:9" x14ac:dyDescent="0.25">
      <c r="B17" s="28">
        <v>46020</v>
      </c>
      <c r="C17" t="e" vm="4569">
        <v>#VALUE!</v>
      </c>
      <c r="D17" s="24" t="str" cm="1">
        <f t="array" aca="1" ref="D17" ca="1">_FV(MovementsTable.[[#This Row],[Stocks.]],"Simbolo dell'azione",TRUE)</f>
        <v>TSFA</v>
      </c>
      <c r="E17" t="s">
        <v>5</v>
      </c>
      <c r="F17" s="25">
        <v>0</v>
      </c>
      <c r="G17" s="25">
        <v>255</v>
      </c>
      <c r="H17" s="27">
        <v>1</v>
      </c>
      <c r="I17" s="25">
        <f>MovementsTable.[[#This Row],[Price.]]*MovementsTable.[[#This Row],[Quantity.]] + MovementsTable.[[#This Row],[Commision.]]</f>
        <v>255</v>
      </c>
    </row>
    <row r="18" spans="2:9" x14ac:dyDescent="0.25">
      <c r="B18" s="28">
        <v>46000</v>
      </c>
      <c r="C18" t="e" vm="4569">
        <v>#VALUE!</v>
      </c>
      <c r="D18" s="24" t="str" cm="1">
        <f t="array" aca="1" ref="D18" ca="1">_FV(MovementsTable.[[#This Row],[Stocks.]],"Simbolo dell'azione",TRUE)</f>
        <v>TSFA</v>
      </c>
      <c r="E18" t="s">
        <v>5</v>
      </c>
      <c r="F18" s="25">
        <v>0</v>
      </c>
      <c r="G18" s="25">
        <v>258</v>
      </c>
      <c r="H18" s="27">
        <v>1</v>
      </c>
      <c r="I18" s="25">
        <f>MovementsTable.[[#This Row],[Price.]]*MovementsTable.[[#This Row],[Quantity.]] + MovementsTable.[[#This Row],[Commision.]]</f>
        <v>258</v>
      </c>
    </row>
    <row r="19" spans="2:9" x14ac:dyDescent="0.25">
      <c r="B19" s="28">
        <v>45968</v>
      </c>
      <c r="C19" t="e" vm="4570">
        <v>#VALUE!</v>
      </c>
      <c r="D19" s="24" t="str" cm="1">
        <f t="array" aca="1" ref="D19" ca="1">_FV(MovementsTable.[[#This Row],[Stocks.]],"Simbolo dell'azione",TRUE)</f>
        <v>YDX</v>
      </c>
      <c r="E19" t="s">
        <v>5</v>
      </c>
      <c r="F19" s="25">
        <v>0</v>
      </c>
      <c r="G19" s="25">
        <v>92</v>
      </c>
      <c r="H19" s="27">
        <v>4</v>
      </c>
      <c r="I19" s="25">
        <f>MovementsTable.[[#This Row],[Price.]]*MovementsTable.[[#This Row],[Quantity.]] + MovementsTable.[[#This Row],[Commision.]]</f>
        <v>368</v>
      </c>
    </row>
    <row r="20" spans="2:9" x14ac:dyDescent="0.25">
      <c r="B20" s="28">
        <v>45690</v>
      </c>
      <c r="C20" t="e" vm="4559">
        <v>#VALUE!</v>
      </c>
      <c r="D20" s="24" t="str" cm="1">
        <f t="array" aca="1" ref="D20" ca="1">_FV(MovementsTable.[[#This Row],[Stocks.]],"Simbolo dell'azione",TRUE)</f>
        <v>ENL</v>
      </c>
      <c r="E20" t="s">
        <v>6</v>
      </c>
      <c r="F20" s="25">
        <v>0</v>
      </c>
      <c r="G20" s="25">
        <v>9.1999999999999993</v>
      </c>
      <c r="H20" s="26">
        <v>-30</v>
      </c>
      <c r="I20" s="25">
        <f>MovementsTable.[[#This Row],[Price.]]*MovementsTable.[[#This Row],[Quantity.]] + MovementsTable.[[#This Row],[Commision.]]</f>
        <v>-276</v>
      </c>
    </row>
    <row r="21" spans="2:9" x14ac:dyDescent="0.25">
      <c r="B21" s="28">
        <v>45690</v>
      </c>
      <c r="C21" t="e" vm="4560">
        <v>#VALUE!</v>
      </c>
      <c r="D21" s="24" t="str" cm="1">
        <f t="array" aca="1" ref="D21" ca="1">_FV(MovementsTable.[[#This Row],[Stocks.]],"Simbolo dell'azione",TRUE)</f>
        <v>PFE</v>
      </c>
      <c r="E21" t="s">
        <v>6</v>
      </c>
      <c r="F21" s="25">
        <v>0</v>
      </c>
      <c r="G21" s="25">
        <v>22.01</v>
      </c>
      <c r="H21" s="26">
        <v>-12</v>
      </c>
      <c r="I21" s="25">
        <f>MovementsTable.[[#This Row],[Price.]]*MovementsTable.[[#This Row],[Quantity.]] + MovementsTable.[[#This Row],[Commision.]]</f>
        <v>-264.12</v>
      </c>
    </row>
    <row r="22" spans="2:9" x14ac:dyDescent="0.25">
      <c r="B22" s="28">
        <v>45690</v>
      </c>
      <c r="C22" t="e" vm="4571">
        <v>#VALUE!</v>
      </c>
      <c r="D22" s="24" t="str" cm="1">
        <f t="array" aca="1" ref="D22" ca="1">_FV(MovementsTable.[[#This Row],[Stocks.]],"Simbolo dell'azione",TRUE)</f>
        <v>FOO</v>
      </c>
      <c r="E22" t="s">
        <v>5</v>
      </c>
      <c r="F22" s="25">
        <v>0</v>
      </c>
      <c r="G22" s="25">
        <v>177.4</v>
      </c>
      <c r="H22" s="26">
        <v>3</v>
      </c>
      <c r="I22" s="25">
        <f>MovementsTable.[[#This Row],[Price.]]*MovementsTable.[[#This Row],[Quantity.]] + MovementsTable.[[#This Row],[Commision.]]</f>
        <v>532.20000000000005</v>
      </c>
    </row>
    <row r="23" spans="2:9" x14ac:dyDescent="0.25">
      <c r="B23" s="28">
        <v>46055</v>
      </c>
      <c r="C23" t="e" vm="4572">
        <v>#VALUE!</v>
      </c>
      <c r="D23" s="24" t="str" cm="1">
        <f t="array" aca="1" ref="D23" ca="1">_FV(MovementsTable.[[#This Row],[Stocks.]],"Simbolo dell'azione",TRUE)</f>
        <v>0V6</v>
      </c>
      <c r="E23" t="s">
        <v>5</v>
      </c>
      <c r="F23" s="25">
        <v>0</v>
      </c>
      <c r="G23" s="25">
        <v>132.35</v>
      </c>
      <c r="H23" s="26">
        <v>3</v>
      </c>
      <c r="I23" s="25">
        <f>MovementsTable.[[#This Row],[Price.]]*MovementsTable.[[#This Row],[Quantity.]] + MovementsTable.[[#This Row],[Commision.]]</f>
        <v>397.04999999999995</v>
      </c>
    </row>
    <row r="24" spans="2:9" x14ac:dyDescent="0.25">
      <c r="B24" s="28">
        <v>46069</v>
      </c>
      <c r="C24" t="e" vm="4573">
        <v>#VALUE!</v>
      </c>
      <c r="D24" s="24" t="str" cm="1">
        <f t="array" aca="1" ref="D24" ca="1">_FV(MovementsTable.[[#This Row],[Stocks.]],"Simbolo dell'azione",TRUE)</f>
        <v>639</v>
      </c>
      <c r="E24" t="s">
        <v>5</v>
      </c>
      <c r="F24" s="25">
        <v>0</v>
      </c>
      <c r="G24" s="25">
        <v>388.45</v>
      </c>
      <c r="H24" s="26">
        <v>1</v>
      </c>
      <c r="I24" s="25">
        <f>MovementsTable.[[#This Row],[Price.]]*MovementsTable.[[#This Row],[Quantity.]] + MovementsTable.[[#This Row],[Commision.]]</f>
        <v>388.45</v>
      </c>
    </row>
    <row r="25" spans="2:9" x14ac:dyDescent="0.25">
      <c r="B25" s="28">
        <v>46083</v>
      </c>
      <c r="C25" t="e" vm="4561">
        <v>#VALUE!</v>
      </c>
      <c r="D25" s="24" t="str" cm="1">
        <f t="array" aca="1" ref="D25" ca="1">_FV(MovementsTable.[[#This Row],[Stocks.]],"Simbolo dell'azione",TRUE)</f>
        <v>BNP</v>
      </c>
      <c r="E25" t="s">
        <v>6</v>
      </c>
      <c r="F25" s="25">
        <v>-0.99</v>
      </c>
      <c r="G25" s="25">
        <v>91.142499999999998</v>
      </c>
      <c r="H25" s="30">
        <v>-4</v>
      </c>
      <c r="I25" s="25">
        <f>MovementsTable.[[#This Row],[Price.]]*MovementsTable.[[#This Row],[Quantity.]] + MovementsTable.[[#This Row],[Commision.]]</f>
        <v>-365.56</v>
      </c>
    </row>
    <row r="26" spans="2:9" x14ac:dyDescent="0.25">
      <c r="B26" s="28">
        <v>46083</v>
      </c>
      <c r="C26" t="e" vm="4574">
        <v>#VALUE!</v>
      </c>
      <c r="D26" s="24" t="str" cm="1">
        <f t="array" aca="1" ref="D26" ca="1">_FV(MovementsTable.[[#This Row],[Stocks.]],"Simbolo dell'azione",TRUE)</f>
        <v>MHL</v>
      </c>
      <c r="E26" t="s">
        <v>5</v>
      </c>
      <c r="F26" s="25">
        <v>0.99</v>
      </c>
      <c r="G26" s="25">
        <v>373.58</v>
      </c>
      <c r="H26" s="30">
        <v>1</v>
      </c>
      <c r="I26" s="25">
        <f>MovementsTable.[[#This Row],[Price.]]*MovementsTable.[[#This Row],[Quantity.]] + MovementsTable.[[#This Row],[Commision.]]</f>
        <v>374.57</v>
      </c>
    </row>
    <row r="27" spans="2:9" x14ac:dyDescent="0.25">
      <c r="B27" s="28">
        <v>46098</v>
      </c>
      <c r="C27" t="e" vm="4558">
        <v>#VALUE!</v>
      </c>
      <c r="D27" s="24" t="str" cm="1">
        <f t="array" aca="1" ref="D27" ca="1">_FV(MovementsTable.[[#This Row],[Stocks.]],"Simbolo dell'azione",TRUE)</f>
        <v>IES</v>
      </c>
      <c r="E27" t="s">
        <v>6</v>
      </c>
      <c r="F27" s="25">
        <v>0.99</v>
      </c>
      <c r="G27" s="25">
        <v>5.1539999999999999</v>
      </c>
      <c r="H27" s="30">
        <v>-45</v>
      </c>
      <c r="I27" s="25">
        <f>MovementsTable.[[#This Row],[Price.]]*MovementsTable.[[#This Row],[Quantity.]] + MovementsTable.[[#This Row],[Commision.]]</f>
        <v>-230.94</v>
      </c>
    </row>
    <row r="28" spans="2:9" x14ac:dyDescent="0.25">
      <c r="B28" s="28">
        <v>46098</v>
      </c>
      <c r="C28" t="e" vm="4575">
        <v>#VALUE!</v>
      </c>
      <c r="D28" s="24" t="str" cm="1">
        <f t="array" aca="1" ref="D28" ca="1">_FV(MovementsTable.[[#This Row],[Stocks.]],"Simbolo dell'azione",TRUE)</f>
        <v>AMP</v>
      </c>
      <c r="E28" t="s">
        <v>5</v>
      </c>
      <c r="F28" s="25">
        <v>0.99</v>
      </c>
      <c r="G28" s="25">
        <v>8.1999999999999993</v>
      </c>
      <c r="H28" s="30">
        <v>15</v>
      </c>
      <c r="I28" s="25">
        <f>MovementsTable.[[#This Row],[Price.]]*MovementsTable.[[#This Row],[Quantity.]] + MovementsTable.[[#This Row],[Commision.]]</f>
        <v>123.98999999999998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DEDD-3321-4A49-92FB-D18DB3DDC892}">
  <dimension ref="B1:AD42"/>
  <sheetViews>
    <sheetView tabSelected="1" zoomScale="73" workbookViewId="0">
      <selection activeCell="L29" sqref="L29"/>
    </sheetView>
  </sheetViews>
  <sheetFormatPr defaultRowHeight="13.8" x14ac:dyDescent="0.25"/>
  <cols>
    <col min="1" max="1" width="3.5" customWidth="1"/>
    <col min="2" max="2" width="11.69921875" customWidth="1"/>
    <col min="3" max="3" width="10.19921875" bestFit="1" customWidth="1"/>
    <col min="4" max="4" width="9" customWidth="1"/>
    <col min="5" max="5" width="11.8984375" hidden="1" customWidth="1"/>
    <col min="6" max="6" width="16.09765625" hidden="1" customWidth="1"/>
    <col min="7" max="7" width="16.296875" hidden="1" customWidth="1"/>
    <col min="8" max="8" width="13.8984375" bestFit="1" customWidth="1"/>
    <col min="9" max="9" width="11.69921875" bestFit="1" customWidth="1"/>
    <col min="10" max="10" width="9.296875" customWidth="1"/>
    <col min="11" max="11" width="11" style="1" customWidth="1"/>
    <col min="12" max="12" width="11.296875" style="1" customWidth="1"/>
    <col min="13" max="13" width="7.59765625" style="1" bestFit="1" customWidth="1"/>
    <col min="14" max="14" width="7.09765625" bestFit="1" customWidth="1"/>
    <col min="15" max="15" width="6.59765625" style="2" bestFit="1" customWidth="1"/>
    <col min="17" max="17" width="15" bestFit="1" customWidth="1"/>
  </cols>
  <sheetData>
    <row r="1" spans="2:30" x14ac:dyDescent="0.25">
      <c r="G1" s="15" t="s">
        <v>17</v>
      </c>
      <c r="H1" s="78" t="s">
        <v>53</v>
      </c>
      <c r="K1" s="13"/>
      <c r="L1" s="13"/>
      <c r="M1"/>
    </row>
    <row r="2" spans="2:30" x14ac:dyDescent="0.25">
      <c r="G2" s="16">
        <f ca="1">SUM(_xlfn.ANCHORARRAY(G4))</f>
        <v>5521.5</v>
      </c>
      <c r="H2" s="79">
        <f ca="1">SUM(O4:O16)</f>
        <v>6.3802360789640489E-3</v>
      </c>
    </row>
    <row r="3" spans="2:30" ht="15.6" x14ac:dyDescent="0.3">
      <c r="B3" s="32" t="s">
        <v>1</v>
      </c>
      <c r="C3" s="33" t="s">
        <v>2</v>
      </c>
      <c r="D3" s="33" t="s">
        <v>10</v>
      </c>
      <c r="E3" s="33" t="s">
        <v>7</v>
      </c>
      <c r="F3" s="33" t="s">
        <v>8</v>
      </c>
      <c r="G3" s="33" t="s">
        <v>11</v>
      </c>
      <c r="H3" s="34" t="s">
        <v>12</v>
      </c>
      <c r="I3" s="34" t="s">
        <v>13</v>
      </c>
      <c r="J3" s="33" t="s">
        <v>14</v>
      </c>
      <c r="K3" s="35" t="s">
        <v>15</v>
      </c>
      <c r="L3" s="35" t="s">
        <v>16</v>
      </c>
      <c r="M3" s="35" t="s">
        <v>19</v>
      </c>
      <c r="N3" s="35" t="s">
        <v>18</v>
      </c>
      <c r="O3" s="36" t="s">
        <v>37</v>
      </c>
      <c r="Q3" s="37" t="s">
        <v>34</v>
      </c>
    </row>
    <row r="4" spans="2:30" x14ac:dyDescent="0.25">
      <c r="B4" s="64" t="e" cm="1" vm="4562">
        <f t="array" ref="B4:B17">_xlfn.UNIQUE(_xlfn._xlws.FILTER(MovementsTable.[Stocks.], SUMIFS(MovementsTable.[Quantity.],MovementsTable.[Stocks.],MovementsTable.[Stocks.])&gt;0))</f>
        <v>#VALUE!</v>
      </c>
      <c r="C4" s="65" t="str" cm="1">
        <f t="array" aca="1" ref="C4" ca="1">_FV(B4,"Simbolo dell'azione",TRUE)</f>
        <v>PRG</v>
      </c>
      <c r="D4" s="65" t="str" cm="1">
        <f t="array" aca="1" ref="D4:D17" ca="1">_FV(_xlfn.ANCHORARRAY(B4),"Settore")</f>
        <v>Personal &amp; Household Products &amp; Services</v>
      </c>
      <c r="E4" s="65" cm="1">
        <f t="array" ref="E4:E17">SUMIFS(MovementsTable.[Quantity.], MovementsTable.[Stocks.],_xlfn.ANCHORARRAY( Insights.!B4))</f>
        <v>3</v>
      </c>
      <c r="F4" s="66" cm="1">
        <f t="array" aca="1" ref="F4:F17" ca="1">_FV(_xlfn.ANCHORARRAY(B4),"Prezzo")</f>
        <v>123.92</v>
      </c>
      <c r="G4" s="66" cm="1">
        <f t="array" aca="1" ref="G4:G17" ca="1">_xlfn.ANCHORARRAY(E4)*_xlfn.ANCHORARRAY(F4)</f>
        <v>371.76</v>
      </c>
      <c r="H4" s="67" cm="1">
        <f t="array" aca="1" ref="H4:H17" ca="1">(_xlfn.ANCHORARRAY(G4)/SUM(_xlfn.ANCHORARRAY(G4)))</f>
        <v>6.7329530019016565E-2</v>
      </c>
      <c r="I4" s="67" cm="1">
        <f t="array" aca="1" ref="I4:I17" ca="1">_FV(_xlfn.ANCHORARRAY(B4),"Variazione (%)",TRUE)</f>
        <v>-4.8190000000000004E-3</v>
      </c>
      <c r="J4" s="66" cm="1">
        <f t="array" aca="1" ref="J4:J17" ca="1">_xlfn.ANCHORARRAY(G4) - SUMIFS(MovementsTable.[TotalAmount.], MovementsTable.[Stocks.],_xlfn.ANCHORARRAY( Insights.!B4))</f>
        <v>2.8799999999999955</v>
      </c>
      <c r="K4" s="66" cm="1">
        <f t="array" aca="1" ref="K4:K17" ca="1">IFERROR(_FV(_xlfn.ANCHORARRAY(B4),"Minimo di 52 settimane",TRUE), "N/A.")</f>
        <v>118.22</v>
      </c>
      <c r="L4" s="66" cm="1">
        <f t="array" aca="1" ref="L4:L17" ca="1">IFERROR(_FV(_xlfn.ANCHORARRAY(B4),"Massimo in 52 settimane",TRUE), "N/A.")</f>
        <v>158.47999999999999</v>
      </c>
      <c r="M4" s="68" cm="1">
        <f t="array" aca="1" ref="M4:M17" ca="1">_FV(_xlfn.ANCHORARRAY(B4),"P/U",TRUE)</f>
        <v>21.5656</v>
      </c>
      <c r="N4" s="69" cm="1">
        <f t="array" aca="1" ref="N4:N17" ca="1">_FV(_xlfn.ANCHORARRAY(B4),"Beta")</f>
        <v>0.40379999999999999</v>
      </c>
      <c r="O4" s="80">
        <f ca="1">(H4*I4)</f>
        <v>-3.2446100516164087E-4</v>
      </c>
      <c r="Q4" s="8">
        <v>0.03</v>
      </c>
    </row>
    <row r="5" spans="2:30" x14ac:dyDescent="0.25">
      <c r="B5" s="70" t="e" vm="4563">
        <v>#VALUE!</v>
      </c>
      <c r="C5" t="str" cm="1">
        <f t="array" aca="1" ref="C5" ca="1">_FV(B5,"Simbolo dell'azione",TRUE)</f>
        <v>NVD</v>
      </c>
      <c r="D5" t="str">
        <f ca="1"/>
        <v>Semiconductors &amp; Semiconductor Equipment</v>
      </c>
      <c r="E5">
        <v>4</v>
      </c>
      <c r="F5" s="5">
        <f ca="1"/>
        <v>154.91999999999999</v>
      </c>
      <c r="G5" s="5">
        <f ca="1"/>
        <v>619.67999999999995</v>
      </c>
      <c r="H5" s="4">
        <f ca="1"/>
        <v>0.11223037218147242</v>
      </c>
      <c r="I5" s="4">
        <f ca="1"/>
        <v>2.5824E-2</v>
      </c>
      <c r="J5" s="5">
        <f ca="1"/>
        <v>-141.25000000000011</v>
      </c>
      <c r="K5" s="5">
        <f ca="1"/>
        <v>75.400000000000006</v>
      </c>
      <c r="L5" s="5">
        <f ca="1"/>
        <v>182.3</v>
      </c>
      <c r="M5" s="6">
        <f ca="1"/>
        <v>37.376100000000001</v>
      </c>
      <c r="N5" s="71">
        <f ca="1"/>
        <v>2.3397000000000001</v>
      </c>
      <c r="O5" s="81">
        <f t="shared" ref="O5:O17" ca="1" si="0">(H5*I5)</f>
        <v>2.8982371312143438E-3</v>
      </c>
    </row>
    <row r="6" spans="2:30" x14ac:dyDescent="0.25">
      <c r="B6" s="70" t="e" vm="4564">
        <v>#VALUE!</v>
      </c>
      <c r="C6" t="str" cm="1">
        <f t="array" aca="1" ref="C6" ca="1">_FV(B6,"Simbolo dell'azione",TRUE)</f>
        <v>AMZ</v>
      </c>
      <c r="D6" t="str">
        <f ca="1"/>
        <v>Diversified Retail</v>
      </c>
      <c r="E6">
        <v>2</v>
      </c>
      <c r="F6" s="5">
        <f ca="1"/>
        <v>183.46</v>
      </c>
      <c r="G6" s="5">
        <f ca="1"/>
        <v>366.92</v>
      </c>
      <c r="H6" s="4">
        <f ca="1"/>
        <v>6.6452956624105775E-2</v>
      </c>
      <c r="I6" s="4">
        <f ca="1"/>
        <v>2.3200999999999999E-2</v>
      </c>
      <c r="J6" s="5">
        <f ca="1"/>
        <v>-20.95999999999998</v>
      </c>
      <c r="K6" s="5">
        <f ca="1"/>
        <v>142.6</v>
      </c>
      <c r="L6" s="5">
        <f ca="1"/>
        <v>225.15</v>
      </c>
      <c r="M6" s="6">
        <f ca="1"/>
        <v>30.042899999999999</v>
      </c>
      <c r="N6" s="71">
        <f ca="1"/>
        <v>1.3909</v>
      </c>
      <c r="O6" s="81">
        <f t="shared" ca="1" si="0"/>
        <v>1.5417750466358781E-3</v>
      </c>
      <c r="R6" s="38" t="s">
        <v>20</v>
      </c>
      <c r="S6" s="38" t="s">
        <v>22</v>
      </c>
      <c r="T6" s="38" t="s">
        <v>23</v>
      </c>
      <c r="U6" s="38" t="s">
        <v>24</v>
      </c>
      <c r="V6" s="38" t="s">
        <v>25</v>
      </c>
      <c r="W6" s="38" t="s">
        <v>50</v>
      </c>
      <c r="X6" s="37" t="s">
        <v>27</v>
      </c>
      <c r="Y6" s="37" t="s">
        <v>29</v>
      </c>
      <c r="Z6" s="37" t="s">
        <v>47</v>
      </c>
      <c r="AA6" s="37" t="s">
        <v>51</v>
      </c>
      <c r="AB6" s="37" t="s">
        <v>48</v>
      </c>
      <c r="AC6" s="39">
        <v>639</v>
      </c>
      <c r="AD6" s="39" t="s">
        <v>21</v>
      </c>
    </row>
    <row r="7" spans="2:30" x14ac:dyDescent="0.25">
      <c r="B7" s="70" t="e" vm="4565">
        <v>#VALUE!</v>
      </c>
      <c r="C7" t="str" cm="1">
        <f t="array" aca="1" ref="C7" ca="1">_FV(B7,"Simbolo dell'azione",TRUE)</f>
        <v>CMC</v>
      </c>
      <c r="D7" t="str">
        <f ca="1"/>
        <v>Banking Services</v>
      </c>
      <c r="E7">
        <v>1</v>
      </c>
      <c r="F7" s="5">
        <f ca="1"/>
        <v>255.15</v>
      </c>
      <c r="G7" s="5">
        <f ca="1"/>
        <v>255.15</v>
      </c>
      <c r="H7" s="4">
        <f ca="1"/>
        <v>4.6210268948655257E-2</v>
      </c>
      <c r="I7" s="4">
        <f ca="1"/>
        <v>9.6950000000000005E-3</v>
      </c>
      <c r="J7" s="5">
        <f ca="1"/>
        <v>-9.5499999999999829</v>
      </c>
      <c r="K7" s="5">
        <f ca="1"/>
        <v>73.680000000000007</v>
      </c>
      <c r="L7" s="5">
        <f ca="1"/>
        <v>287.7</v>
      </c>
      <c r="M7" s="6">
        <f ca="1"/>
        <v>14.973599999999999</v>
      </c>
      <c r="N7" s="71">
        <f ca="1"/>
        <v>1.0488</v>
      </c>
      <c r="O7" s="81">
        <f t="shared" ca="1" si="0"/>
        <v>4.4800855745721273E-4</v>
      </c>
      <c r="Q7" s="38" t="s">
        <v>30</v>
      </c>
      <c r="R7" s="47">
        <f ca="1">AVERAGE(DataBase.!V3:V300)*252</f>
        <v>0.22391549215239384</v>
      </c>
      <c r="S7" s="47">
        <f ca="1">AVERAGE(DataBase.!W3:Y300)*252</f>
        <v>-1.9890058512765943E-2</v>
      </c>
      <c r="T7" s="47">
        <f ca="1">AVERAGE(DataBase.!W3:W300)*252</f>
        <v>-6.9557387879160076E-2</v>
      </c>
      <c r="U7" s="47">
        <f ca="1">AVERAGE(DataBase.!AA3:AA300)*252</f>
        <v>-8.2797304091191709E-2</v>
      </c>
      <c r="V7" s="47">
        <f ca="1">AVERAGE(DataBase.!T3:T300)*252</f>
        <v>-0.15248519309336733</v>
      </c>
      <c r="W7" s="47">
        <f ca="1">AVERAGE(DataBase.!U3:U300)*252</f>
        <v>-0.14158347346936381</v>
      </c>
      <c r="X7" s="47">
        <f ca="1">AVERAGE(DataBase.!Z3:Z300)*252</f>
        <v>0.31788297922825803</v>
      </c>
      <c r="Y7" s="47">
        <f ca="1">AVERAGE(DataBase.!X3:X300)*252</f>
        <v>8.4686758099994291E-2</v>
      </c>
      <c r="Z7" s="47">
        <f ca="1">AVERAGE(DataBase.!R3:R300)*252</f>
        <v>-0.45730170901620021</v>
      </c>
      <c r="AA7" s="47">
        <f ca="1">AVERAGE(DataBase.!Q3:Q300)*252</f>
        <v>-0.63944835425674884</v>
      </c>
      <c r="AB7" s="47">
        <f ca="1">AVERAGE(DataBase.!S3:S300)*252</f>
        <v>0.2338404442686941</v>
      </c>
      <c r="AC7" s="47">
        <f ca="1">AVERAGE(DataBase.!AB3:AB300)*252</f>
        <v>0.16201682401648418</v>
      </c>
      <c r="AD7" s="47">
        <f ca="1">AVERAGE(DataBase.!AC3:AC300)*252</f>
        <v>0.42753360017809922</v>
      </c>
    </row>
    <row r="8" spans="2:30" x14ac:dyDescent="0.25">
      <c r="B8" s="70" t="e" vm="4566">
        <v>#VALUE!</v>
      </c>
      <c r="C8" t="str" cm="1">
        <f t="array" aca="1" ref="C8" ca="1">_FV(B8,"Simbolo dell'azione",TRUE)</f>
        <v>3V64</v>
      </c>
      <c r="D8" t="str">
        <f ca="1"/>
        <v>Professional &amp; Commercial Services</v>
      </c>
      <c r="E8">
        <v>2</v>
      </c>
      <c r="F8" s="5">
        <f ca="1"/>
        <v>264</v>
      </c>
      <c r="G8" s="5">
        <f ca="1"/>
        <v>528</v>
      </c>
      <c r="H8" s="4">
        <f ca="1"/>
        <v>9.5626188535723994E-2</v>
      </c>
      <c r="I8" s="4">
        <f ca="1"/>
        <v>4.5659999999999997E-3</v>
      </c>
      <c r="J8" s="5">
        <f ca="1"/>
        <v>-43.200000000000045</v>
      </c>
      <c r="K8" s="5">
        <f ca="1"/>
        <v>250</v>
      </c>
      <c r="L8" s="5">
        <f ca="1"/>
        <v>328.05</v>
      </c>
      <c r="M8" s="6">
        <f ca="1"/>
        <v>29.095400000000001</v>
      </c>
      <c r="N8" s="71">
        <f ca="1"/>
        <v>0.79769999999999996</v>
      </c>
      <c r="O8" s="81">
        <f t="shared" ca="1" si="0"/>
        <v>4.3662917685411573E-4</v>
      </c>
      <c r="Q8" s="38" t="s">
        <v>31</v>
      </c>
      <c r="R8" s="47">
        <f ca="1">STDEVP(DataBase.!V3:V300)*SQRT(252)</f>
        <v>0.4850594140190968</v>
      </c>
      <c r="S8" s="47">
        <f ca="1">STDEVP(DataBase.!Y3:Y300)*SQRT(252)</f>
        <v>0.23939557382146767</v>
      </c>
      <c r="T8" s="47">
        <f ca="1">STDEVP(DataBase.!W3:W300)*SQRT(252)</f>
        <v>0.3587864781019271</v>
      </c>
      <c r="U8" s="47">
        <f ca="1">STDEVP(DataBase.!AA3:AA300)*SQRT(252)</f>
        <v>0.28754086496101455</v>
      </c>
      <c r="V8" s="47">
        <f ca="1">STDEVP(DataBase.!T3:T300)*SQRT(252)</f>
        <v>0.20134089956988119</v>
      </c>
      <c r="W8" s="47">
        <f ca="1">STDEVP(DataBase.!U3:U300)*SQRT(252)</f>
        <v>0.29524690470169074</v>
      </c>
      <c r="X8" s="47">
        <f ca="1">STDEVP(DataBase.!Z3:Z300)*SQRT(252)</f>
        <v>0.48255247782002852</v>
      </c>
      <c r="Y8" s="47">
        <f ca="1">STDEVP(DataBase.!X3:X254)*SQRT(252)</f>
        <v>0.26708814799326303</v>
      </c>
      <c r="Z8" s="47">
        <f ca="1">STDEVP(DataBase.!R3:R300)*SQRT(252)</f>
        <v>0.36487160950827752</v>
      </c>
      <c r="AA8" s="47">
        <f ca="1">STDEVP(DataBase.!Q3:Q300)*SQRT(252)</f>
        <v>0.42034220945507639</v>
      </c>
      <c r="AB8" s="47">
        <f ca="1">STDEVP(DataBase.!S3:S300)*SQRT(252)</f>
        <v>0.68349057474063846</v>
      </c>
      <c r="AC8" s="47">
        <f ca="1">STDEVP(DataBase.!AB3:AB300)*SQRT(252)</f>
        <v>0.46041421333949956</v>
      </c>
      <c r="AD8" s="47">
        <f ca="1">STDEVP(DataBase.!AC3:AC300)*SQRT(252)</f>
        <v>0.42344527851645303</v>
      </c>
    </row>
    <row r="9" spans="2:30" x14ac:dyDescent="0.25">
      <c r="B9" s="70" t="e" vm="4567">
        <v>#VALUE!</v>
      </c>
      <c r="C9" t="str" cm="1">
        <f t="array" aca="1" ref="C9" ca="1">_FV(B9,"Simbolo dell'azione",TRUE)</f>
        <v>1YD</v>
      </c>
      <c r="D9" t="str">
        <f ca="1"/>
        <v>Semiconductors &amp; Semiconductor Equipment</v>
      </c>
      <c r="E9">
        <v>1</v>
      </c>
      <c r="F9" s="5">
        <f ca="1"/>
        <v>276.39999999999998</v>
      </c>
      <c r="G9" s="5">
        <f ca="1"/>
        <v>276.39999999999998</v>
      </c>
      <c r="H9" s="4">
        <f ca="1"/>
        <v>5.0058860816807021E-2</v>
      </c>
      <c r="I9" s="4">
        <f ca="1"/>
        <v>7.1050000000000002E-3</v>
      </c>
      <c r="J9" s="5">
        <f ca="1"/>
        <v>-20.550000000000011</v>
      </c>
      <c r="K9" s="5">
        <f ca="1"/>
        <v>120.02</v>
      </c>
      <c r="L9" s="5">
        <f ca="1"/>
        <v>350.5</v>
      </c>
      <c r="M9" s="6">
        <f ca="1"/>
        <v>66.834299999999999</v>
      </c>
      <c r="N9" s="71">
        <f ca="1"/>
        <v>1.242</v>
      </c>
      <c r="O9" s="81">
        <f t="shared" ca="1" si="0"/>
        <v>3.5566820610341391E-4</v>
      </c>
      <c r="Q9" s="38" t="s">
        <v>32</v>
      </c>
      <c r="R9" s="48">
        <f t="shared" ref="R9:AD9" ca="1" si="1">(R7-$Q$4)/R8</f>
        <v>0.3997767831071502</v>
      </c>
      <c r="S9" s="48">
        <f t="shared" ca="1" si="1"/>
        <v>-0.2084000874217169</v>
      </c>
      <c r="T9" s="48">
        <f t="shared" ca="1" si="1"/>
        <v>-0.27748366773977745</v>
      </c>
      <c r="U9" s="48">
        <f t="shared" ca="1" si="1"/>
        <v>-0.39228269034554453</v>
      </c>
      <c r="V9" s="48">
        <f t="shared" ca="1" si="1"/>
        <v>-0.90634934821094593</v>
      </c>
      <c r="W9" s="48">
        <f t="shared" ca="1" si="1"/>
        <v>-0.58115248877114223</v>
      </c>
      <c r="X9" s="48">
        <f t="shared" ca="1" si="1"/>
        <v>0.59658377577666499</v>
      </c>
      <c r="Y9" s="48">
        <f t="shared" ca="1" si="1"/>
        <v>0.20475172152293969</v>
      </c>
      <c r="Z9" s="48">
        <f t="shared" ca="1" si="1"/>
        <v>-1.3355429589956771</v>
      </c>
      <c r="AA9" s="48">
        <f t="shared" ca="1" si="1"/>
        <v>-1.5926270053264671</v>
      </c>
      <c r="AB9" s="48">
        <f t="shared" ca="1" si="1"/>
        <v>0.29823446262743952</v>
      </c>
      <c r="AC9" s="48">
        <f t="shared" ca="1" si="1"/>
        <v>0.28673490129449547</v>
      </c>
      <c r="AD9" s="48">
        <f t="shared" ca="1" si="1"/>
        <v>0.93880749260179319</v>
      </c>
    </row>
    <row r="10" spans="2:30" x14ac:dyDescent="0.25">
      <c r="B10" s="70" t="e" vm="4568">
        <v>#VALUE!</v>
      </c>
      <c r="C10" t="str" cm="1">
        <f t="array" aca="1" ref="C10" ca="1">_FV(B10,"Simbolo dell'azione",TRUE)</f>
        <v>MSF</v>
      </c>
      <c r="D10" t="str">
        <f ca="1"/>
        <v>Software &amp; IT Services</v>
      </c>
      <c r="E10">
        <v>1</v>
      </c>
      <c r="F10" s="5">
        <f ca="1"/>
        <v>321.05</v>
      </c>
      <c r="G10" s="5">
        <f ca="1"/>
        <v>321.05</v>
      </c>
      <c r="H10" s="4">
        <f ca="1"/>
        <v>5.8145431495064751E-2</v>
      </c>
      <c r="I10" s="4">
        <f ca="1"/>
        <v>-3.5690000000000001E-3</v>
      </c>
      <c r="J10" s="5">
        <f ca="1"/>
        <v>-93.599999999999966</v>
      </c>
      <c r="K10" s="5">
        <f ca="1"/>
        <v>301.10000000000002</v>
      </c>
      <c r="L10" s="5">
        <f ca="1"/>
        <v>491.85</v>
      </c>
      <c r="M10" s="6">
        <f ca="1"/>
        <v>23.5929</v>
      </c>
      <c r="N10" s="71">
        <f ca="1"/>
        <v>1.1066</v>
      </c>
      <c r="O10" s="81">
        <f ca="1">(H10*I10)</f>
        <v>-2.075210450058861E-4</v>
      </c>
      <c r="T10" s="1"/>
      <c r="U10" s="1"/>
      <c r="V10" s="1"/>
      <c r="X10" s="2"/>
    </row>
    <row r="11" spans="2:30" ht="14.4" x14ac:dyDescent="0.3">
      <c r="B11" s="70" t="e" vm="4569">
        <v>#VALUE!</v>
      </c>
      <c r="C11" t="str" cm="1">
        <f t="array" aca="1" ref="C11" ca="1">_FV(B11,"Simbolo dell'azione",TRUE)</f>
        <v>TSFA</v>
      </c>
      <c r="D11" t="str">
        <f ca="1"/>
        <v>Semiconductors &amp; Semiconductor Equipment</v>
      </c>
      <c r="E11">
        <v>2</v>
      </c>
      <c r="F11" s="5">
        <f ca="1"/>
        <v>299</v>
      </c>
      <c r="G11" s="5">
        <f ca="1"/>
        <v>598</v>
      </c>
      <c r="H11" s="4">
        <f ca="1"/>
        <v>0.10830390292492982</v>
      </c>
      <c r="I11" s="4">
        <f ca="1"/>
        <v>8.4320000000000003E-3</v>
      </c>
      <c r="J11" s="5">
        <f ca="1"/>
        <v>85</v>
      </c>
      <c r="K11" s="5">
        <f ca="1"/>
        <v>29.82</v>
      </c>
      <c r="L11" s="5">
        <f ca="1"/>
        <v>333</v>
      </c>
      <c r="M11" s="6">
        <f ca="1"/>
        <v>33.222200000000001</v>
      </c>
      <c r="N11" s="71">
        <f ca="1"/>
        <v>1.3467</v>
      </c>
      <c r="O11" s="81">
        <f t="shared" ca="1" si="0"/>
        <v>9.1321850946300828E-4</v>
      </c>
      <c r="Q11" s="40"/>
      <c r="R11" s="44" t="s">
        <v>51</v>
      </c>
      <c r="S11" s="45" t="s">
        <v>47</v>
      </c>
      <c r="T11" s="45" t="s">
        <v>48</v>
      </c>
      <c r="U11" s="45" t="s">
        <v>25</v>
      </c>
      <c r="V11" s="45" t="s">
        <v>50</v>
      </c>
      <c r="W11" s="45" t="s">
        <v>20</v>
      </c>
      <c r="X11" s="45" t="s">
        <v>23</v>
      </c>
      <c r="Y11" s="45" t="s">
        <v>29</v>
      </c>
      <c r="Z11" s="45" t="s">
        <v>22</v>
      </c>
      <c r="AA11" s="45" t="s">
        <v>27</v>
      </c>
      <c r="AB11" s="45" t="s">
        <v>24</v>
      </c>
      <c r="AC11" s="45">
        <v>639</v>
      </c>
      <c r="AD11" s="46" t="s">
        <v>21</v>
      </c>
    </row>
    <row r="12" spans="2:30" x14ac:dyDescent="0.25">
      <c r="B12" s="70" t="e" vm="4570">
        <v>#VALUE!</v>
      </c>
      <c r="C12" t="str" cm="1">
        <f t="array" aca="1" ref="C12" ca="1">_FV(B12,"Simbolo dell'azione",TRUE)</f>
        <v>YDX</v>
      </c>
      <c r="D12" t="str">
        <f ca="1"/>
        <v>Professional &amp; Commercial Services</v>
      </c>
      <c r="E12">
        <v>4</v>
      </c>
      <c r="F12" s="5">
        <f ca="1"/>
        <v>102</v>
      </c>
      <c r="G12" s="5">
        <f ca="1"/>
        <v>408</v>
      </c>
      <c r="H12" s="4">
        <f ca="1"/>
        <v>7.3892963868513989E-2</v>
      </c>
      <c r="I12" s="4">
        <f ca="1"/>
        <v>0.02</v>
      </c>
      <c r="J12" s="5">
        <f ca="1"/>
        <v>40</v>
      </c>
      <c r="K12" s="5" t="str">
        <f ca="1"/>
        <v>N/A.</v>
      </c>
      <c r="L12" s="5" t="str">
        <f ca="1"/>
        <v>N/A.</v>
      </c>
      <c r="M12" s="6">
        <f ca="1"/>
        <v>728.57140000000004</v>
      </c>
      <c r="N12" s="71">
        <f ca="1"/>
        <v>-13.254</v>
      </c>
      <c r="O12" s="81">
        <f t="shared" ca="1" si="0"/>
        <v>1.4778592773702797E-3</v>
      </c>
      <c r="Q12" s="41" t="s">
        <v>51</v>
      </c>
      <c r="R12" s="49">
        <v>1</v>
      </c>
      <c r="S12" s="50"/>
      <c r="T12" s="50"/>
      <c r="U12" s="50"/>
      <c r="V12" s="50"/>
      <c r="W12" s="50"/>
      <c r="X12" s="50"/>
      <c r="Y12" s="50"/>
      <c r="Z12" s="50"/>
      <c r="AA12" s="50"/>
      <c r="AB12" s="50"/>
      <c r="AC12" s="50"/>
      <c r="AD12" s="51"/>
    </row>
    <row r="13" spans="2:30" x14ac:dyDescent="0.25">
      <c r="B13" s="70" t="e" vm="4571">
        <v>#VALUE!</v>
      </c>
      <c r="C13" t="str" cm="1">
        <f t="array" aca="1" ref="C13" ca="1">_FV(B13,"Simbolo dell'azione",TRUE)</f>
        <v>FOO</v>
      </c>
      <c r="D13" t="str">
        <f ca="1"/>
        <v>Software &amp; IT Services</v>
      </c>
      <c r="E13">
        <v>3</v>
      </c>
      <c r="F13" s="5">
        <f ca="1"/>
        <v>156.74</v>
      </c>
      <c r="G13" s="5">
        <f ca="1"/>
        <v>470.22</v>
      </c>
      <c r="H13" s="4">
        <f ca="1"/>
        <v>8.5161640858462381E-2</v>
      </c>
      <c r="I13" s="4">
        <f ca="1"/>
        <v>-1.7426999999999998E-2</v>
      </c>
      <c r="J13" s="5">
        <f ca="1"/>
        <v>-61.980000000000018</v>
      </c>
      <c r="K13" s="5">
        <f ca="1"/>
        <v>148.18</v>
      </c>
      <c r="L13" s="5">
        <f ca="1"/>
        <v>268.60000000000002</v>
      </c>
      <c r="M13" s="6">
        <f ca="1"/>
        <v>23.782699999999998</v>
      </c>
      <c r="N13" s="71">
        <f ca="1"/>
        <v>1.3015000000000001</v>
      </c>
      <c r="O13" s="81">
        <f t="shared" ca="1" si="0"/>
        <v>-1.4841119152404238E-3</v>
      </c>
      <c r="Q13" s="42" t="s">
        <v>47</v>
      </c>
      <c r="R13" s="52">
        <v>-1.5176273983611379E-2</v>
      </c>
      <c r="S13" s="53">
        <v>1</v>
      </c>
      <c r="T13" s="54"/>
      <c r="U13" s="54"/>
      <c r="V13" s="54"/>
      <c r="W13" s="54"/>
      <c r="X13" s="54"/>
      <c r="Y13" s="54"/>
      <c r="Z13" s="54"/>
      <c r="AA13" s="54"/>
      <c r="AB13" s="54"/>
      <c r="AC13" s="54"/>
      <c r="AD13" s="55"/>
    </row>
    <row r="14" spans="2:30" x14ac:dyDescent="0.25">
      <c r="B14" s="70" t="e" vm="4572">
        <v>#VALUE!</v>
      </c>
      <c r="C14" t="str" cm="1">
        <f t="array" aca="1" ref="C14" ca="1">_FV(B14,"Simbolo dell'azione",TRUE)</f>
        <v>0V6</v>
      </c>
      <c r="D14" t="str">
        <f ca="1"/>
        <v>Electrical Utilities &amp; IPPs</v>
      </c>
      <c r="E14">
        <v>3</v>
      </c>
      <c r="F14" s="5">
        <f ca="1"/>
        <v>133.44999999999999</v>
      </c>
      <c r="G14" s="5">
        <f ca="1"/>
        <v>400.34999999999997</v>
      </c>
      <c r="H14" s="4">
        <f ca="1"/>
        <v>7.2507470795979342E-2</v>
      </c>
      <c r="I14" s="4">
        <f ca="1"/>
        <v>1.6761999999999999E-2</v>
      </c>
      <c r="J14" s="5">
        <f ca="1"/>
        <v>3.3000000000000114</v>
      </c>
      <c r="K14" s="5">
        <f ca="1"/>
        <v>11</v>
      </c>
      <c r="L14" s="5">
        <f ca="1"/>
        <v>192.15</v>
      </c>
      <c r="M14" s="6">
        <f ca="1"/>
        <v>71.747299999999996</v>
      </c>
      <c r="N14" s="71">
        <f ca="1"/>
        <v>1.4912000000000001</v>
      </c>
      <c r="O14" s="81">
        <f t="shared" ca="1" si="0"/>
        <v>1.2153702254822057E-3</v>
      </c>
      <c r="Q14" s="42" t="s">
        <v>48</v>
      </c>
      <c r="R14" s="52">
        <v>3.6784151530872169E-3</v>
      </c>
      <c r="S14" s="56">
        <v>0.1296834539868518</v>
      </c>
      <c r="T14" s="53">
        <v>1</v>
      </c>
      <c r="U14" s="54"/>
      <c r="V14" s="54"/>
      <c r="W14" s="54"/>
      <c r="X14" s="54"/>
      <c r="Y14" s="54"/>
      <c r="Z14" s="54"/>
      <c r="AA14" s="54"/>
      <c r="AB14" s="54"/>
      <c r="AC14" s="54"/>
      <c r="AD14" s="55"/>
    </row>
    <row r="15" spans="2:30" x14ac:dyDescent="0.25">
      <c r="B15" s="70" t="e" vm="4573">
        <v>#VALUE!</v>
      </c>
      <c r="C15" t="str" cm="1">
        <f t="array" aca="1" ref="C15" ca="1">_FV(B15,"Simbolo dell'azione",TRUE)</f>
        <v>639</v>
      </c>
      <c r="D15" t="str">
        <f ca="1"/>
        <v>Software &amp; IT Services</v>
      </c>
      <c r="E15">
        <v>1</v>
      </c>
      <c r="F15" s="5">
        <f ca="1"/>
        <v>417.25</v>
      </c>
      <c r="G15" s="5">
        <f ca="1"/>
        <v>417.25</v>
      </c>
      <c r="H15" s="4">
        <f ca="1"/>
        <v>7.556823326994476E-2</v>
      </c>
      <c r="I15" s="4">
        <f ca="1"/>
        <v>-4.8890000000000001E-3</v>
      </c>
      <c r="J15" s="5">
        <f ca="1"/>
        <v>28.800000000000011</v>
      </c>
      <c r="K15" s="5">
        <f ca="1"/>
        <v>67.13</v>
      </c>
      <c r="L15" s="5">
        <f ca="1"/>
        <v>670.9</v>
      </c>
      <c r="M15" s="6">
        <f ca="1"/>
        <v>39.966500000000003</v>
      </c>
      <c r="N15" s="71">
        <f ca="1"/>
        <v>1.7065999999999999</v>
      </c>
      <c r="O15" s="81">
        <f t="shared" ca="1" si="0"/>
        <v>-3.6945309245675991E-4</v>
      </c>
      <c r="Q15" s="42" t="s">
        <v>25</v>
      </c>
      <c r="R15" s="52">
        <v>4.1098994152805157E-2</v>
      </c>
      <c r="S15" s="56">
        <v>-1.5933016838476151E-2</v>
      </c>
      <c r="T15" s="56">
        <v>-0.14774307653259164</v>
      </c>
      <c r="U15" s="53">
        <v>1</v>
      </c>
      <c r="V15" s="54"/>
      <c r="W15" s="54"/>
      <c r="X15" s="54"/>
      <c r="Y15" s="54"/>
      <c r="Z15" s="54"/>
      <c r="AA15" s="54"/>
      <c r="AB15" s="54"/>
      <c r="AC15" s="54"/>
      <c r="AD15" s="55"/>
    </row>
    <row r="16" spans="2:30" x14ac:dyDescent="0.25">
      <c r="B16" s="70" t="e" vm="4574">
        <v>#VALUE!</v>
      </c>
      <c r="C16" t="str" cm="1">
        <f t="array" aca="1" ref="C16" ca="1">_FV(B16,"Simbolo dell'azione",TRUE)</f>
        <v>MHL</v>
      </c>
      <c r="D16" t="str">
        <f ca="1"/>
        <v>Professional &amp; Commercial Services</v>
      </c>
      <c r="E16">
        <v>1</v>
      </c>
      <c r="F16" s="5">
        <f ca="1"/>
        <v>355.4</v>
      </c>
      <c r="G16" s="5">
        <f ca="1"/>
        <v>355.4</v>
      </c>
      <c r="H16" s="4">
        <f ca="1"/>
        <v>6.4366567056053606E-2</v>
      </c>
      <c r="I16" s="4">
        <f ca="1"/>
        <v>-8.0940000000000005E-3</v>
      </c>
      <c r="J16" s="5">
        <f ca="1"/>
        <v>-19.170000000000016</v>
      </c>
      <c r="K16" s="5">
        <f ca="1"/>
        <v>304.05</v>
      </c>
      <c r="L16" s="5">
        <f ca="1"/>
        <v>492</v>
      </c>
      <c r="M16" s="6">
        <f ca="1"/>
        <v>28.4725</v>
      </c>
      <c r="N16" s="71">
        <f ca="1"/>
        <v>1.2233000000000001</v>
      </c>
      <c r="O16" s="81">
        <f t="shared" ca="1" si="0"/>
        <v>-5.2098299375169792E-4</v>
      </c>
      <c r="Q16" s="42" t="s">
        <v>50</v>
      </c>
      <c r="R16" s="52">
        <v>6.2988734001130121E-3</v>
      </c>
      <c r="S16" s="56">
        <v>0.25857379233406574</v>
      </c>
      <c r="T16" s="56">
        <v>8.5530310698490639E-2</v>
      </c>
      <c r="U16" s="56">
        <v>9.0036698312491337E-2</v>
      </c>
      <c r="V16" s="53">
        <v>1</v>
      </c>
      <c r="W16" s="54"/>
      <c r="X16" s="54"/>
      <c r="Y16" s="54"/>
      <c r="Z16" s="54"/>
      <c r="AA16" s="54"/>
      <c r="AB16" s="54"/>
      <c r="AC16" s="54"/>
      <c r="AD16" s="55"/>
    </row>
    <row r="17" spans="2:30" x14ac:dyDescent="0.25">
      <c r="B17" s="72" t="e" vm="4575">
        <v>#VALUE!</v>
      </c>
      <c r="C17" s="73" t="s">
        <v>51</v>
      </c>
      <c r="D17" s="73" t="str">
        <f ca="1"/>
        <v>Healthcare Equipment &amp; Supplies</v>
      </c>
      <c r="E17" s="73">
        <v>15</v>
      </c>
      <c r="F17" s="74">
        <f ca="1"/>
        <v>8.8879999999999999</v>
      </c>
      <c r="G17" s="74">
        <f ca="1"/>
        <v>133.32</v>
      </c>
      <c r="H17" s="75">
        <f ca="1"/>
        <v>2.4145612605270306E-2</v>
      </c>
      <c r="I17" s="75">
        <f ca="1"/>
        <v>1.6468E-2</v>
      </c>
      <c r="J17" s="74">
        <f ca="1"/>
        <v>9.3300000000000125</v>
      </c>
      <c r="K17" s="74">
        <f ca="1"/>
        <v>7.84</v>
      </c>
      <c r="L17" s="74">
        <f ca="1"/>
        <v>21.4</v>
      </c>
      <c r="M17" s="76">
        <f ca="1"/>
        <v>17.278400000000001</v>
      </c>
      <c r="N17" s="77">
        <f ca="1"/>
        <v>0.8599</v>
      </c>
      <c r="O17" s="82">
        <f t="shared" ca="1" si="0"/>
        <v>3.9762994838359142E-4</v>
      </c>
      <c r="Q17" s="42" t="s">
        <v>20</v>
      </c>
      <c r="R17" s="52">
        <v>-8.2828408881494564E-3</v>
      </c>
      <c r="S17" s="56">
        <v>0.29952537491250636</v>
      </c>
      <c r="T17" s="57">
        <v>0.56591002039052118</v>
      </c>
      <c r="U17" s="56">
        <v>-0.11828050840837172</v>
      </c>
      <c r="V17" s="56">
        <v>2.340859201565711E-3</v>
      </c>
      <c r="W17" s="53">
        <v>1</v>
      </c>
      <c r="X17" s="54"/>
      <c r="Y17" s="54"/>
      <c r="Z17" s="54"/>
      <c r="AA17" s="54"/>
      <c r="AB17" s="54"/>
      <c r="AC17" s="54"/>
      <c r="AD17" s="55"/>
    </row>
    <row r="18" spans="2:30" x14ac:dyDescent="0.25">
      <c r="Q18" s="42" t="s">
        <v>23</v>
      </c>
      <c r="R18" s="52">
        <v>-2.1433291160499395E-2</v>
      </c>
      <c r="S18" s="57">
        <v>0.48315352348223434</v>
      </c>
      <c r="T18" s="57">
        <v>0.31894205030777251</v>
      </c>
      <c r="U18" s="56">
        <v>4.859792398036758E-2</v>
      </c>
      <c r="V18" s="56">
        <v>0.16872607888751781</v>
      </c>
      <c r="W18" s="57">
        <v>0.55185278752859335</v>
      </c>
      <c r="X18" s="53">
        <v>1</v>
      </c>
      <c r="Y18" s="54"/>
      <c r="Z18" s="54"/>
      <c r="AA18" s="54"/>
      <c r="AB18" s="54"/>
      <c r="AC18" s="54"/>
      <c r="AD18" s="55"/>
    </row>
    <row r="19" spans="2:30" x14ac:dyDescent="0.25">
      <c r="Q19" s="42" t="s">
        <v>29</v>
      </c>
      <c r="R19" s="52">
        <v>-1.1909878276588E-2</v>
      </c>
      <c r="S19" s="57">
        <v>0.40719620314702931</v>
      </c>
      <c r="T19" s="57">
        <v>0.35237470197607207</v>
      </c>
      <c r="U19" s="56">
        <v>0.12921717583386538</v>
      </c>
      <c r="V19" s="56">
        <v>0.24340701431338355</v>
      </c>
      <c r="W19" s="57">
        <v>0.42701004801679787</v>
      </c>
      <c r="X19" s="57">
        <v>0.50088629770985882</v>
      </c>
      <c r="Y19" s="53">
        <v>1</v>
      </c>
      <c r="Z19" s="54"/>
      <c r="AA19" s="54"/>
      <c r="AB19" s="54"/>
      <c r="AC19" s="54"/>
      <c r="AD19" s="55"/>
    </row>
    <row r="20" spans="2:30" x14ac:dyDescent="0.25">
      <c r="Q20" s="42" t="s">
        <v>22</v>
      </c>
      <c r="R20" s="52">
        <v>7.5102002272669673E-3</v>
      </c>
      <c r="S20" s="57">
        <v>0.38360857171059737</v>
      </c>
      <c r="T20" s="56">
        <v>0.18938854915273193</v>
      </c>
      <c r="U20" s="57">
        <v>0.32150196539410136</v>
      </c>
      <c r="V20" s="56">
        <v>0.2676285781854027</v>
      </c>
      <c r="W20" s="56">
        <v>0.26431462265276695</v>
      </c>
      <c r="X20" s="57">
        <v>0.43754343988755429</v>
      </c>
      <c r="Y20" s="57">
        <v>0.55279558670062756</v>
      </c>
      <c r="Z20" s="53">
        <v>1</v>
      </c>
      <c r="AA20" s="54"/>
      <c r="AB20" s="54"/>
      <c r="AC20" s="54"/>
      <c r="AD20" s="55"/>
    </row>
    <row r="21" spans="2:30" x14ac:dyDescent="0.25">
      <c r="Q21" s="42" t="s">
        <v>27</v>
      </c>
      <c r="R21" s="52">
        <v>1.8210457025423794E-2</v>
      </c>
      <c r="S21" s="56">
        <v>0.23722497614251484</v>
      </c>
      <c r="T21" s="57">
        <v>0.55211819340443147</v>
      </c>
      <c r="U21" s="56">
        <v>-0.15970383067824345</v>
      </c>
      <c r="V21" s="56">
        <v>-1.4554025734453184E-2</v>
      </c>
      <c r="W21" s="58">
        <v>0.69145262090004789</v>
      </c>
      <c r="X21" s="57">
        <v>0.47147168002098799</v>
      </c>
      <c r="Y21" s="57">
        <v>0.36328303253850192</v>
      </c>
      <c r="Z21" s="56">
        <v>0.19991173763738962</v>
      </c>
      <c r="AA21" s="53">
        <v>1</v>
      </c>
      <c r="AB21" s="54"/>
      <c r="AC21" s="54"/>
      <c r="AD21" s="55"/>
    </row>
    <row r="22" spans="2:30" x14ac:dyDescent="0.25">
      <c r="Q22" s="42" t="s">
        <v>24</v>
      </c>
      <c r="R22" s="52">
        <v>-2.4058326222638489E-2</v>
      </c>
      <c r="S22" s="57">
        <v>0.50207580669924046</v>
      </c>
      <c r="T22" s="56">
        <v>0.25986186913346715</v>
      </c>
      <c r="U22" s="56">
        <v>-2.7307417505516608E-2</v>
      </c>
      <c r="V22" s="56">
        <v>0.12374236385422625</v>
      </c>
      <c r="W22" s="57">
        <v>0.55772136635529002</v>
      </c>
      <c r="X22" s="57">
        <v>0.57879837495730979</v>
      </c>
      <c r="Y22" s="57">
        <v>0.46403288326557335</v>
      </c>
      <c r="Z22" s="57">
        <v>0.33334636852284194</v>
      </c>
      <c r="AA22" s="57">
        <v>0.43592352201372947</v>
      </c>
      <c r="AB22" s="53">
        <v>1</v>
      </c>
      <c r="AC22" s="54"/>
      <c r="AD22" s="55"/>
    </row>
    <row r="23" spans="2:30" x14ac:dyDescent="0.25">
      <c r="Q23" s="42">
        <v>639</v>
      </c>
      <c r="R23" s="52">
        <v>-8.7880269330121732E-2</v>
      </c>
      <c r="S23" s="56">
        <v>0.24837817065305173</v>
      </c>
      <c r="T23" s="56">
        <v>0.12526430412800821</v>
      </c>
      <c r="U23" s="56">
        <v>-0.10651218893034123</v>
      </c>
      <c r="V23" s="56">
        <v>0.2805465564143001</v>
      </c>
      <c r="W23" s="56">
        <v>0.10643159007853138</v>
      </c>
      <c r="X23" s="56">
        <v>0.14526673338515489</v>
      </c>
      <c r="Y23" s="56">
        <v>0.14165058736230079</v>
      </c>
      <c r="Z23" s="56">
        <v>0.15618613144235183</v>
      </c>
      <c r="AA23" s="56">
        <v>9.7493872193903569E-2</v>
      </c>
      <c r="AB23" s="56">
        <v>0.192671101604621</v>
      </c>
      <c r="AC23" s="53">
        <v>1</v>
      </c>
      <c r="AD23" s="55"/>
    </row>
    <row r="24" spans="2:30" x14ac:dyDescent="0.25">
      <c r="Q24" s="43" t="s">
        <v>21</v>
      </c>
      <c r="R24" s="59">
        <v>2.3758914776055438E-2</v>
      </c>
      <c r="S24" s="60">
        <v>0.23050711249746816</v>
      </c>
      <c r="T24" s="61">
        <v>0.55221658351797842</v>
      </c>
      <c r="U24" s="60">
        <v>-8.6836217305667276E-2</v>
      </c>
      <c r="V24" s="60">
        <v>2.8342724749746379E-2</v>
      </c>
      <c r="W24" s="62">
        <v>0.71938623446076788</v>
      </c>
      <c r="X24" s="61">
        <v>0.52413539731650882</v>
      </c>
      <c r="Y24" s="61">
        <v>0.37748846496514554</v>
      </c>
      <c r="Z24" s="60">
        <v>0.23507670192439148</v>
      </c>
      <c r="AA24" s="62">
        <v>0.68325536217252336</v>
      </c>
      <c r="AB24" s="61">
        <v>0.42921687614775095</v>
      </c>
      <c r="AC24" s="60">
        <v>0.16785484015482935</v>
      </c>
      <c r="AD24" s="63">
        <v>1</v>
      </c>
    </row>
    <row r="31" spans="2:30" x14ac:dyDescent="0.25">
      <c r="V31" s="3"/>
      <c r="W31" s="31"/>
      <c r="X31" s="3"/>
      <c r="Y31" s="3"/>
      <c r="Z31" s="3"/>
      <c r="AA31" s="3"/>
      <c r="AB31" s="3"/>
    </row>
    <row r="32" spans="2:30" x14ac:dyDescent="0.25">
      <c r="V32" s="29"/>
      <c r="W32" s="29"/>
      <c r="X32" s="29"/>
      <c r="Y32" s="29"/>
      <c r="Z32" s="29"/>
      <c r="AA32" s="29"/>
      <c r="AB32" s="29"/>
    </row>
    <row r="33" spans="17:28" x14ac:dyDescent="0.25">
      <c r="V33" s="29"/>
      <c r="W33" s="29"/>
      <c r="X33" s="29"/>
      <c r="Y33" s="29"/>
      <c r="Z33" s="29"/>
      <c r="AA33" s="29"/>
      <c r="AB33" s="29"/>
    </row>
    <row r="34" spans="17:28" x14ac:dyDescent="0.25">
      <c r="V34" s="29"/>
      <c r="W34" s="29"/>
      <c r="X34" s="29"/>
      <c r="Y34" s="29"/>
      <c r="Z34" s="29"/>
      <c r="AA34" s="29"/>
      <c r="AB34" s="29"/>
    </row>
    <row r="35" spans="17:28" x14ac:dyDescent="0.25">
      <c r="V35" s="29"/>
      <c r="W35" s="29"/>
      <c r="X35" s="29"/>
      <c r="Y35" s="29"/>
      <c r="Z35" s="29"/>
      <c r="AA35" s="29"/>
      <c r="AB35" s="29"/>
    </row>
    <row r="36" spans="17:28" x14ac:dyDescent="0.25">
      <c r="V36" s="29"/>
      <c r="W36" s="29"/>
      <c r="X36" s="29"/>
      <c r="Y36" s="29"/>
      <c r="Z36" s="29"/>
      <c r="AA36" s="29"/>
      <c r="AB36" s="29"/>
    </row>
    <row r="37" spans="17:28" x14ac:dyDescent="0.25">
      <c r="Q37" s="31"/>
      <c r="R37" s="29"/>
      <c r="S37" s="29"/>
      <c r="T37" s="29"/>
      <c r="U37" s="29"/>
      <c r="V37" s="29"/>
      <c r="W37" s="29"/>
      <c r="X37" s="29"/>
      <c r="Y37" s="29"/>
      <c r="Z37" s="29"/>
      <c r="AA37" s="29"/>
      <c r="AB37" s="29"/>
    </row>
    <row r="38" spans="17:28" x14ac:dyDescent="0.25">
      <c r="Q38" s="3"/>
      <c r="R38" s="29"/>
      <c r="S38" s="29"/>
      <c r="T38" s="29"/>
      <c r="U38" s="29"/>
      <c r="V38" s="29"/>
      <c r="W38" s="29"/>
      <c r="X38" s="29"/>
      <c r="Y38" s="29"/>
      <c r="Z38" s="29"/>
      <c r="AA38" s="29"/>
      <c r="AB38" s="29"/>
    </row>
    <row r="39" spans="17:28" x14ac:dyDescent="0.25">
      <c r="Q39" s="3"/>
      <c r="R39" s="29"/>
      <c r="S39" s="29"/>
      <c r="T39" s="29"/>
      <c r="U39" s="29"/>
      <c r="V39" s="29"/>
      <c r="W39" s="29"/>
      <c r="X39" s="29"/>
      <c r="Y39" s="29"/>
      <c r="Z39" s="29"/>
      <c r="AA39" s="29"/>
      <c r="AB39" s="29"/>
    </row>
    <row r="40" spans="17:28" x14ac:dyDescent="0.25">
      <c r="Q40" s="3"/>
      <c r="R40" s="29"/>
      <c r="S40" s="29"/>
      <c r="T40" s="29"/>
      <c r="U40" s="29"/>
      <c r="V40" s="29"/>
      <c r="W40" s="29"/>
      <c r="X40" s="29"/>
      <c r="Y40" s="29"/>
      <c r="Z40" s="29"/>
      <c r="AA40" s="29"/>
      <c r="AB40" s="29"/>
    </row>
    <row r="41" spans="17:28" x14ac:dyDescent="0.25">
      <c r="Q41" s="3"/>
      <c r="R41" s="29"/>
      <c r="S41" s="29"/>
      <c r="T41" s="29"/>
      <c r="U41" s="29"/>
      <c r="V41" s="29"/>
      <c r="W41" s="29"/>
      <c r="X41" s="29"/>
      <c r="Y41" s="29"/>
      <c r="Z41" s="29"/>
      <c r="AA41" s="29"/>
      <c r="AB41" s="29"/>
    </row>
    <row r="42" spans="17:28" x14ac:dyDescent="0.25">
      <c r="Q42" s="3"/>
      <c r="R42" s="29"/>
      <c r="S42" s="29"/>
      <c r="T42" s="29"/>
      <c r="U42" s="29"/>
      <c r="V42" s="29"/>
      <c r="W42" s="29"/>
      <c r="X42" s="29"/>
      <c r="Y42" s="29"/>
      <c r="Z42" s="29"/>
      <c r="AA42" s="29"/>
      <c r="AB42" s="29"/>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BBDE-4DFC-4544-9CC2-97D8B28C6BC8}">
  <dimension ref="A1"/>
  <sheetViews>
    <sheetView workbookViewId="0"/>
  </sheetViews>
  <sheetFormatPr defaultRowHeight="13.8" x14ac:dyDescent="0.25"/>
  <cols>
    <col min="12" max="12" width="7.8984375"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984A91-BE36-497E-BD24-4F56B22C60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Movements.</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Pardini</dc:creator>
  <cp:lastModifiedBy>Lorenzo Pardini</cp:lastModifiedBy>
  <cp:lastPrinted>2026-01-20T17:55:56Z</cp:lastPrinted>
  <dcterms:created xsi:type="dcterms:W3CDTF">2026-01-19T12:45:25Z</dcterms:created>
  <dcterms:modified xsi:type="dcterms:W3CDTF">2026-03-25T20:53:13Z</dcterms:modified>
</cp:coreProperties>
</file>